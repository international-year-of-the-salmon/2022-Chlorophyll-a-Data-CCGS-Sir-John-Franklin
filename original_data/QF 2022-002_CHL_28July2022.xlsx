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codeName="ThisWorkbook" defaultThemeVersion="124226"/>
  <mc:AlternateContent xmlns:mc="http://schemas.openxmlformats.org/markup-compatibility/2006">
    <mc:Choice Requires="x15">
      <x15ac:absPath xmlns:x15ac="http://schemas.microsoft.com/office/spreadsheetml/2010/11/ac" url="C:\Users\RAFTERYE\Documents\Chemistry\CHL-a\Raw data\2022-002 IYS\"/>
    </mc:Choice>
  </mc:AlternateContent>
  <xr:revisionPtr revIDLastSave="0" documentId="13_ncr:1_{0B7602A7-C5E8-4F28-8451-D6E20808D938}" xr6:coauthVersionLast="47" xr6:coauthVersionMax="47" xr10:uidLastSave="{00000000-0000-0000-0000-000000000000}"/>
  <bookViews>
    <workbookView xWindow="28680" yWindow="-120" windowWidth="29040" windowHeight="15840" tabRatio="754" xr2:uid="{00000000-000D-0000-FFFF-FFFF00000000}"/>
  </bookViews>
  <sheets>
    <sheet name="Notes" sheetId="15" r:id="rId1"/>
    <sheet name="CHL" sheetId="5" r:id="rId2"/>
    <sheet name="CV% " sheetId="49" r:id="rId3"/>
    <sheet name="Raw Data" sheetId="54" r:id="rId4"/>
    <sheet name="Flags" sheetId="16" r:id="rId5"/>
    <sheet name="Master List" sheetId="55" r:id="rId6"/>
    <sheet name="2022-002-bottles_csv" sheetId="56" r:id="rId7"/>
  </sheets>
  <definedNames>
    <definedName name="_xlnm._FilterDatabase" localSheetId="3" hidden="1">'Raw Data'!$A$11:$I$14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 i="49" l="1"/>
  <c r="I10" i="49" l="1"/>
  <c r="J4" i="54" l="1"/>
  <c r="O9" i="49"/>
  <c r="I418" i="49"/>
  <c r="I394" i="49"/>
  <c r="I382" i="49"/>
  <c r="I370" i="49"/>
  <c r="I358" i="49"/>
  <c r="I348" i="49"/>
  <c r="I346" i="49"/>
  <c r="I336" i="49"/>
  <c r="I334" i="49"/>
  <c r="I322" i="49"/>
  <c r="I310" i="49"/>
  <c r="I298" i="49"/>
  <c r="I288" i="49"/>
  <c r="I286" i="49"/>
  <c r="I274" i="49"/>
  <c r="I262" i="49"/>
  <c r="I250" i="49"/>
  <c r="I238" i="49"/>
  <c r="I226" i="49"/>
  <c r="I214" i="49"/>
  <c r="I202" i="49"/>
  <c r="I190" i="49"/>
  <c r="I178" i="49"/>
  <c r="I166" i="49"/>
  <c r="I154" i="49"/>
  <c r="I142" i="49"/>
  <c r="I106" i="49"/>
  <c r="I82" i="49"/>
  <c r="I70" i="49"/>
  <c r="I58" i="49"/>
  <c r="I46" i="49"/>
  <c r="I34" i="49"/>
  <c r="I22" i="49"/>
  <c r="B22" i="5"/>
  <c r="C22" i="5"/>
  <c r="J5" i="54"/>
  <c r="B15" i="5"/>
  <c r="B23" i="5"/>
  <c r="C23" i="5"/>
  <c r="B24" i="5"/>
  <c r="C24" i="5"/>
  <c r="B25" i="5"/>
  <c r="C25" i="5"/>
  <c r="B26" i="5"/>
  <c r="C26" i="5"/>
  <c r="B27" i="5"/>
  <c r="C27" i="5"/>
  <c r="B28" i="5"/>
  <c r="C28" i="5"/>
  <c r="B29" i="5"/>
  <c r="C29" i="5"/>
  <c r="B30" i="5"/>
  <c r="C30" i="5"/>
  <c r="B31" i="5"/>
  <c r="C31" i="5"/>
  <c r="B32" i="5"/>
  <c r="C32" i="5"/>
  <c r="B33" i="5"/>
  <c r="C33" i="5"/>
  <c r="B34" i="5"/>
  <c r="C34" i="5"/>
  <c r="B35" i="5"/>
  <c r="C35" i="5"/>
  <c r="B36" i="5"/>
  <c r="C36" i="5"/>
  <c r="B37" i="5"/>
  <c r="C37" i="5"/>
  <c r="B38" i="5"/>
  <c r="C38" i="5"/>
  <c r="B39" i="5"/>
  <c r="C39" i="5"/>
  <c r="B40" i="5"/>
  <c r="C40" i="5"/>
  <c r="B41" i="5"/>
  <c r="C41" i="5"/>
  <c r="B42" i="5"/>
  <c r="C42" i="5"/>
  <c r="B43" i="5"/>
  <c r="C43" i="5"/>
  <c r="B44" i="5"/>
  <c r="C44" i="5"/>
  <c r="B45" i="5"/>
  <c r="C45" i="5"/>
  <c r="B46" i="5"/>
  <c r="C46" i="5"/>
  <c r="B47" i="5"/>
  <c r="C47" i="5"/>
  <c r="B48" i="5"/>
  <c r="C48" i="5"/>
  <c r="B49" i="5"/>
  <c r="C49" i="5"/>
  <c r="B50" i="5"/>
  <c r="C50" i="5"/>
  <c r="B51" i="5"/>
  <c r="C51" i="5"/>
  <c r="B52" i="5"/>
  <c r="C52" i="5"/>
  <c r="B53" i="5"/>
  <c r="C53" i="5"/>
  <c r="B54" i="5"/>
  <c r="C54" i="5"/>
  <c r="B55" i="5"/>
  <c r="C55" i="5"/>
  <c r="B56" i="5"/>
  <c r="C56" i="5"/>
  <c r="B57" i="5"/>
  <c r="C57" i="5"/>
  <c r="B58" i="5"/>
  <c r="C58" i="5"/>
  <c r="B59" i="5"/>
  <c r="C59" i="5"/>
  <c r="B60" i="5"/>
  <c r="C60" i="5"/>
  <c r="B61" i="5"/>
  <c r="C61" i="5"/>
  <c r="B62" i="5"/>
  <c r="C62" i="5"/>
  <c r="B63" i="5"/>
  <c r="C63" i="5"/>
  <c r="B64" i="5"/>
  <c r="C64" i="5"/>
  <c r="B65" i="5"/>
  <c r="C65" i="5"/>
  <c r="B66" i="5"/>
  <c r="C66" i="5"/>
  <c r="B67" i="5"/>
  <c r="C67" i="5"/>
  <c r="B68" i="5"/>
  <c r="C68" i="5"/>
  <c r="B69" i="5"/>
  <c r="C69" i="5"/>
  <c r="B70" i="5"/>
  <c r="C70" i="5"/>
  <c r="B71" i="5"/>
  <c r="C71" i="5"/>
  <c r="B72" i="5"/>
  <c r="C72" i="5"/>
  <c r="B73" i="5"/>
  <c r="C73" i="5"/>
  <c r="B74" i="5"/>
  <c r="C74" i="5"/>
  <c r="B75" i="5"/>
  <c r="C75" i="5"/>
  <c r="B76" i="5"/>
  <c r="C76" i="5"/>
  <c r="B77" i="5"/>
  <c r="C77" i="5"/>
  <c r="B78" i="5"/>
  <c r="C78" i="5"/>
  <c r="B79" i="5"/>
  <c r="C79" i="5"/>
  <c r="B80" i="5"/>
  <c r="C80" i="5"/>
  <c r="B81" i="5"/>
  <c r="C81" i="5"/>
  <c r="B82" i="5"/>
  <c r="C82" i="5"/>
  <c r="B83" i="5"/>
  <c r="C83" i="5"/>
  <c r="B84" i="5"/>
  <c r="C84" i="5"/>
  <c r="B85" i="5"/>
  <c r="C85" i="5"/>
  <c r="B86" i="5"/>
  <c r="C86" i="5"/>
  <c r="B87" i="5"/>
  <c r="C87" i="5"/>
  <c r="B88" i="5"/>
  <c r="C88" i="5"/>
  <c r="B89" i="5"/>
  <c r="C89" i="5"/>
  <c r="B90" i="5"/>
  <c r="C90" i="5"/>
  <c r="B91" i="5"/>
  <c r="C91" i="5"/>
  <c r="B92" i="5"/>
  <c r="C92" i="5"/>
  <c r="B93" i="5"/>
  <c r="C93" i="5"/>
  <c r="B94" i="5"/>
  <c r="C94" i="5"/>
  <c r="B95" i="5"/>
  <c r="C95" i="5"/>
  <c r="B96" i="5"/>
  <c r="C96" i="5"/>
  <c r="B97" i="5"/>
  <c r="C97" i="5"/>
  <c r="B98" i="5"/>
  <c r="C98" i="5"/>
  <c r="B99" i="5"/>
  <c r="C99" i="5"/>
  <c r="B100" i="5"/>
  <c r="C100" i="5"/>
  <c r="B101" i="5"/>
  <c r="C101" i="5"/>
  <c r="B102" i="5"/>
  <c r="C102" i="5"/>
  <c r="B103" i="5"/>
  <c r="C103" i="5"/>
  <c r="B104" i="5"/>
  <c r="C104" i="5"/>
  <c r="B105" i="5"/>
  <c r="C105" i="5"/>
  <c r="B106" i="5"/>
  <c r="C106" i="5"/>
  <c r="B107" i="5"/>
  <c r="C107" i="5"/>
  <c r="B108" i="5"/>
  <c r="C108" i="5"/>
  <c r="B109" i="5"/>
  <c r="C109" i="5"/>
  <c r="B110" i="5"/>
  <c r="C110" i="5"/>
  <c r="B111" i="5"/>
  <c r="C111" i="5"/>
  <c r="B112" i="5"/>
  <c r="C112" i="5"/>
  <c r="B113" i="5"/>
  <c r="C113" i="5"/>
  <c r="B114" i="5"/>
  <c r="C114" i="5"/>
  <c r="B115" i="5"/>
  <c r="C115" i="5"/>
  <c r="B116" i="5"/>
  <c r="C116" i="5"/>
  <c r="B117" i="5"/>
  <c r="C117" i="5"/>
  <c r="B118" i="5"/>
  <c r="C118" i="5"/>
  <c r="B119" i="5"/>
  <c r="C119" i="5"/>
  <c r="B120" i="5"/>
  <c r="C120" i="5"/>
  <c r="B121" i="5"/>
  <c r="C121" i="5"/>
  <c r="B122" i="5"/>
  <c r="C122" i="5"/>
  <c r="B123" i="5"/>
  <c r="C123" i="5"/>
  <c r="B124" i="5"/>
  <c r="C124" i="5"/>
  <c r="B125" i="5"/>
  <c r="C125" i="5"/>
  <c r="B126" i="5"/>
  <c r="C126" i="5"/>
  <c r="B127" i="5"/>
  <c r="C127" i="5"/>
  <c r="B128" i="5"/>
  <c r="C128" i="5"/>
  <c r="B129" i="5"/>
  <c r="C129" i="5"/>
  <c r="B130" i="5"/>
  <c r="C130" i="5"/>
  <c r="B131" i="5"/>
  <c r="C131" i="5"/>
  <c r="B132" i="5"/>
  <c r="C132" i="5"/>
  <c r="B133" i="5"/>
  <c r="C133" i="5"/>
  <c r="B134" i="5"/>
  <c r="C134" i="5"/>
  <c r="B135" i="5"/>
  <c r="C135" i="5"/>
  <c r="B136" i="5"/>
  <c r="C136" i="5"/>
  <c r="B137" i="5"/>
  <c r="C137" i="5"/>
  <c r="B138" i="5"/>
  <c r="C138" i="5"/>
  <c r="B139" i="5"/>
  <c r="C139" i="5"/>
  <c r="B140" i="5"/>
  <c r="C140" i="5"/>
  <c r="B141" i="5"/>
  <c r="C141" i="5"/>
  <c r="B142" i="5"/>
  <c r="C142" i="5"/>
  <c r="B143" i="5"/>
  <c r="C143" i="5"/>
  <c r="B144" i="5"/>
  <c r="C144" i="5"/>
  <c r="B145" i="5"/>
  <c r="C145" i="5"/>
  <c r="B146" i="5"/>
  <c r="C146" i="5"/>
  <c r="B147" i="5"/>
  <c r="C147" i="5"/>
  <c r="B148" i="5"/>
  <c r="C148" i="5"/>
  <c r="B149" i="5"/>
  <c r="C149" i="5"/>
  <c r="B150" i="5"/>
  <c r="C150" i="5"/>
  <c r="B151" i="5"/>
  <c r="C151" i="5"/>
  <c r="B152" i="5"/>
  <c r="C152" i="5"/>
  <c r="B153" i="5"/>
  <c r="C153" i="5"/>
  <c r="B154" i="5"/>
  <c r="C154" i="5"/>
  <c r="B155" i="5"/>
  <c r="C155" i="5"/>
  <c r="B156" i="5"/>
  <c r="C156" i="5"/>
  <c r="B157" i="5"/>
  <c r="C157" i="5"/>
  <c r="B158" i="5"/>
  <c r="C158" i="5"/>
  <c r="B159" i="5"/>
  <c r="C159" i="5"/>
  <c r="B160" i="5"/>
  <c r="C160" i="5"/>
  <c r="B161" i="5"/>
  <c r="C161" i="5"/>
  <c r="B162" i="5"/>
  <c r="C162" i="5"/>
  <c r="B163" i="5"/>
  <c r="C163" i="5"/>
  <c r="B164" i="5"/>
  <c r="C164" i="5"/>
  <c r="B165" i="5"/>
  <c r="C165" i="5"/>
  <c r="B166" i="5"/>
  <c r="C166" i="5"/>
  <c r="B167" i="5"/>
  <c r="C167" i="5"/>
  <c r="B168" i="5"/>
  <c r="C168" i="5"/>
  <c r="B169" i="5"/>
  <c r="C169" i="5"/>
  <c r="B170" i="5"/>
  <c r="C170" i="5"/>
  <c r="B171" i="5"/>
  <c r="C171" i="5"/>
  <c r="B172" i="5"/>
  <c r="C172" i="5"/>
  <c r="B173" i="5"/>
  <c r="C173" i="5"/>
  <c r="B174" i="5"/>
  <c r="C174" i="5"/>
  <c r="B175" i="5"/>
  <c r="C175" i="5"/>
  <c r="B176" i="5"/>
  <c r="C176" i="5"/>
  <c r="B177" i="5"/>
  <c r="C177" i="5"/>
  <c r="B178" i="5"/>
  <c r="C178" i="5"/>
  <c r="B179" i="5"/>
  <c r="C179" i="5"/>
  <c r="B180" i="5"/>
  <c r="C180" i="5"/>
  <c r="B181" i="5"/>
  <c r="C181" i="5"/>
  <c r="B182" i="5"/>
  <c r="C182" i="5"/>
  <c r="B183" i="5"/>
  <c r="C183" i="5"/>
  <c r="B184" i="5"/>
  <c r="C184" i="5"/>
  <c r="B185" i="5"/>
  <c r="C185" i="5"/>
  <c r="B186" i="5"/>
  <c r="C186" i="5"/>
  <c r="B187" i="5"/>
  <c r="C187" i="5"/>
  <c r="B188" i="5"/>
  <c r="C188" i="5"/>
  <c r="B189" i="5"/>
  <c r="C189" i="5"/>
  <c r="B190" i="5"/>
  <c r="C190" i="5"/>
  <c r="B191" i="5"/>
  <c r="C191" i="5"/>
  <c r="B192" i="5"/>
  <c r="C192" i="5"/>
  <c r="B193" i="5"/>
  <c r="C193" i="5"/>
  <c r="B194" i="5"/>
  <c r="C194" i="5"/>
  <c r="B195" i="5"/>
  <c r="C195" i="5"/>
  <c r="B196" i="5"/>
  <c r="C196" i="5"/>
  <c r="B197" i="5"/>
  <c r="C197" i="5"/>
  <c r="B198" i="5"/>
  <c r="C198" i="5"/>
  <c r="B199" i="5"/>
  <c r="C199" i="5"/>
  <c r="B200" i="5"/>
  <c r="C200" i="5"/>
  <c r="B201" i="5"/>
  <c r="C201" i="5"/>
  <c r="B202" i="5"/>
  <c r="C202" i="5"/>
  <c r="B203" i="5"/>
  <c r="C203" i="5"/>
  <c r="B204" i="5"/>
  <c r="C204" i="5"/>
  <c r="B205" i="5"/>
  <c r="C205" i="5"/>
  <c r="B206" i="5"/>
  <c r="C206" i="5"/>
  <c r="B207" i="5"/>
  <c r="C207" i="5"/>
  <c r="B208" i="5"/>
  <c r="C208" i="5"/>
  <c r="B209" i="5"/>
  <c r="C209" i="5"/>
  <c r="B210" i="5"/>
  <c r="C210" i="5"/>
  <c r="B211" i="5"/>
  <c r="C211" i="5"/>
  <c r="B212" i="5"/>
  <c r="C212" i="5"/>
  <c r="B213" i="5"/>
  <c r="C213" i="5"/>
  <c r="B214" i="5"/>
  <c r="C214" i="5"/>
  <c r="B215" i="5"/>
  <c r="C215" i="5"/>
  <c r="B216" i="5"/>
  <c r="C216" i="5"/>
  <c r="B217" i="5"/>
  <c r="C217" i="5"/>
  <c r="B218" i="5"/>
  <c r="C218" i="5"/>
  <c r="B219" i="5"/>
  <c r="C219" i="5"/>
  <c r="B220" i="5"/>
  <c r="C220" i="5"/>
  <c r="B221" i="5"/>
  <c r="C221" i="5"/>
  <c r="B222" i="5"/>
  <c r="C222" i="5"/>
  <c r="B223" i="5"/>
  <c r="C223" i="5"/>
  <c r="B224" i="5"/>
  <c r="C224" i="5"/>
  <c r="B225" i="5"/>
  <c r="C225" i="5"/>
  <c r="B226" i="5"/>
  <c r="C226" i="5"/>
  <c r="B227" i="5"/>
  <c r="C227" i="5"/>
  <c r="B228" i="5"/>
  <c r="C228" i="5"/>
  <c r="B229" i="5"/>
  <c r="C229" i="5"/>
  <c r="A29" i="15"/>
  <c r="A56" i="49"/>
  <c r="A57" i="49"/>
  <c r="A58" i="49"/>
  <c r="A59" i="49"/>
  <c r="A60" i="49"/>
  <c r="A61" i="49"/>
  <c r="A62" i="49"/>
  <c r="A63" i="49"/>
  <c r="A64" i="49"/>
  <c r="A65" i="49"/>
  <c r="A66" i="49"/>
  <c r="A67" i="49"/>
  <c r="A68" i="49"/>
  <c r="A69" i="49"/>
  <c r="A70" i="49"/>
  <c r="A71" i="49"/>
  <c r="A72" i="49"/>
  <c r="A73" i="49"/>
  <c r="A74" i="49"/>
  <c r="A75" i="49"/>
  <c r="A76" i="49"/>
  <c r="A77" i="49"/>
  <c r="A78" i="49"/>
  <c r="A79" i="49"/>
  <c r="A80" i="49"/>
  <c r="A81" i="49"/>
  <c r="A82" i="49"/>
  <c r="A83" i="49"/>
  <c r="A84" i="49"/>
  <c r="A85" i="49"/>
  <c r="A86" i="49"/>
  <c r="A87" i="49"/>
  <c r="A88" i="49"/>
  <c r="A89" i="49"/>
  <c r="A90" i="49"/>
  <c r="A91" i="49"/>
  <c r="A92" i="49"/>
  <c r="A93" i="49"/>
  <c r="A94" i="49"/>
  <c r="A95" i="49"/>
  <c r="A96" i="49"/>
  <c r="A97" i="49"/>
  <c r="A98" i="49"/>
  <c r="A99" i="49"/>
  <c r="A100" i="49"/>
  <c r="A101" i="49"/>
  <c r="A102" i="49"/>
  <c r="A103" i="49"/>
  <c r="A104" i="49"/>
  <c r="A105" i="49"/>
  <c r="A106" i="49"/>
  <c r="A107" i="49"/>
  <c r="A108" i="49"/>
  <c r="A109" i="49"/>
  <c r="A110" i="49"/>
  <c r="A111" i="49"/>
  <c r="A112" i="49"/>
  <c r="A113" i="49"/>
  <c r="A114" i="49"/>
  <c r="A115" i="49"/>
  <c r="A116" i="49"/>
  <c r="A117" i="49"/>
  <c r="A118" i="49"/>
  <c r="A119" i="49"/>
  <c r="A120" i="49"/>
  <c r="A121" i="49"/>
  <c r="A122" i="49"/>
  <c r="A123" i="49"/>
  <c r="A124" i="49"/>
  <c r="A125" i="49"/>
  <c r="A126" i="49"/>
  <c r="A127" i="49"/>
  <c r="A128" i="49"/>
  <c r="A129" i="49"/>
  <c r="A130" i="49"/>
  <c r="A131" i="49"/>
  <c r="A132" i="49"/>
  <c r="A133" i="49"/>
  <c r="A134" i="49"/>
  <c r="A135" i="49"/>
  <c r="A136" i="49"/>
  <c r="A137" i="49"/>
  <c r="A138" i="49"/>
  <c r="A139" i="49"/>
  <c r="A140" i="49"/>
  <c r="A141" i="49"/>
  <c r="A142" i="49"/>
  <c r="A143" i="49"/>
  <c r="A144" i="49"/>
  <c r="A145" i="49"/>
  <c r="A146" i="49"/>
  <c r="A147" i="49"/>
  <c r="A148" i="49"/>
  <c r="A149" i="49"/>
  <c r="A150" i="49"/>
  <c r="A151" i="49"/>
  <c r="A152" i="49"/>
  <c r="A153" i="49"/>
  <c r="A154" i="49"/>
  <c r="A155" i="49"/>
  <c r="A156" i="49"/>
  <c r="A157" i="49"/>
  <c r="A158" i="49"/>
  <c r="A159" i="49"/>
  <c r="A160" i="49"/>
  <c r="A161" i="49"/>
  <c r="A162" i="49"/>
  <c r="A163" i="49"/>
  <c r="A164" i="49"/>
  <c r="A165" i="49"/>
  <c r="A166" i="49"/>
  <c r="A167" i="49"/>
  <c r="A168" i="49"/>
  <c r="A169" i="49"/>
  <c r="A170" i="49"/>
  <c r="A171" i="49"/>
  <c r="A172" i="49"/>
  <c r="A173" i="49"/>
  <c r="A174" i="49"/>
  <c r="A175" i="49"/>
  <c r="A176" i="49"/>
  <c r="A177" i="49"/>
  <c r="A178" i="49"/>
  <c r="A179" i="49"/>
  <c r="A180" i="49"/>
  <c r="A181" i="49"/>
  <c r="A182" i="49"/>
  <c r="A183" i="49"/>
  <c r="A184" i="49"/>
  <c r="A185" i="49"/>
  <c r="A186" i="49"/>
  <c r="A187" i="49"/>
  <c r="A188" i="49"/>
  <c r="A189" i="49"/>
  <c r="A190" i="49"/>
  <c r="A191" i="49"/>
  <c r="A192" i="49"/>
  <c r="A193" i="49"/>
  <c r="A194" i="49"/>
  <c r="A195" i="49"/>
  <c r="A196" i="49"/>
  <c r="A197" i="49"/>
  <c r="A198" i="49"/>
  <c r="A199" i="49"/>
  <c r="A200" i="49"/>
  <c r="A201" i="49"/>
  <c r="A202" i="49"/>
  <c r="A203" i="49"/>
  <c r="A204" i="49"/>
  <c r="A205" i="49"/>
  <c r="A206" i="49"/>
  <c r="A207" i="49"/>
  <c r="A208" i="49"/>
  <c r="A209" i="49"/>
  <c r="A210" i="49"/>
  <c r="A211" i="49"/>
  <c r="A212" i="49"/>
  <c r="A213" i="49"/>
  <c r="A214" i="49"/>
  <c r="A215" i="49"/>
  <c r="A216" i="49"/>
  <c r="A217" i="49"/>
  <c r="A218" i="49"/>
  <c r="A219" i="49"/>
  <c r="A220" i="49"/>
  <c r="A221" i="49"/>
  <c r="A222" i="49"/>
  <c r="A223" i="49"/>
  <c r="A224" i="49"/>
  <c r="A225" i="49"/>
  <c r="A226" i="49"/>
  <c r="A227" i="49"/>
  <c r="A228" i="49"/>
  <c r="A229" i="49"/>
  <c r="A230" i="49"/>
  <c r="A231" i="49"/>
  <c r="A232" i="49"/>
  <c r="A233" i="49"/>
  <c r="A234" i="49"/>
  <c r="A235" i="49"/>
  <c r="A236" i="49"/>
  <c r="A237" i="49"/>
  <c r="A238" i="49"/>
  <c r="A239" i="49"/>
  <c r="A240" i="49"/>
  <c r="A241" i="49"/>
  <c r="A242" i="49"/>
  <c r="A243" i="49"/>
  <c r="A244" i="49"/>
  <c r="A245" i="49"/>
  <c r="A246" i="49"/>
  <c r="A247" i="49"/>
  <c r="A248" i="49"/>
  <c r="A249" i="49"/>
  <c r="A250" i="49"/>
  <c r="A251" i="49"/>
  <c r="A252" i="49"/>
  <c r="A253" i="49"/>
  <c r="A254" i="49"/>
  <c r="A255" i="49"/>
  <c r="A256" i="49"/>
  <c r="A257" i="49"/>
  <c r="A258" i="49"/>
  <c r="A259" i="49"/>
  <c r="A260" i="49"/>
  <c r="A261" i="49"/>
  <c r="A262" i="49"/>
  <c r="A263" i="49"/>
  <c r="A264" i="49"/>
  <c r="A265" i="49"/>
  <c r="A266" i="49"/>
  <c r="A267" i="49"/>
  <c r="A268" i="49"/>
  <c r="A269" i="49"/>
  <c r="A270" i="49"/>
  <c r="A271" i="49"/>
  <c r="A272" i="49"/>
  <c r="A273" i="49"/>
  <c r="A274" i="49"/>
  <c r="A275" i="49"/>
  <c r="A276" i="49"/>
  <c r="A277" i="49"/>
  <c r="A278" i="49"/>
  <c r="A279" i="49"/>
  <c r="A280" i="49"/>
  <c r="A281" i="49"/>
  <c r="A282" i="49"/>
  <c r="A283" i="49"/>
  <c r="A284" i="49"/>
  <c r="A285" i="49"/>
  <c r="A286" i="49"/>
  <c r="A287" i="49"/>
  <c r="A288" i="49"/>
  <c r="A289" i="49"/>
  <c r="A290" i="49"/>
  <c r="A291" i="49"/>
  <c r="A292" i="49"/>
  <c r="A293" i="49"/>
  <c r="A294" i="49"/>
  <c r="A295" i="49"/>
  <c r="A296" i="49"/>
  <c r="A297" i="49"/>
  <c r="A298" i="49"/>
  <c r="A299" i="49"/>
  <c r="A300" i="49"/>
  <c r="A301" i="49"/>
  <c r="A302" i="49"/>
  <c r="A303" i="49"/>
  <c r="A304" i="49"/>
  <c r="A305" i="49"/>
  <c r="A306" i="49"/>
  <c r="A307" i="49"/>
  <c r="A308" i="49"/>
  <c r="A309" i="49"/>
  <c r="A310" i="49"/>
  <c r="A311" i="49"/>
  <c r="A312" i="49"/>
  <c r="A313" i="49"/>
  <c r="A314" i="49"/>
  <c r="A315" i="49"/>
  <c r="A316" i="49"/>
  <c r="A317" i="49"/>
  <c r="A318" i="49"/>
  <c r="A319" i="49"/>
  <c r="A320" i="49"/>
  <c r="A321" i="49"/>
  <c r="A322" i="49"/>
  <c r="A323" i="49"/>
  <c r="A324" i="49"/>
  <c r="A325" i="49"/>
  <c r="A326" i="49"/>
  <c r="A327" i="49"/>
  <c r="A328" i="49"/>
  <c r="A329" i="49"/>
  <c r="A330" i="49"/>
  <c r="A331" i="49"/>
  <c r="A332" i="49"/>
  <c r="A333" i="49"/>
  <c r="A334" i="49"/>
  <c r="A335" i="49"/>
  <c r="A336" i="49"/>
  <c r="A337" i="49"/>
  <c r="A338" i="49"/>
  <c r="A339" i="49"/>
  <c r="A340" i="49"/>
  <c r="A341" i="49"/>
  <c r="A342" i="49"/>
  <c r="A343" i="49"/>
  <c r="A344" i="49"/>
  <c r="A345" i="49"/>
  <c r="A346" i="49"/>
  <c r="A347" i="49"/>
  <c r="A348" i="49"/>
  <c r="A349" i="49"/>
  <c r="A350" i="49"/>
  <c r="A351" i="49"/>
  <c r="A352" i="49"/>
  <c r="A353" i="49"/>
  <c r="A354" i="49"/>
  <c r="A355" i="49"/>
  <c r="A356" i="49"/>
  <c r="A357" i="49"/>
  <c r="A358" i="49"/>
  <c r="A359" i="49"/>
  <c r="A360" i="49"/>
  <c r="A361" i="49"/>
  <c r="A362" i="49"/>
  <c r="A363" i="49"/>
  <c r="A364" i="49"/>
  <c r="A365" i="49"/>
  <c r="A366" i="49"/>
  <c r="A367" i="49"/>
  <c r="A368" i="49"/>
  <c r="A369" i="49"/>
  <c r="A370" i="49"/>
  <c r="A371" i="49"/>
  <c r="A372" i="49"/>
  <c r="A373" i="49"/>
  <c r="A374" i="49"/>
  <c r="A375" i="49"/>
  <c r="A376" i="49"/>
  <c r="A377" i="49"/>
  <c r="A378" i="49"/>
  <c r="A379" i="49"/>
  <c r="A380" i="49"/>
  <c r="A381" i="49"/>
  <c r="A382" i="49"/>
  <c r="A383" i="49"/>
  <c r="A384" i="49"/>
  <c r="A385" i="49"/>
  <c r="A386" i="49"/>
  <c r="A387" i="49"/>
  <c r="A388" i="49"/>
  <c r="A389" i="49"/>
  <c r="A390" i="49"/>
  <c r="A391" i="49"/>
  <c r="A392" i="49"/>
  <c r="A393" i="49"/>
  <c r="A394" i="49"/>
  <c r="A395" i="49"/>
  <c r="A396" i="49"/>
  <c r="A397" i="49"/>
  <c r="A398" i="49"/>
  <c r="A399" i="49"/>
  <c r="A400" i="49"/>
  <c r="A401" i="49"/>
  <c r="A402" i="49"/>
  <c r="A403" i="49"/>
  <c r="A404" i="49"/>
  <c r="A405" i="49"/>
  <c r="A406" i="49"/>
  <c r="A407" i="49"/>
  <c r="A408" i="49"/>
  <c r="A409" i="49"/>
  <c r="A410" i="49"/>
  <c r="A411" i="49"/>
  <c r="A412" i="49"/>
  <c r="A413" i="49"/>
  <c r="A414" i="49"/>
  <c r="A415" i="49"/>
  <c r="A416" i="49"/>
  <c r="A417" i="49"/>
  <c r="A418" i="49"/>
  <c r="A419" i="49"/>
  <c r="A420" i="49"/>
  <c r="A421" i="49"/>
  <c r="A422" i="49"/>
  <c r="A423" i="49"/>
  <c r="A424" i="49"/>
  <c r="A425" i="49"/>
  <c r="A426" i="49"/>
  <c r="A427" i="49"/>
  <c r="A428" i="49"/>
  <c r="A429" i="49"/>
  <c r="O8" i="49" l="1" a="1"/>
  <c r="O8" i="49" s="1"/>
  <c r="F56" i="49" l="1"/>
  <c r="G56" i="49" s="1"/>
  <c r="H56" i="49"/>
  <c r="I56" i="49"/>
  <c r="J56" i="49"/>
  <c r="J58" i="49"/>
  <c r="F60" i="49"/>
  <c r="G60" i="49" s="1"/>
  <c r="H60" i="49"/>
  <c r="I60" i="49"/>
  <c r="J60" i="49"/>
  <c r="F62" i="49"/>
  <c r="G62" i="49" s="1"/>
  <c r="H62" i="49"/>
  <c r="F64" i="49"/>
  <c r="G64" i="49" s="1"/>
  <c r="H64" i="49"/>
  <c r="I64" i="49"/>
  <c r="J64" i="49"/>
  <c r="F66" i="49"/>
  <c r="G66" i="49" s="1"/>
  <c r="H66" i="49"/>
  <c r="I66" i="49"/>
  <c r="J66" i="49"/>
  <c r="F68" i="49"/>
  <c r="G68" i="49" s="1"/>
  <c r="H68" i="49"/>
  <c r="I68" i="49"/>
  <c r="J68" i="49"/>
  <c r="J70" i="49"/>
  <c r="F72" i="49"/>
  <c r="G72" i="49" s="1"/>
  <c r="H72" i="49"/>
  <c r="I72" i="49"/>
  <c r="J72" i="49"/>
  <c r="F74" i="49"/>
  <c r="G74" i="49" s="1"/>
  <c r="H74" i="49"/>
  <c r="I74" i="49"/>
  <c r="J74" i="49"/>
  <c r="F76" i="49"/>
  <c r="G76" i="49" s="1"/>
  <c r="H76" i="49"/>
  <c r="I76" i="49"/>
  <c r="J76" i="49"/>
  <c r="F78" i="49"/>
  <c r="G78" i="49" s="1"/>
  <c r="H78" i="49"/>
  <c r="I78" i="49"/>
  <c r="J78" i="49"/>
  <c r="F80" i="49"/>
  <c r="G80" i="49" s="1"/>
  <c r="H80" i="49"/>
  <c r="I80" i="49"/>
  <c r="J80" i="49"/>
  <c r="J82" i="49"/>
  <c r="F84" i="49"/>
  <c r="G84" i="49" s="1"/>
  <c r="H84" i="49"/>
  <c r="I84" i="49"/>
  <c r="J84" i="49"/>
  <c r="F86" i="49"/>
  <c r="G86" i="49" s="1"/>
  <c r="H86" i="49"/>
  <c r="I86" i="49"/>
  <c r="J86" i="49"/>
  <c r="F88" i="49"/>
  <c r="G88" i="49" s="1"/>
  <c r="H88" i="49"/>
  <c r="I88" i="49"/>
  <c r="J88" i="49"/>
  <c r="F90" i="49"/>
  <c r="G90" i="49" s="1"/>
  <c r="H90" i="49"/>
  <c r="I90" i="49"/>
  <c r="J90" i="49"/>
  <c r="F92" i="49"/>
  <c r="G92" i="49" s="1"/>
  <c r="H92" i="49"/>
  <c r="I92" i="49"/>
  <c r="J92" i="49"/>
  <c r="I94" i="49"/>
  <c r="J94" i="49"/>
  <c r="F96" i="49"/>
  <c r="G96" i="49" s="1"/>
  <c r="H96" i="49"/>
  <c r="I96" i="49"/>
  <c r="J96" i="49"/>
  <c r="F98" i="49"/>
  <c r="G98" i="49" s="1"/>
  <c r="H98" i="49"/>
  <c r="I98" i="49"/>
  <c r="J98" i="49"/>
  <c r="F100" i="49"/>
  <c r="G100" i="49" s="1"/>
  <c r="H100" i="49"/>
  <c r="I100" i="49"/>
  <c r="J100" i="49"/>
  <c r="F102" i="49"/>
  <c r="G102" i="49" s="1"/>
  <c r="H102" i="49"/>
  <c r="I102" i="49"/>
  <c r="J102" i="49"/>
  <c r="F104" i="49"/>
  <c r="G104" i="49" s="1"/>
  <c r="H104" i="49"/>
  <c r="I104" i="49"/>
  <c r="J104" i="49"/>
  <c r="J106" i="49"/>
  <c r="F108" i="49"/>
  <c r="G108" i="49" s="1"/>
  <c r="H108" i="49"/>
  <c r="I108" i="49"/>
  <c r="J108" i="49"/>
  <c r="F110" i="49"/>
  <c r="G110" i="49" s="1"/>
  <c r="H110" i="49"/>
  <c r="I110" i="49"/>
  <c r="J110" i="49"/>
  <c r="F112" i="49"/>
  <c r="G112" i="49" s="1"/>
  <c r="H112" i="49"/>
  <c r="I112" i="49"/>
  <c r="J112" i="49"/>
  <c r="F114" i="49"/>
  <c r="G114" i="49" s="1"/>
  <c r="H114" i="49"/>
  <c r="I114" i="49"/>
  <c r="J114" i="49"/>
  <c r="F116" i="49"/>
  <c r="G116" i="49" s="1"/>
  <c r="H116" i="49"/>
  <c r="I116" i="49"/>
  <c r="J116" i="49"/>
  <c r="F118" i="49"/>
  <c r="G118" i="49" s="1"/>
  <c r="H118" i="49"/>
  <c r="F120" i="49"/>
  <c r="G120" i="49" s="1"/>
  <c r="H120" i="49"/>
  <c r="I120" i="49"/>
  <c r="J120" i="49"/>
  <c r="F122" i="49"/>
  <c r="G122" i="49" s="1"/>
  <c r="H122" i="49"/>
  <c r="I122" i="49"/>
  <c r="J122" i="49"/>
  <c r="F124" i="49"/>
  <c r="G124" i="49" s="1"/>
  <c r="H124" i="49"/>
  <c r="I124" i="49"/>
  <c r="J124" i="49"/>
  <c r="F126" i="49"/>
  <c r="G126" i="49" s="1"/>
  <c r="H126" i="49"/>
  <c r="I126" i="49"/>
  <c r="J126" i="49"/>
  <c r="F128" i="49"/>
  <c r="G128" i="49" s="1"/>
  <c r="H128" i="49"/>
  <c r="I128" i="49"/>
  <c r="J128" i="49"/>
  <c r="F132" i="49"/>
  <c r="G132" i="49" s="1"/>
  <c r="H132" i="49"/>
  <c r="I132" i="49"/>
  <c r="J132" i="49"/>
  <c r="F134" i="49"/>
  <c r="G134" i="49" s="1"/>
  <c r="H134" i="49"/>
  <c r="I134" i="49"/>
  <c r="J134" i="49"/>
  <c r="F136" i="49"/>
  <c r="G136" i="49" s="1"/>
  <c r="H136" i="49"/>
  <c r="F138" i="49"/>
  <c r="G138" i="49" s="1"/>
  <c r="H138" i="49"/>
  <c r="I138" i="49"/>
  <c r="J138" i="49"/>
  <c r="F140" i="49"/>
  <c r="G140" i="49" s="1"/>
  <c r="H140" i="49"/>
  <c r="I140" i="49"/>
  <c r="J140" i="49"/>
  <c r="J142" i="49"/>
  <c r="F144" i="49"/>
  <c r="G144" i="49" s="1"/>
  <c r="H144" i="49"/>
  <c r="I144" i="49"/>
  <c r="J144" i="49"/>
  <c r="F146" i="49"/>
  <c r="G146" i="49" s="1"/>
  <c r="H146" i="49"/>
  <c r="I146" i="49"/>
  <c r="J146" i="49"/>
  <c r="F148" i="49"/>
  <c r="G148" i="49" s="1"/>
  <c r="H148" i="49"/>
  <c r="I148" i="49"/>
  <c r="J148" i="49"/>
  <c r="F150" i="49"/>
  <c r="G150" i="49" s="1"/>
  <c r="H150" i="49"/>
  <c r="I150" i="49"/>
  <c r="J150" i="49"/>
  <c r="F152" i="49"/>
  <c r="G152" i="49" s="1"/>
  <c r="H152" i="49"/>
  <c r="I152" i="49"/>
  <c r="J152" i="49"/>
  <c r="J154" i="49"/>
  <c r="F156" i="49"/>
  <c r="G156" i="49" s="1"/>
  <c r="H156" i="49"/>
  <c r="I156" i="49"/>
  <c r="J156" i="49"/>
  <c r="F158" i="49"/>
  <c r="G158" i="49" s="1"/>
  <c r="H158" i="49"/>
  <c r="I158" i="49"/>
  <c r="J158" i="49"/>
  <c r="F160" i="49"/>
  <c r="G160" i="49" s="1"/>
  <c r="H160" i="49"/>
  <c r="I160" i="49"/>
  <c r="J160" i="49"/>
  <c r="F162" i="49"/>
  <c r="G162" i="49" s="1"/>
  <c r="H162" i="49"/>
  <c r="I162" i="49"/>
  <c r="J162" i="49"/>
  <c r="F164" i="49"/>
  <c r="G164" i="49" s="1"/>
  <c r="H164" i="49"/>
  <c r="I164" i="49"/>
  <c r="J164" i="49"/>
  <c r="J166" i="49"/>
  <c r="F168" i="49"/>
  <c r="G168" i="49" s="1"/>
  <c r="H168" i="49"/>
  <c r="I168" i="49"/>
  <c r="J168" i="49"/>
  <c r="F170" i="49"/>
  <c r="G170" i="49" s="1"/>
  <c r="H170" i="49"/>
  <c r="F172" i="49"/>
  <c r="G172" i="49" s="1"/>
  <c r="H172" i="49"/>
  <c r="I172" i="49"/>
  <c r="J172" i="49"/>
  <c r="F174" i="49"/>
  <c r="G174" i="49" s="1"/>
  <c r="H174" i="49"/>
  <c r="I174" i="49"/>
  <c r="J174" i="49"/>
  <c r="F176" i="49"/>
  <c r="G176" i="49" s="1"/>
  <c r="H176" i="49"/>
  <c r="I176" i="49"/>
  <c r="J176" i="49"/>
  <c r="J178" i="49"/>
  <c r="F180" i="49"/>
  <c r="G180" i="49" s="1"/>
  <c r="H180" i="49"/>
  <c r="I180" i="49"/>
  <c r="J180" i="49"/>
  <c r="F182" i="49"/>
  <c r="G182" i="49" s="1"/>
  <c r="H182" i="49"/>
  <c r="I182" i="49"/>
  <c r="J182" i="49"/>
  <c r="F184" i="49"/>
  <c r="G184" i="49" s="1"/>
  <c r="H184" i="49"/>
  <c r="I184" i="49"/>
  <c r="J184" i="49"/>
  <c r="F186" i="49"/>
  <c r="G186" i="49" s="1"/>
  <c r="H186" i="49"/>
  <c r="I186" i="49"/>
  <c r="J186" i="49"/>
  <c r="F188" i="49"/>
  <c r="G188" i="49" s="1"/>
  <c r="H188" i="49"/>
  <c r="I188" i="49"/>
  <c r="J188" i="49"/>
  <c r="J190" i="49"/>
  <c r="F192" i="49"/>
  <c r="G192" i="49" s="1"/>
  <c r="H192" i="49"/>
  <c r="I192" i="49"/>
  <c r="J192" i="49"/>
  <c r="F194" i="49"/>
  <c r="G194" i="49" s="1"/>
  <c r="H194" i="49"/>
  <c r="I194" i="49"/>
  <c r="J194" i="49"/>
  <c r="F196" i="49"/>
  <c r="G196" i="49" s="1"/>
  <c r="H196" i="49"/>
  <c r="I196" i="49"/>
  <c r="J196" i="49"/>
  <c r="F198" i="49"/>
  <c r="G198" i="49" s="1"/>
  <c r="H198" i="49"/>
  <c r="I198" i="49"/>
  <c r="J198" i="49"/>
  <c r="F200" i="49"/>
  <c r="G200" i="49" s="1"/>
  <c r="H200" i="49"/>
  <c r="I200" i="49"/>
  <c r="J200" i="49"/>
  <c r="J202" i="49"/>
  <c r="F204" i="49"/>
  <c r="G204" i="49" s="1"/>
  <c r="H204" i="49"/>
  <c r="I204" i="49"/>
  <c r="J204" i="49"/>
  <c r="F206" i="49"/>
  <c r="G206" i="49" s="1"/>
  <c r="H206" i="49"/>
  <c r="F208" i="49"/>
  <c r="G208" i="49" s="1"/>
  <c r="H208" i="49"/>
  <c r="I208" i="49"/>
  <c r="J208" i="49"/>
  <c r="F210" i="49"/>
  <c r="G210" i="49" s="1"/>
  <c r="H210" i="49"/>
  <c r="I210" i="49"/>
  <c r="J210" i="49"/>
  <c r="F212" i="49"/>
  <c r="G212" i="49" s="1"/>
  <c r="H212" i="49"/>
  <c r="I212" i="49"/>
  <c r="J212" i="49"/>
  <c r="J214" i="49"/>
  <c r="F216" i="49"/>
  <c r="G216" i="49" s="1"/>
  <c r="H216" i="49"/>
  <c r="I216" i="49"/>
  <c r="J216" i="49"/>
  <c r="F218" i="49"/>
  <c r="G218" i="49" s="1"/>
  <c r="H218" i="49"/>
  <c r="I218" i="49"/>
  <c r="J218" i="49"/>
  <c r="F220" i="49"/>
  <c r="G220" i="49" s="1"/>
  <c r="H220" i="49"/>
  <c r="I220" i="49"/>
  <c r="J220" i="49"/>
  <c r="F222" i="49"/>
  <c r="G222" i="49" s="1"/>
  <c r="H222" i="49"/>
  <c r="I222" i="49"/>
  <c r="J222" i="49"/>
  <c r="F224" i="49"/>
  <c r="G224" i="49" s="1"/>
  <c r="H224" i="49"/>
  <c r="I224" i="49"/>
  <c r="J224" i="49"/>
  <c r="J226" i="49"/>
  <c r="F228" i="49"/>
  <c r="G228" i="49" s="1"/>
  <c r="H228" i="49"/>
  <c r="I228" i="49"/>
  <c r="J228" i="49"/>
  <c r="F230" i="49"/>
  <c r="G230" i="49" s="1"/>
  <c r="H230" i="49"/>
  <c r="I230" i="49"/>
  <c r="J230" i="49"/>
  <c r="F232" i="49"/>
  <c r="G232" i="49" s="1"/>
  <c r="H232" i="49"/>
  <c r="I232" i="49"/>
  <c r="J232" i="49"/>
  <c r="F234" i="49"/>
  <c r="G234" i="49" s="1"/>
  <c r="H234" i="49"/>
  <c r="I234" i="49"/>
  <c r="J234" i="49"/>
  <c r="F236" i="49"/>
  <c r="G236" i="49" s="1"/>
  <c r="H236" i="49"/>
  <c r="I236" i="49"/>
  <c r="J236" i="49"/>
  <c r="J238" i="49"/>
  <c r="F240" i="49"/>
  <c r="G240" i="49" s="1"/>
  <c r="H240" i="49"/>
  <c r="I240" i="49"/>
  <c r="J240" i="49"/>
  <c r="F242" i="49"/>
  <c r="G242" i="49" s="1"/>
  <c r="H242" i="49"/>
  <c r="I242" i="49"/>
  <c r="J242" i="49"/>
  <c r="F244" i="49"/>
  <c r="G244" i="49" s="1"/>
  <c r="H244" i="49"/>
  <c r="I244" i="49"/>
  <c r="J244" i="49"/>
  <c r="F246" i="49"/>
  <c r="G246" i="49" s="1"/>
  <c r="H246" i="49"/>
  <c r="I246" i="49"/>
  <c r="J246" i="49"/>
  <c r="F248" i="49"/>
  <c r="G248" i="49" s="1"/>
  <c r="H248" i="49"/>
  <c r="J250" i="49"/>
  <c r="F252" i="49"/>
  <c r="G252" i="49" s="1"/>
  <c r="H252" i="49"/>
  <c r="I252" i="49"/>
  <c r="J252" i="49"/>
  <c r="F254" i="49"/>
  <c r="G254" i="49" s="1"/>
  <c r="H254" i="49"/>
  <c r="I254" i="49"/>
  <c r="J254" i="49"/>
  <c r="F256" i="49"/>
  <c r="G256" i="49" s="1"/>
  <c r="H256" i="49"/>
  <c r="I256" i="49"/>
  <c r="J256" i="49"/>
  <c r="F258" i="49"/>
  <c r="G258" i="49" s="1"/>
  <c r="H258" i="49"/>
  <c r="I258" i="49"/>
  <c r="J258" i="49"/>
  <c r="F260" i="49"/>
  <c r="G260" i="49" s="1"/>
  <c r="H260" i="49"/>
  <c r="J262" i="49"/>
  <c r="F264" i="49"/>
  <c r="G264" i="49" s="1"/>
  <c r="H264" i="49"/>
  <c r="I264" i="49"/>
  <c r="J264" i="49"/>
  <c r="F266" i="49"/>
  <c r="G266" i="49" s="1"/>
  <c r="H266" i="49"/>
  <c r="I266" i="49"/>
  <c r="J266" i="49"/>
  <c r="F268" i="49"/>
  <c r="G268" i="49" s="1"/>
  <c r="H268" i="49"/>
  <c r="F270" i="49"/>
  <c r="G270" i="49" s="1"/>
  <c r="H270" i="49"/>
  <c r="I270" i="49"/>
  <c r="J270" i="49"/>
  <c r="F272" i="49"/>
  <c r="G272" i="49" s="1"/>
  <c r="H272" i="49"/>
  <c r="I272" i="49"/>
  <c r="J272" i="49"/>
  <c r="J274" i="49"/>
  <c r="F276" i="49"/>
  <c r="G276" i="49" s="1"/>
  <c r="H276" i="49"/>
  <c r="I276" i="49"/>
  <c r="J276" i="49"/>
  <c r="F278" i="49"/>
  <c r="G278" i="49" s="1"/>
  <c r="H278" i="49"/>
  <c r="I278" i="49"/>
  <c r="J278" i="49"/>
  <c r="F280" i="49"/>
  <c r="G280" i="49" s="1"/>
  <c r="H280" i="49"/>
  <c r="I280" i="49"/>
  <c r="J280" i="49"/>
  <c r="F282" i="49"/>
  <c r="G282" i="49" s="1"/>
  <c r="H282" i="49"/>
  <c r="F284" i="49"/>
  <c r="G284" i="49" s="1"/>
  <c r="H284" i="49"/>
  <c r="I284" i="49"/>
  <c r="J284" i="49"/>
  <c r="J286" i="49"/>
  <c r="J288" i="49"/>
  <c r="F290" i="49"/>
  <c r="G290" i="49" s="1"/>
  <c r="H290" i="49"/>
  <c r="I290" i="49"/>
  <c r="J290" i="49"/>
  <c r="F292" i="49"/>
  <c r="G292" i="49" s="1"/>
  <c r="H292" i="49"/>
  <c r="I292" i="49"/>
  <c r="J292" i="49"/>
  <c r="F294" i="49"/>
  <c r="G294" i="49" s="1"/>
  <c r="H294" i="49"/>
  <c r="I294" i="49"/>
  <c r="J294" i="49"/>
  <c r="F296" i="49"/>
  <c r="G296" i="49" s="1"/>
  <c r="H296" i="49"/>
  <c r="I296" i="49"/>
  <c r="J296" i="49"/>
  <c r="J298" i="49"/>
  <c r="F300" i="49"/>
  <c r="G300" i="49" s="1"/>
  <c r="H300" i="49"/>
  <c r="I300" i="49"/>
  <c r="J300" i="49"/>
  <c r="F302" i="49"/>
  <c r="G302" i="49" s="1"/>
  <c r="H302" i="49"/>
  <c r="I302" i="49"/>
  <c r="J302" i="49"/>
  <c r="F304" i="49"/>
  <c r="G304" i="49" s="1"/>
  <c r="H304" i="49"/>
  <c r="I304" i="49"/>
  <c r="J304" i="49"/>
  <c r="F306" i="49"/>
  <c r="G306" i="49" s="1"/>
  <c r="H306" i="49"/>
  <c r="I306" i="49"/>
  <c r="J306" i="49"/>
  <c r="F308" i="49"/>
  <c r="G308" i="49" s="1"/>
  <c r="H308" i="49"/>
  <c r="I308" i="49"/>
  <c r="J308" i="49"/>
  <c r="J310" i="49"/>
  <c r="F312" i="49"/>
  <c r="G312" i="49" s="1"/>
  <c r="H312" i="49"/>
  <c r="I312" i="49"/>
  <c r="J312" i="49"/>
  <c r="F314" i="49"/>
  <c r="G314" i="49" s="1"/>
  <c r="H314" i="49"/>
  <c r="I314" i="49"/>
  <c r="J314" i="49"/>
  <c r="F318" i="49"/>
  <c r="G318" i="49" s="1"/>
  <c r="H318" i="49"/>
  <c r="I318" i="49"/>
  <c r="J318" i="49"/>
  <c r="F320" i="49"/>
  <c r="G320" i="49" s="1"/>
  <c r="H320" i="49"/>
  <c r="I320" i="49"/>
  <c r="J320" i="49"/>
  <c r="J322" i="49"/>
  <c r="F324" i="49"/>
  <c r="G324" i="49" s="1"/>
  <c r="H324" i="49"/>
  <c r="I324" i="49"/>
  <c r="J324" i="49"/>
  <c r="F326" i="49"/>
  <c r="G326" i="49" s="1"/>
  <c r="H326" i="49"/>
  <c r="I326" i="49"/>
  <c r="J326" i="49"/>
  <c r="F328" i="49"/>
  <c r="G328" i="49" s="1"/>
  <c r="H328" i="49"/>
  <c r="I328" i="49"/>
  <c r="J328" i="49"/>
  <c r="F330" i="49"/>
  <c r="G330" i="49" s="1"/>
  <c r="H330" i="49"/>
  <c r="I330" i="49"/>
  <c r="J330" i="49"/>
  <c r="F332" i="49"/>
  <c r="G332" i="49" s="1"/>
  <c r="H332" i="49"/>
  <c r="I332" i="49"/>
  <c r="J332" i="49"/>
  <c r="J334" i="49"/>
  <c r="J336" i="49"/>
  <c r="F338" i="49"/>
  <c r="G338" i="49" s="1"/>
  <c r="H338" i="49"/>
  <c r="I338" i="49"/>
  <c r="J338" i="49"/>
  <c r="F340" i="49"/>
  <c r="G340" i="49" s="1"/>
  <c r="H340" i="49"/>
  <c r="I340" i="49"/>
  <c r="J340" i="49"/>
  <c r="F342" i="49"/>
  <c r="G342" i="49" s="1"/>
  <c r="H342" i="49"/>
  <c r="I342" i="49"/>
  <c r="J342" i="49"/>
  <c r="F344" i="49"/>
  <c r="G344" i="49" s="1"/>
  <c r="H344" i="49"/>
  <c r="I344" i="49"/>
  <c r="J344" i="49"/>
  <c r="J346" i="49"/>
  <c r="J348" i="49"/>
  <c r="F350" i="49"/>
  <c r="G350" i="49" s="1"/>
  <c r="H350" i="49"/>
  <c r="I350" i="49"/>
  <c r="J350" i="49"/>
  <c r="F352" i="49"/>
  <c r="G352" i="49" s="1"/>
  <c r="H352" i="49"/>
  <c r="I352" i="49"/>
  <c r="J352" i="49"/>
  <c r="F354" i="49"/>
  <c r="G354" i="49" s="1"/>
  <c r="H354" i="49"/>
  <c r="I354" i="49"/>
  <c r="J354" i="49"/>
  <c r="F356" i="49"/>
  <c r="G356" i="49" s="1"/>
  <c r="H356" i="49"/>
  <c r="I356" i="49"/>
  <c r="J356" i="49"/>
  <c r="J358" i="49"/>
  <c r="F360" i="49"/>
  <c r="G360" i="49" s="1"/>
  <c r="H360" i="49"/>
  <c r="I360" i="49"/>
  <c r="J360" i="49"/>
  <c r="F362" i="49"/>
  <c r="G362" i="49" s="1"/>
  <c r="H362" i="49"/>
  <c r="I362" i="49"/>
  <c r="J362" i="49"/>
  <c r="F364" i="49"/>
  <c r="G364" i="49" s="1"/>
  <c r="H364" i="49"/>
  <c r="I364" i="49"/>
  <c r="J364" i="49"/>
  <c r="F366" i="49"/>
  <c r="G366" i="49" s="1"/>
  <c r="H366" i="49"/>
  <c r="I366" i="49"/>
  <c r="J366" i="49"/>
  <c r="F368" i="49"/>
  <c r="G368" i="49" s="1"/>
  <c r="H368" i="49"/>
  <c r="I368" i="49"/>
  <c r="J368" i="49"/>
  <c r="J370" i="49"/>
  <c r="F372" i="49"/>
  <c r="G372" i="49" s="1"/>
  <c r="H372" i="49"/>
  <c r="I372" i="49"/>
  <c r="J372" i="49"/>
  <c r="F374" i="49"/>
  <c r="G374" i="49" s="1"/>
  <c r="H374" i="49"/>
  <c r="I374" i="49"/>
  <c r="J374" i="49"/>
  <c r="F376" i="49"/>
  <c r="G376" i="49" s="1"/>
  <c r="H376" i="49"/>
  <c r="I376" i="49"/>
  <c r="J376" i="49"/>
  <c r="F378" i="49"/>
  <c r="G378" i="49" s="1"/>
  <c r="H378" i="49"/>
  <c r="I378" i="49"/>
  <c r="J378" i="49"/>
  <c r="F380" i="49"/>
  <c r="G380" i="49" s="1"/>
  <c r="H380" i="49"/>
  <c r="I380" i="49"/>
  <c r="J380" i="49"/>
  <c r="J382" i="49"/>
  <c r="F384" i="49"/>
  <c r="G384" i="49" s="1"/>
  <c r="H384" i="49"/>
  <c r="I384" i="49"/>
  <c r="J384" i="49"/>
  <c r="F386" i="49"/>
  <c r="G386" i="49" s="1"/>
  <c r="H386" i="49"/>
  <c r="I386" i="49"/>
  <c r="J386" i="49"/>
  <c r="F388" i="49"/>
  <c r="G388" i="49" s="1"/>
  <c r="H388" i="49"/>
  <c r="I388" i="49"/>
  <c r="J388" i="49"/>
  <c r="F390" i="49"/>
  <c r="G390" i="49" s="1"/>
  <c r="H390" i="49"/>
  <c r="I390" i="49"/>
  <c r="J390" i="49"/>
  <c r="F392" i="49"/>
  <c r="G392" i="49" s="1"/>
  <c r="H392" i="49"/>
  <c r="I392" i="49"/>
  <c r="J392" i="49"/>
  <c r="J394" i="49"/>
  <c r="F396" i="49"/>
  <c r="G396" i="49" s="1"/>
  <c r="H396" i="49"/>
  <c r="I396" i="49"/>
  <c r="J396" i="49"/>
  <c r="F398" i="49"/>
  <c r="G398" i="49" s="1"/>
  <c r="H398" i="49"/>
  <c r="I398" i="49"/>
  <c r="J398" i="49"/>
  <c r="F400" i="49"/>
  <c r="G400" i="49" s="1"/>
  <c r="H400" i="49"/>
  <c r="I400" i="49"/>
  <c r="J400" i="49"/>
  <c r="F402" i="49"/>
  <c r="G402" i="49" s="1"/>
  <c r="H402" i="49"/>
  <c r="I402" i="49"/>
  <c r="J402" i="49"/>
  <c r="F404" i="49"/>
  <c r="G404" i="49" s="1"/>
  <c r="H404" i="49"/>
  <c r="I404" i="49"/>
  <c r="J404" i="49"/>
  <c r="F408" i="49"/>
  <c r="G408" i="49" s="1"/>
  <c r="H408" i="49"/>
  <c r="I408" i="49"/>
  <c r="J408" i="49"/>
  <c r="F410" i="49"/>
  <c r="G410" i="49" s="1"/>
  <c r="H410" i="49"/>
  <c r="I410" i="49"/>
  <c r="J410" i="49"/>
  <c r="F412" i="49"/>
  <c r="G412" i="49" s="1"/>
  <c r="H412" i="49"/>
  <c r="I412" i="49"/>
  <c r="J412" i="49"/>
  <c r="F414" i="49"/>
  <c r="G414" i="49" s="1"/>
  <c r="H414" i="49"/>
  <c r="I414" i="49"/>
  <c r="J414" i="49"/>
  <c r="F416" i="49"/>
  <c r="G416" i="49" s="1"/>
  <c r="H416" i="49"/>
  <c r="I416" i="49"/>
  <c r="J416" i="49"/>
  <c r="J418" i="49"/>
  <c r="F420" i="49"/>
  <c r="G420" i="49" s="1"/>
  <c r="H420" i="49"/>
  <c r="I420" i="49"/>
  <c r="J420" i="49"/>
  <c r="F422" i="49"/>
  <c r="G422" i="49" s="1"/>
  <c r="H422" i="49"/>
  <c r="I422" i="49"/>
  <c r="J422" i="49"/>
  <c r="F424" i="49"/>
  <c r="G424" i="49" s="1"/>
  <c r="H424" i="49"/>
  <c r="I424" i="49"/>
  <c r="J424" i="49"/>
  <c r="F426" i="49"/>
  <c r="G426" i="49" s="1"/>
  <c r="H426" i="49"/>
  <c r="I426" i="49"/>
  <c r="J426" i="49"/>
  <c r="F428" i="49"/>
  <c r="G428" i="49" s="1"/>
  <c r="H428" i="49"/>
  <c r="I428" i="49"/>
  <c r="J428" i="49"/>
  <c r="A14" i="49"/>
  <c r="A15" i="49"/>
  <c r="N13" i="54" l="1"/>
  <c r="O13" i="54"/>
  <c r="N14" i="54"/>
  <c r="R14" i="54" s="1"/>
  <c r="O14" i="54"/>
  <c r="N15" i="54"/>
  <c r="O15" i="54"/>
  <c r="Q15" i="54" s="1"/>
  <c r="N18" i="54"/>
  <c r="Q18" i="54" s="1"/>
  <c r="O18" i="54"/>
  <c r="R18" i="54"/>
  <c r="N19" i="54"/>
  <c r="O19" i="54"/>
  <c r="N21" i="54"/>
  <c r="R21" i="54" s="1"/>
  <c r="O21" i="54"/>
  <c r="Q21" i="54" s="1"/>
  <c r="P21" i="54"/>
  <c r="N22" i="54"/>
  <c r="O22" i="54"/>
  <c r="N23" i="54"/>
  <c r="P23" i="54" s="1"/>
  <c r="O23" i="54"/>
  <c r="N24" i="54"/>
  <c r="O24" i="54"/>
  <c r="N25" i="54"/>
  <c r="O25" i="54"/>
  <c r="Q25" i="54" s="1"/>
  <c r="N26" i="54"/>
  <c r="R26" i="54" s="1"/>
  <c r="O26" i="54"/>
  <c r="P26" i="54" s="1"/>
  <c r="N27" i="54"/>
  <c r="O27" i="54"/>
  <c r="N28" i="54"/>
  <c r="R28" i="54" s="1"/>
  <c r="O28" i="54"/>
  <c r="N29" i="54"/>
  <c r="P29" i="54" s="1"/>
  <c r="O29" i="54"/>
  <c r="Q29" i="54"/>
  <c r="R29" i="54"/>
  <c r="N30" i="54"/>
  <c r="R30" i="54" s="1"/>
  <c r="O30" i="54"/>
  <c r="N31" i="54"/>
  <c r="P31" i="54" s="1"/>
  <c r="O31" i="54"/>
  <c r="Q31" i="54"/>
  <c r="R31" i="54"/>
  <c r="N32" i="54"/>
  <c r="O32" i="54"/>
  <c r="N33" i="54"/>
  <c r="O33" i="54"/>
  <c r="N34" i="54"/>
  <c r="O34" i="54"/>
  <c r="P34" i="54" s="1"/>
  <c r="Q34" i="54"/>
  <c r="R34" i="54"/>
  <c r="N35" i="54"/>
  <c r="O35" i="54"/>
  <c r="N36" i="54"/>
  <c r="O36" i="54"/>
  <c r="Q36" i="54" s="1"/>
  <c r="N37" i="54"/>
  <c r="O37" i="54"/>
  <c r="P37" i="54"/>
  <c r="Q37" i="54"/>
  <c r="R37" i="54"/>
  <c r="N38" i="54"/>
  <c r="R38" i="54" s="1"/>
  <c r="O38" i="54"/>
  <c r="N39" i="54"/>
  <c r="P39" i="54" s="1"/>
  <c r="O39" i="54"/>
  <c r="Q39" i="54"/>
  <c r="R39" i="54"/>
  <c r="N40" i="54"/>
  <c r="O40" i="54"/>
  <c r="N41" i="54"/>
  <c r="O41" i="54"/>
  <c r="Q41" i="54" s="1"/>
  <c r="N42" i="54"/>
  <c r="O42" i="54"/>
  <c r="Q42" i="54"/>
  <c r="N43" i="54"/>
  <c r="O43" i="54"/>
  <c r="N44" i="54"/>
  <c r="O44" i="54"/>
  <c r="N45" i="54"/>
  <c r="O45" i="54"/>
  <c r="P45" i="54"/>
  <c r="N46" i="54"/>
  <c r="P46" i="54" s="1"/>
  <c r="O46" i="54"/>
  <c r="N47" i="54"/>
  <c r="O47" i="54"/>
  <c r="Q47" i="54" s="1"/>
  <c r="P47" i="54"/>
  <c r="N48" i="54"/>
  <c r="O48" i="54"/>
  <c r="N49" i="54"/>
  <c r="O49" i="54"/>
  <c r="N50" i="54"/>
  <c r="O50" i="54"/>
  <c r="Q50" i="54"/>
  <c r="N51" i="54"/>
  <c r="P51" i="54" s="1"/>
  <c r="O51" i="54"/>
  <c r="N52" i="54"/>
  <c r="P52" i="54" s="1"/>
  <c r="O52" i="54"/>
  <c r="N53" i="54"/>
  <c r="O53" i="54"/>
  <c r="N54" i="54"/>
  <c r="O54" i="54"/>
  <c r="N55" i="54"/>
  <c r="R55" i="54" s="1"/>
  <c r="O55" i="54"/>
  <c r="P55" i="54"/>
  <c r="Q55" i="54"/>
  <c r="N56" i="54"/>
  <c r="O56" i="54"/>
  <c r="N57" i="54"/>
  <c r="O57" i="54"/>
  <c r="Q57" i="54" s="1"/>
  <c r="N58" i="54"/>
  <c r="P58" i="54" s="1"/>
  <c r="O58" i="54"/>
  <c r="Q58" i="54"/>
  <c r="R58" i="54"/>
  <c r="N59" i="54"/>
  <c r="P59" i="54" s="1"/>
  <c r="O59" i="54"/>
  <c r="N60" i="54"/>
  <c r="P60" i="54" s="1"/>
  <c r="O60" i="54"/>
  <c r="Q60" i="54" s="1"/>
  <c r="N61" i="54"/>
  <c r="O61" i="54"/>
  <c r="N62" i="54"/>
  <c r="O62" i="54"/>
  <c r="N63" i="54"/>
  <c r="R63" i="54" s="1"/>
  <c r="O63" i="54"/>
  <c r="P63" i="54"/>
  <c r="Q63" i="54"/>
  <c r="N64" i="54"/>
  <c r="O64" i="54"/>
  <c r="N65" i="54"/>
  <c r="O65" i="54"/>
  <c r="Q65" i="54" s="1"/>
  <c r="N66" i="54"/>
  <c r="O66" i="54"/>
  <c r="R66" i="54" s="1"/>
  <c r="Q66" i="54"/>
  <c r="N67" i="54"/>
  <c r="P67" i="54" s="1"/>
  <c r="O67" i="54"/>
  <c r="N68" i="54"/>
  <c r="O68" i="54"/>
  <c r="N69" i="54"/>
  <c r="O69" i="54"/>
  <c r="P69" i="54" s="1"/>
  <c r="N70" i="54"/>
  <c r="R70" i="54" s="1"/>
  <c r="O70" i="54"/>
  <c r="P70" i="54"/>
  <c r="N71" i="54"/>
  <c r="R71" i="54" s="1"/>
  <c r="O71" i="54"/>
  <c r="P71" i="54"/>
  <c r="Q71" i="54"/>
  <c r="N72" i="54"/>
  <c r="O72" i="54"/>
  <c r="N73" i="54"/>
  <c r="O73" i="54"/>
  <c r="Q73" i="54" s="1"/>
  <c r="N74" i="54"/>
  <c r="P74" i="54" s="1"/>
  <c r="O74" i="54"/>
  <c r="Q74" i="54"/>
  <c r="R74" i="54"/>
  <c r="N75" i="54"/>
  <c r="O75" i="54"/>
  <c r="N76" i="54"/>
  <c r="P76" i="54" s="1"/>
  <c r="O76" i="54"/>
  <c r="Q76" i="54" s="1"/>
  <c r="N77" i="54"/>
  <c r="O77" i="54"/>
  <c r="N78" i="54"/>
  <c r="O78" i="54"/>
  <c r="N79" i="54"/>
  <c r="R79" i="54" s="1"/>
  <c r="O79" i="54"/>
  <c r="P79" i="54"/>
  <c r="Q79" i="54"/>
  <c r="N80" i="54"/>
  <c r="O80" i="54"/>
  <c r="N81" i="54"/>
  <c r="O81" i="54"/>
  <c r="Q81" i="54" s="1"/>
  <c r="N82" i="54"/>
  <c r="P82" i="54" s="1"/>
  <c r="O82" i="54"/>
  <c r="Q82" i="54"/>
  <c r="R82" i="54"/>
  <c r="N83" i="54"/>
  <c r="P83" i="54" s="1"/>
  <c r="O83" i="54"/>
  <c r="N84" i="54"/>
  <c r="P84" i="54" s="1"/>
  <c r="O84" i="54"/>
  <c r="Q84" i="54" s="1"/>
  <c r="N85" i="54"/>
  <c r="O85" i="54"/>
  <c r="P85" i="54"/>
  <c r="N86" i="54"/>
  <c r="O86" i="54"/>
  <c r="N87" i="54"/>
  <c r="R87" i="54" s="1"/>
  <c r="O87" i="54"/>
  <c r="Q87" i="54"/>
  <c r="N88" i="54"/>
  <c r="O88" i="54"/>
  <c r="N89" i="54"/>
  <c r="O89" i="54"/>
  <c r="N90" i="54"/>
  <c r="P90" i="54" s="1"/>
  <c r="O90" i="54"/>
  <c r="Q90" i="54" s="1"/>
  <c r="R90" i="54"/>
  <c r="N91" i="54"/>
  <c r="P91" i="54" s="1"/>
  <c r="O91" i="54"/>
  <c r="N92" i="54"/>
  <c r="R92" i="54" s="1"/>
  <c r="O92" i="54"/>
  <c r="P92" i="54"/>
  <c r="N93" i="54"/>
  <c r="O93" i="54"/>
  <c r="P93" i="54"/>
  <c r="N94" i="54"/>
  <c r="R94" i="54" s="1"/>
  <c r="O94" i="54"/>
  <c r="N95" i="54"/>
  <c r="R95" i="54" s="1"/>
  <c r="O95" i="54"/>
  <c r="Q95" i="54"/>
  <c r="N96" i="54"/>
  <c r="O96" i="54"/>
  <c r="N97" i="54"/>
  <c r="O97" i="54"/>
  <c r="Q97" i="54"/>
  <c r="N98" i="54"/>
  <c r="P98" i="54" s="1"/>
  <c r="O98" i="54"/>
  <c r="Q98" i="54"/>
  <c r="R98" i="54"/>
  <c r="N99" i="54"/>
  <c r="P99" i="54" s="1"/>
  <c r="O99" i="54"/>
  <c r="N100" i="54"/>
  <c r="P100" i="54" s="1"/>
  <c r="O100" i="54"/>
  <c r="N101" i="54"/>
  <c r="O101" i="54"/>
  <c r="P101" i="54"/>
  <c r="N102" i="54"/>
  <c r="R102" i="54" s="1"/>
  <c r="O102" i="54"/>
  <c r="P102" i="54"/>
  <c r="N103" i="54"/>
  <c r="R103" i="54" s="1"/>
  <c r="O103" i="54"/>
  <c r="P103" i="54"/>
  <c r="Q103" i="54"/>
  <c r="N104" i="54"/>
  <c r="O104" i="54"/>
  <c r="N105" i="54"/>
  <c r="O105" i="54"/>
  <c r="N106" i="54"/>
  <c r="P106" i="54" s="1"/>
  <c r="O106" i="54"/>
  <c r="Q106" i="54"/>
  <c r="R106" i="54"/>
  <c r="N107" i="54"/>
  <c r="O107" i="54"/>
  <c r="N108" i="54"/>
  <c r="P108" i="54" s="1"/>
  <c r="O108" i="54"/>
  <c r="Q108" i="54" s="1"/>
  <c r="N109" i="54"/>
  <c r="O109" i="54"/>
  <c r="N110" i="54"/>
  <c r="P110" i="54" s="1"/>
  <c r="O110" i="54"/>
  <c r="N111" i="54"/>
  <c r="O111" i="54"/>
  <c r="Q111" i="54" s="1"/>
  <c r="N112" i="54"/>
  <c r="O112" i="54"/>
  <c r="N113" i="54"/>
  <c r="O113" i="54"/>
  <c r="N114" i="54"/>
  <c r="O114" i="54"/>
  <c r="R114" i="54" s="1"/>
  <c r="Q114" i="54"/>
  <c r="N115" i="54"/>
  <c r="P115" i="54" s="1"/>
  <c r="O115" i="54"/>
  <c r="N116" i="54"/>
  <c r="P116" i="54" s="1"/>
  <c r="O116" i="54"/>
  <c r="N117" i="54"/>
  <c r="O117" i="54"/>
  <c r="Q117" i="54" s="1"/>
  <c r="N118" i="54"/>
  <c r="O118" i="54"/>
  <c r="N119" i="54"/>
  <c r="R119" i="54" s="1"/>
  <c r="O119" i="54"/>
  <c r="P119" i="54"/>
  <c r="Q119" i="54"/>
  <c r="N120" i="54"/>
  <c r="O120" i="54"/>
  <c r="N121" i="54"/>
  <c r="O121" i="54"/>
  <c r="Q121" i="54" s="1"/>
  <c r="N122" i="54"/>
  <c r="P122" i="54" s="1"/>
  <c r="O122" i="54"/>
  <c r="Q122" i="54"/>
  <c r="R122" i="54"/>
  <c r="N123" i="54"/>
  <c r="P123" i="54" s="1"/>
  <c r="O123" i="54"/>
  <c r="N124" i="54"/>
  <c r="R124" i="54" s="1"/>
  <c r="O124" i="54"/>
  <c r="Q124" i="54" s="1"/>
  <c r="N125" i="54"/>
  <c r="O125" i="54"/>
  <c r="Q125" i="54" s="1"/>
  <c r="N126" i="54"/>
  <c r="O126" i="54"/>
  <c r="N127" i="54"/>
  <c r="R127" i="54" s="1"/>
  <c r="O127" i="54"/>
  <c r="P127" i="54"/>
  <c r="Q127" i="54"/>
  <c r="N128" i="54"/>
  <c r="O128" i="54"/>
  <c r="N129" i="54"/>
  <c r="O129" i="54"/>
  <c r="Q129" i="54" s="1"/>
  <c r="N130" i="54"/>
  <c r="O130" i="54"/>
  <c r="R130" i="54" s="1"/>
  <c r="Q130" i="54"/>
  <c r="N131" i="54"/>
  <c r="P131" i="54" s="1"/>
  <c r="O131" i="54"/>
  <c r="N132" i="54"/>
  <c r="O132" i="54"/>
  <c r="N133" i="54"/>
  <c r="O133" i="54"/>
  <c r="P133" i="54"/>
  <c r="N134" i="54"/>
  <c r="R134" i="54" s="1"/>
  <c r="O134" i="54"/>
  <c r="P134" i="54"/>
  <c r="N135" i="54"/>
  <c r="R135" i="54" s="1"/>
  <c r="O135" i="54"/>
  <c r="P135" i="54"/>
  <c r="Q135" i="54"/>
  <c r="N136" i="54"/>
  <c r="O136" i="54"/>
  <c r="N137" i="54"/>
  <c r="O137" i="54"/>
  <c r="Q137" i="54" s="1"/>
  <c r="N138" i="54"/>
  <c r="P138" i="54" s="1"/>
  <c r="O138" i="54"/>
  <c r="Q138" i="54"/>
  <c r="R138" i="54"/>
  <c r="N139" i="54"/>
  <c r="O139" i="54"/>
  <c r="N140" i="54"/>
  <c r="O140" i="54"/>
  <c r="Q140" i="54" s="1"/>
  <c r="N141" i="54"/>
  <c r="O141" i="54"/>
  <c r="Q141" i="54" s="1"/>
  <c r="N142" i="54"/>
  <c r="O142" i="54"/>
  <c r="N143" i="54"/>
  <c r="R143" i="54" s="1"/>
  <c r="O143" i="54"/>
  <c r="P143" i="54"/>
  <c r="Q143" i="54"/>
  <c r="N144" i="54"/>
  <c r="O144" i="54"/>
  <c r="N145" i="54"/>
  <c r="O145" i="54"/>
  <c r="Q145" i="54" s="1"/>
  <c r="N146" i="54"/>
  <c r="P146" i="54" s="1"/>
  <c r="O146" i="54"/>
  <c r="Q146" i="54"/>
  <c r="R146" i="54"/>
  <c r="N147" i="54"/>
  <c r="P147" i="54" s="1"/>
  <c r="O147" i="54"/>
  <c r="N148" i="54"/>
  <c r="O148" i="54"/>
  <c r="Q148" i="54" s="1"/>
  <c r="N149" i="54"/>
  <c r="O149" i="54"/>
  <c r="P149" i="54"/>
  <c r="N150" i="54"/>
  <c r="O150" i="54"/>
  <c r="N151" i="54"/>
  <c r="R151" i="54" s="1"/>
  <c r="O151" i="54"/>
  <c r="Q151" i="54"/>
  <c r="N152" i="54"/>
  <c r="O152" i="54"/>
  <c r="N153" i="54"/>
  <c r="O153" i="54"/>
  <c r="N154" i="54"/>
  <c r="P154" i="54" s="1"/>
  <c r="O154" i="54"/>
  <c r="Q154" i="54" s="1"/>
  <c r="R154" i="54"/>
  <c r="N155" i="54"/>
  <c r="P155" i="54" s="1"/>
  <c r="O155" i="54"/>
  <c r="N156" i="54"/>
  <c r="R156" i="54" s="1"/>
  <c r="O156" i="54"/>
  <c r="P156" i="54"/>
  <c r="N157" i="54"/>
  <c r="O157" i="54"/>
  <c r="P157" i="54" s="1"/>
  <c r="N158" i="54"/>
  <c r="R158" i="54" s="1"/>
  <c r="O158" i="54"/>
  <c r="N159" i="54"/>
  <c r="R159" i="54" s="1"/>
  <c r="O159" i="54"/>
  <c r="Q159" i="54"/>
  <c r="N160" i="54"/>
  <c r="O160" i="54"/>
  <c r="N161" i="54"/>
  <c r="O161" i="54"/>
  <c r="Q161" i="54"/>
  <c r="N162" i="54"/>
  <c r="P162" i="54" s="1"/>
  <c r="O162" i="54"/>
  <c r="Q162" i="54"/>
  <c r="R162" i="54"/>
  <c r="N163" i="54"/>
  <c r="P163" i="54" s="1"/>
  <c r="O163" i="54"/>
  <c r="N164" i="54"/>
  <c r="O164" i="54"/>
  <c r="P164" i="54" s="1"/>
  <c r="N165" i="54"/>
  <c r="O165" i="54"/>
  <c r="P165" i="54"/>
  <c r="R165" i="54"/>
  <c r="N166" i="54"/>
  <c r="R166" i="54" s="1"/>
  <c r="O166" i="54"/>
  <c r="N167" i="54"/>
  <c r="R167" i="54" s="1"/>
  <c r="O167" i="54"/>
  <c r="Q167" i="54"/>
  <c r="N168" i="54"/>
  <c r="O168" i="54"/>
  <c r="N169" i="54"/>
  <c r="O169" i="54"/>
  <c r="N170" i="54"/>
  <c r="P170" i="54" s="1"/>
  <c r="O170" i="54"/>
  <c r="R170" i="54"/>
  <c r="N171" i="54"/>
  <c r="O171" i="54"/>
  <c r="N172" i="54"/>
  <c r="R172" i="54" s="1"/>
  <c r="O172" i="54"/>
  <c r="P172" i="54"/>
  <c r="N173" i="54"/>
  <c r="O173" i="54"/>
  <c r="P173" i="54"/>
  <c r="N174" i="54"/>
  <c r="R174" i="54" s="1"/>
  <c r="O174" i="54"/>
  <c r="N175" i="54"/>
  <c r="R175" i="54" s="1"/>
  <c r="O175" i="54"/>
  <c r="Q175" i="54"/>
  <c r="N176" i="54"/>
  <c r="O176" i="54"/>
  <c r="N177" i="54"/>
  <c r="O177" i="54"/>
  <c r="N178" i="54"/>
  <c r="P178" i="54" s="1"/>
  <c r="O178" i="54"/>
  <c r="Q178" i="54" s="1"/>
  <c r="R178" i="54"/>
  <c r="N179" i="54"/>
  <c r="P179" i="54" s="1"/>
  <c r="O179" i="54"/>
  <c r="N180" i="54"/>
  <c r="O180" i="54"/>
  <c r="P180" i="54"/>
  <c r="N181" i="54"/>
  <c r="O181" i="54"/>
  <c r="Q181" i="54" s="1"/>
  <c r="P181" i="54"/>
  <c r="R181" i="54"/>
  <c r="N182" i="54"/>
  <c r="O182" i="54"/>
  <c r="N183" i="54"/>
  <c r="P183" i="54" s="1"/>
  <c r="O183" i="54"/>
  <c r="Q183" i="54" s="1"/>
  <c r="N184" i="54"/>
  <c r="O184" i="54"/>
  <c r="N185" i="54"/>
  <c r="O185" i="54"/>
  <c r="N186" i="54"/>
  <c r="R186" i="54" s="1"/>
  <c r="O186" i="54"/>
  <c r="Q186" i="54" s="1"/>
  <c r="N187" i="54"/>
  <c r="O187" i="54"/>
  <c r="N188" i="54"/>
  <c r="P188" i="54" s="1"/>
  <c r="O188" i="54"/>
  <c r="N189" i="54"/>
  <c r="O189" i="54"/>
  <c r="Q189" i="54" s="1"/>
  <c r="P189" i="54"/>
  <c r="R189" i="54"/>
  <c r="N190" i="54"/>
  <c r="R190" i="54" s="1"/>
  <c r="O190" i="54"/>
  <c r="N191" i="54"/>
  <c r="P191" i="54" s="1"/>
  <c r="O191" i="54"/>
  <c r="Q191" i="54" s="1"/>
  <c r="N192" i="54"/>
  <c r="O192" i="54"/>
  <c r="N193" i="54"/>
  <c r="O193" i="54"/>
  <c r="Q193" i="54" s="1"/>
  <c r="N194" i="54"/>
  <c r="P194" i="54" s="1"/>
  <c r="O194" i="54"/>
  <c r="R194" i="54"/>
  <c r="N195" i="54"/>
  <c r="O195" i="54"/>
  <c r="N196" i="54"/>
  <c r="R196" i="54" s="1"/>
  <c r="O196" i="54"/>
  <c r="N197" i="54"/>
  <c r="O197" i="54"/>
  <c r="P197" i="54"/>
  <c r="N198" i="54"/>
  <c r="O198" i="54"/>
  <c r="N199" i="54"/>
  <c r="O199" i="54"/>
  <c r="N200" i="54"/>
  <c r="O200" i="54"/>
  <c r="Q200" i="54"/>
  <c r="N201" i="54"/>
  <c r="O201" i="54"/>
  <c r="N202" i="54"/>
  <c r="R202" i="54" s="1"/>
  <c r="O202" i="54"/>
  <c r="Q202" i="54" s="1"/>
  <c r="N203" i="54"/>
  <c r="O203" i="54"/>
  <c r="N204" i="54"/>
  <c r="O204" i="54"/>
  <c r="N205" i="54"/>
  <c r="P205" i="54" s="1"/>
  <c r="O205" i="54"/>
  <c r="R205" i="54"/>
  <c r="N206" i="54"/>
  <c r="P206" i="54" s="1"/>
  <c r="O206" i="54"/>
  <c r="N207" i="54"/>
  <c r="Q207" i="54" s="1"/>
  <c r="O207" i="54"/>
  <c r="P207" i="54"/>
  <c r="N208" i="54"/>
  <c r="O208" i="54"/>
  <c r="N209" i="54"/>
  <c r="O209" i="54"/>
  <c r="N210" i="54"/>
  <c r="P210" i="54" s="1"/>
  <c r="O210" i="54"/>
  <c r="Q210" i="54"/>
  <c r="N211" i="54"/>
  <c r="O211" i="54"/>
  <c r="Q211" i="54" s="1"/>
  <c r="N212" i="54"/>
  <c r="P212" i="54" s="1"/>
  <c r="O212" i="54"/>
  <c r="N213" i="54"/>
  <c r="O213" i="54"/>
  <c r="R213" i="54"/>
  <c r="N214" i="54"/>
  <c r="O214" i="54"/>
  <c r="Q214" i="54" s="1"/>
  <c r="N215" i="54"/>
  <c r="O215" i="54"/>
  <c r="N216" i="54"/>
  <c r="R216" i="54" s="1"/>
  <c r="O216" i="54"/>
  <c r="Q216" i="54" s="1"/>
  <c r="N217" i="54"/>
  <c r="P217" i="54" s="1"/>
  <c r="O217" i="54"/>
  <c r="N218" i="54"/>
  <c r="O218" i="54"/>
  <c r="N219" i="54"/>
  <c r="O219" i="54"/>
  <c r="Q219" i="54"/>
  <c r="N220" i="54"/>
  <c r="O220" i="54"/>
  <c r="P220" i="54"/>
  <c r="Q220" i="54"/>
  <c r="R220" i="54"/>
  <c r="N221" i="54"/>
  <c r="O221" i="54"/>
  <c r="N222" i="54"/>
  <c r="P222" i="54" s="1"/>
  <c r="O222" i="54"/>
  <c r="R222" i="54"/>
  <c r="N223" i="54"/>
  <c r="O223" i="54"/>
  <c r="Q223" i="54" s="1"/>
  <c r="N224" i="54"/>
  <c r="O224" i="54"/>
  <c r="P224" i="54"/>
  <c r="N225" i="54"/>
  <c r="O225" i="54"/>
  <c r="N226" i="54"/>
  <c r="O226" i="54"/>
  <c r="Q226" i="54"/>
  <c r="N227" i="54"/>
  <c r="O227" i="54"/>
  <c r="N228" i="54"/>
  <c r="O228" i="54"/>
  <c r="N229" i="54"/>
  <c r="O229" i="54"/>
  <c r="Q229" i="54" s="1"/>
  <c r="N230" i="54"/>
  <c r="O230" i="54"/>
  <c r="Q230" i="54" s="1"/>
  <c r="N231" i="54"/>
  <c r="O231" i="54"/>
  <c r="N232" i="54"/>
  <c r="P232" i="54" s="1"/>
  <c r="O232" i="54"/>
  <c r="N233" i="54"/>
  <c r="R233" i="54" s="1"/>
  <c r="O233" i="54"/>
  <c r="N234" i="54"/>
  <c r="O234" i="54"/>
  <c r="Q234" i="54" s="1"/>
  <c r="N235" i="54"/>
  <c r="P235" i="54" s="1"/>
  <c r="O235" i="54"/>
  <c r="R235" i="54"/>
  <c r="N236" i="54"/>
  <c r="O236" i="54"/>
  <c r="P236" i="54"/>
  <c r="Q236" i="54"/>
  <c r="R236" i="54"/>
  <c r="N237" i="54"/>
  <c r="R237" i="54" s="1"/>
  <c r="O237" i="54"/>
  <c r="P237" i="54"/>
  <c r="N238" i="54"/>
  <c r="O238" i="54"/>
  <c r="N239" i="54"/>
  <c r="O239" i="54"/>
  <c r="N240" i="54"/>
  <c r="O240" i="54"/>
  <c r="N241" i="54"/>
  <c r="O241" i="54"/>
  <c r="Q241" i="54" s="1"/>
  <c r="N242" i="54"/>
  <c r="P242" i="54" s="1"/>
  <c r="O242" i="54"/>
  <c r="Q242" i="54" s="1"/>
  <c r="N243" i="54"/>
  <c r="O243" i="54"/>
  <c r="N244" i="54"/>
  <c r="O244" i="54"/>
  <c r="Q244" i="54" s="1"/>
  <c r="P244" i="54"/>
  <c r="N245" i="54"/>
  <c r="R245" i="54" s="1"/>
  <c r="O245" i="54"/>
  <c r="Q245" i="54" s="1"/>
  <c r="N246" i="54"/>
  <c r="O246" i="54"/>
  <c r="P246" i="54"/>
  <c r="N247" i="54"/>
  <c r="O247" i="54"/>
  <c r="N248" i="54"/>
  <c r="O248" i="54"/>
  <c r="Q248" i="54" s="1"/>
  <c r="N249" i="54"/>
  <c r="O249" i="54"/>
  <c r="Q249" i="54" s="1"/>
  <c r="N250" i="54"/>
  <c r="P250" i="54" s="1"/>
  <c r="O250" i="54"/>
  <c r="Q250" i="54"/>
  <c r="N251" i="54"/>
  <c r="O251" i="54"/>
  <c r="N252" i="54"/>
  <c r="O252" i="54"/>
  <c r="Q252" i="54" s="1"/>
  <c r="N253" i="54"/>
  <c r="R253" i="54" s="1"/>
  <c r="O253" i="54"/>
  <c r="Q253" i="54" s="1"/>
  <c r="N254" i="54"/>
  <c r="O254" i="54"/>
  <c r="P254" i="54"/>
  <c r="N255" i="54"/>
  <c r="O255" i="54"/>
  <c r="N256" i="54"/>
  <c r="O256" i="54"/>
  <c r="Q256" i="54" s="1"/>
  <c r="N257" i="54"/>
  <c r="O257" i="54"/>
  <c r="Q257" i="54"/>
  <c r="N258" i="54"/>
  <c r="P258" i="54" s="1"/>
  <c r="O258" i="54"/>
  <c r="Q258" i="54"/>
  <c r="N259" i="54"/>
  <c r="O259" i="54"/>
  <c r="N260" i="54"/>
  <c r="O260" i="54"/>
  <c r="Q260" i="54" s="1"/>
  <c r="N261" i="54"/>
  <c r="R261" i="54" s="1"/>
  <c r="O261" i="54"/>
  <c r="Q261" i="54" s="1"/>
  <c r="N262" i="54"/>
  <c r="O262" i="54"/>
  <c r="P262" i="54"/>
  <c r="N263" i="54"/>
  <c r="O263" i="54"/>
  <c r="N264" i="54"/>
  <c r="O264" i="54"/>
  <c r="Q264" i="54" s="1"/>
  <c r="N265" i="54"/>
  <c r="O265" i="54"/>
  <c r="N266" i="54"/>
  <c r="O266" i="54"/>
  <c r="Q266" i="54" s="1"/>
  <c r="N267" i="54"/>
  <c r="O267" i="54"/>
  <c r="N268" i="54"/>
  <c r="O268" i="54"/>
  <c r="Q268" i="54" s="1"/>
  <c r="P268" i="54"/>
  <c r="N269" i="54"/>
  <c r="P269" i="54" s="1"/>
  <c r="O269" i="54"/>
  <c r="Q269" i="54" s="1"/>
  <c r="R269" i="54"/>
  <c r="N270" i="54"/>
  <c r="O270" i="54"/>
  <c r="N271" i="54"/>
  <c r="O271" i="54"/>
  <c r="Q271" i="54" s="1"/>
  <c r="P271" i="54"/>
  <c r="N272" i="54"/>
  <c r="O272" i="54"/>
  <c r="Q272" i="54" s="1"/>
  <c r="N273" i="54"/>
  <c r="O273" i="54"/>
  <c r="Q273" i="54"/>
  <c r="N274" i="54"/>
  <c r="O274" i="54"/>
  <c r="Q274" i="54" s="1"/>
  <c r="N275" i="54"/>
  <c r="O275" i="54"/>
  <c r="N276" i="54"/>
  <c r="O276" i="54"/>
  <c r="Q276" i="54" s="1"/>
  <c r="N277" i="54"/>
  <c r="O277" i="54"/>
  <c r="Q277" i="54" s="1"/>
  <c r="N278" i="54"/>
  <c r="P278" i="54" s="1"/>
  <c r="O278" i="54"/>
  <c r="N279" i="54"/>
  <c r="O279" i="54"/>
  <c r="P279" i="54"/>
  <c r="Q279" i="54"/>
  <c r="N280" i="54"/>
  <c r="O280" i="54"/>
  <c r="P280" i="54"/>
  <c r="N281" i="54"/>
  <c r="O281" i="54"/>
  <c r="Q281" i="54"/>
  <c r="N282" i="54"/>
  <c r="O282" i="54"/>
  <c r="Q282" i="54" s="1"/>
  <c r="N283" i="54"/>
  <c r="Q283" i="54" s="1"/>
  <c r="O283" i="54"/>
  <c r="N284" i="54"/>
  <c r="O284" i="54"/>
  <c r="Q284" i="54" s="1"/>
  <c r="P284" i="54"/>
  <c r="N285" i="54"/>
  <c r="O285" i="54"/>
  <c r="Q285" i="54" s="1"/>
  <c r="N286" i="54"/>
  <c r="O286" i="54"/>
  <c r="P286" i="54"/>
  <c r="R286" i="54"/>
  <c r="N287" i="54"/>
  <c r="O287" i="54"/>
  <c r="N288" i="54"/>
  <c r="R288" i="54" s="1"/>
  <c r="O288" i="54"/>
  <c r="Q288" i="54" s="1"/>
  <c r="P288" i="54"/>
  <c r="N289" i="54"/>
  <c r="O289" i="54"/>
  <c r="Q289" i="54" s="1"/>
  <c r="N290" i="54"/>
  <c r="O290" i="54"/>
  <c r="N291" i="54"/>
  <c r="Q291" i="54" s="1"/>
  <c r="O291" i="54"/>
  <c r="N292" i="54"/>
  <c r="O292" i="54"/>
  <c r="Q292" i="54" s="1"/>
  <c r="N293" i="54"/>
  <c r="R293" i="54" s="1"/>
  <c r="O293" i="54"/>
  <c r="N294" i="54"/>
  <c r="Q294" i="54" s="1"/>
  <c r="O294" i="54"/>
  <c r="N295" i="54"/>
  <c r="R295" i="54" s="1"/>
  <c r="O295" i="54"/>
  <c r="N296" i="54"/>
  <c r="P296" i="54" s="1"/>
  <c r="O296" i="54"/>
  <c r="N297" i="54"/>
  <c r="O297" i="54"/>
  <c r="Q297" i="54"/>
  <c r="N298" i="54"/>
  <c r="O298" i="54"/>
  <c r="N299" i="54"/>
  <c r="O299" i="54"/>
  <c r="Q299" i="54"/>
  <c r="N300" i="54"/>
  <c r="O300" i="54"/>
  <c r="Q300" i="54" s="1"/>
  <c r="N301" i="54"/>
  <c r="O301" i="54"/>
  <c r="N302" i="54"/>
  <c r="O302" i="54"/>
  <c r="R302" i="54" s="1"/>
  <c r="P302" i="54"/>
  <c r="N303" i="54"/>
  <c r="O303" i="54"/>
  <c r="Q303" i="54" s="1"/>
  <c r="P303" i="54"/>
  <c r="N304" i="54"/>
  <c r="O304" i="54"/>
  <c r="P304" i="54"/>
  <c r="N305" i="54"/>
  <c r="R305" i="54" s="1"/>
  <c r="O305" i="54"/>
  <c r="N306" i="54"/>
  <c r="P306" i="54" s="1"/>
  <c r="O306" i="54"/>
  <c r="R306" i="54"/>
  <c r="N307" i="54"/>
  <c r="O307" i="54"/>
  <c r="N308" i="54"/>
  <c r="P308" i="54" s="1"/>
  <c r="O308" i="54"/>
  <c r="Q308" i="54" s="1"/>
  <c r="N309" i="54"/>
  <c r="O309" i="54"/>
  <c r="Q309" i="54" s="1"/>
  <c r="N310" i="54"/>
  <c r="P310" i="54" s="1"/>
  <c r="O310" i="54"/>
  <c r="N311" i="54"/>
  <c r="P311" i="54" s="1"/>
  <c r="O311" i="54"/>
  <c r="Q311" i="54" s="1"/>
  <c r="N312" i="54"/>
  <c r="O312" i="54"/>
  <c r="Q312" i="54" s="1"/>
  <c r="N313" i="54"/>
  <c r="O313" i="54"/>
  <c r="Q313" i="54" s="1"/>
  <c r="N314" i="54"/>
  <c r="P314" i="54" s="1"/>
  <c r="O314" i="54"/>
  <c r="N315" i="54"/>
  <c r="O315" i="54"/>
  <c r="R315" i="54" s="1"/>
  <c r="P315" i="54"/>
  <c r="N316" i="54"/>
  <c r="O316" i="54"/>
  <c r="N317" i="54"/>
  <c r="O317" i="54"/>
  <c r="Q317" i="54" s="1"/>
  <c r="R317" i="54"/>
  <c r="N318" i="54"/>
  <c r="O318" i="54"/>
  <c r="N319" i="54"/>
  <c r="O319" i="54"/>
  <c r="Q319" i="54" s="1"/>
  <c r="P319" i="54"/>
  <c r="N320" i="54"/>
  <c r="O320" i="54"/>
  <c r="N321" i="54"/>
  <c r="O321" i="54"/>
  <c r="Q321" i="54" s="1"/>
  <c r="N322" i="54"/>
  <c r="P322" i="54" s="1"/>
  <c r="O322" i="54"/>
  <c r="N323" i="54"/>
  <c r="O323" i="54"/>
  <c r="P323" i="54"/>
  <c r="Q323" i="54"/>
  <c r="N324" i="54"/>
  <c r="O324" i="54"/>
  <c r="Q324" i="54" s="1"/>
  <c r="N325" i="54"/>
  <c r="R325" i="54" s="1"/>
  <c r="O325" i="54"/>
  <c r="N326" i="54"/>
  <c r="Q326" i="54" s="1"/>
  <c r="O326" i="54"/>
  <c r="N327" i="54"/>
  <c r="O327" i="54"/>
  <c r="R327" i="54" s="1"/>
  <c r="P327" i="54"/>
  <c r="N328" i="54"/>
  <c r="O328" i="54"/>
  <c r="Q328" i="54" s="1"/>
  <c r="N329" i="54"/>
  <c r="O329" i="54"/>
  <c r="N330" i="54"/>
  <c r="P330" i="54" s="1"/>
  <c r="O330" i="54"/>
  <c r="Q330" i="54" s="1"/>
  <c r="N331" i="54"/>
  <c r="O331" i="54"/>
  <c r="Q331" i="54" s="1"/>
  <c r="N332" i="54"/>
  <c r="P332" i="54" s="1"/>
  <c r="O332" i="54"/>
  <c r="Q332" i="54" s="1"/>
  <c r="N333" i="54"/>
  <c r="O333" i="54"/>
  <c r="R333" i="54"/>
  <c r="N334" i="54"/>
  <c r="O334" i="54"/>
  <c r="N335" i="54"/>
  <c r="R335" i="54" s="1"/>
  <c r="O335" i="54"/>
  <c r="Q335" i="54"/>
  <c r="N336" i="54"/>
  <c r="O336" i="54"/>
  <c r="N337" i="54"/>
  <c r="R337" i="54" s="1"/>
  <c r="O337" i="54"/>
  <c r="Q337" i="54" s="1"/>
  <c r="N338" i="54"/>
  <c r="Q338" i="54" s="1"/>
  <c r="O338" i="54"/>
  <c r="N339" i="54"/>
  <c r="O339" i="54"/>
  <c r="Q339" i="54" s="1"/>
  <c r="P339" i="54"/>
  <c r="N340" i="54"/>
  <c r="O340" i="54"/>
  <c r="Q340" i="54" s="1"/>
  <c r="N341" i="54"/>
  <c r="R341" i="54" s="1"/>
  <c r="O341" i="54"/>
  <c r="N342" i="54"/>
  <c r="P342" i="54" s="1"/>
  <c r="O342" i="54"/>
  <c r="N343" i="54"/>
  <c r="O343" i="54"/>
  <c r="Q343" i="54" s="1"/>
  <c r="P343" i="54"/>
  <c r="N344" i="54"/>
  <c r="P344" i="54" s="1"/>
  <c r="O344" i="54"/>
  <c r="N345" i="54"/>
  <c r="O345" i="54"/>
  <c r="Q345" i="54" s="1"/>
  <c r="N346" i="54"/>
  <c r="O346" i="54"/>
  <c r="N347" i="54"/>
  <c r="O347" i="54"/>
  <c r="N348" i="54"/>
  <c r="R348" i="54" s="1"/>
  <c r="O348" i="54"/>
  <c r="Q348" i="54" s="1"/>
  <c r="N349" i="54"/>
  <c r="O349" i="54"/>
  <c r="Q349" i="54" s="1"/>
  <c r="R349" i="54"/>
  <c r="N350" i="54"/>
  <c r="O350" i="54"/>
  <c r="N351" i="54"/>
  <c r="O351" i="54"/>
  <c r="Q351" i="54" s="1"/>
  <c r="P351" i="54"/>
  <c r="N352" i="54"/>
  <c r="O352" i="54"/>
  <c r="N353" i="54"/>
  <c r="O353" i="54"/>
  <c r="Q353" i="54"/>
  <c r="N354" i="54"/>
  <c r="O354" i="54"/>
  <c r="Q354" i="54" s="1"/>
  <c r="R354" i="54"/>
  <c r="N355" i="54"/>
  <c r="O355" i="54"/>
  <c r="R355" i="54" s="1"/>
  <c r="N356" i="54"/>
  <c r="R356" i="54" s="1"/>
  <c r="O356" i="54"/>
  <c r="N357" i="54"/>
  <c r="O357" i="54"/>
  <c r="Q357" i="54" s="1"/>
  <c r="N358" i="54"/>
  <c r="O358" i="54"/>
  <c r="P358" i="54"/>
  <c r="Q358" i="54"/>
  <c r="R358" i="54"/>
  <c r="N359" i="54"/>
  <c r="O359" i="54"/>
  <c r="Q359" i="54" s="1"/>
  <c r="P359" i="54"/>
  <c r="N360" i="54"/>
  <c r="O360" i="54"/>
  <c r="Q360" i="54" s="1"/>
  <c r="P360" i="54"/>
  <c r="N361" i="54"/>
  <c r="P361" i="54" s="1"/>
  <c r="O361" i="54"/>
  <c r="N362" i="54"/>
  <c r="R362" i="54" s="1"/>
  <c r="O362" i="54"/>
  <c r="P362" i="54"/>
  <c r="N363" i="54"/>
  <c r="O363" i="54"/>
  <c r="R363" i="54" s="1"/>
  <c r="Q363" i="54"/>
  <c r="N364" i="54"/>
  <c r="O364" i="54"/>
  <c r="N365" i="54"/>
  <c r="R365" i="54" s="1"/>
  <c r="O365" i="54"/>
  <c r="N366" i="54"/>
  <c r="O366" i="54"/>
  <c r="Q366" i="54" s="1"/>
  <c r="N367" i="54"/>
  <c r="O367" i="54"/>
  <c r="Q367" i="54" s="1"/>
  <c r="P367" i="54"/>
  <c r="N368" i="54"/>
  <c r="O368" i="54"/>
  <c r="P368" i="54"/>
  <c r="N369" i="54"/>
  <c r="R369" i="54" s="1"/>
  <c r="O369" i="54"/>
  <c r="N370" i="54"/>
  <c r="O370" i="54"/>
  <c r="Q370" i="54" s="1"/>
  <c r="P370" i="54"/>
  <c r="N371" i="54"/>
  <c r="O371" i="54"/>
  <c r="N372" i="54"/>
  <c r="P372" i="54" s="1"/>
  <c r="O372" i="54"/>
  <c r="N373" i="54"/>
  <c r="O373" i="54"/>
  <c r="Q373" i="54" s="1"/>
  <c r="N374" i="54"/>
  <c r="O374" i="54"/>
  <c r="Q374" i="54"/>
  <c r="N375" i="54"/>
  <c r="O375" i="54"/>
  <c r="Q375" i="54" s="1"/>
  <c r="N376" i="54"/>
  <c r="O376" i="54"/>
  <c r="Q376" i="54" s="1"/>
  <c r="N377" i="54"/>
  <c r="O377" i="54"/>
  <c r="R377" i="54"/>
  <c r="N378" i="54"/>
  <c r="O378" i="54"/>
  <c r="Q378" i="54" s="1"/>
  <c r="N379" i="54"/>
  <c r="O379" i="54"/>
  <c r="N380" i="54"/>
  <c r="P380" i="54" s="1"/>
  <c r="O380" i="54"/>
  <c r="N381" i="54"/>
  <c r="O381" i="54"/>
  <c r="N382" i="54"/>
  <c r="P382" i="54" s="1"/>
  <c r="O382" i="54"/>
  <c r="N383" i="54"/>
  <c r="P383" i="54" s="1"/>
  <c r="O383" i="54"/>
  <c r="N384" i="54"/>
  <c r="O384" i="54"/>
  <c r="N385" i="54"/>
  <c r="O385" i="54"/>
  <c r="Q385" i="54" s="1"/>
  <c r="N386" i="54"/>
  <c r="O386" i="54"/>
  <c r="Q386" i="54" s="1"/>
  <c r="N387" i="54"/>
  <c r="O387" i="54"/>
  <c r="R387" i="54" s="1"/>
  <c r="P387" i="54"/>
  <c r="Q387" i="54"/>
  <c r="N388" i="54"/>
  <c r="O388" i="54"/>
  <c r="Q388" i="54" s="1"/>
  <c r="N389" i="54"/>
  <c r="O389" i="54"/>
  <c r="N390" i="54"/>
  <c r="O390" i="54"/>
  <c r="Q390" i="54" s="1"/>
  <c r="P390" i="54"/>
  <c r="N391" i="54"/>
  <c r="P391" i="54" s="1"/>
  <c r="O391" i="54"/>
  <c r="N392" i="54"/>
  <c r="O392" i="54"/>
  <c r="Q392" i="54" s="1"/>
  <c r="P392" i="54"/>
  <c r="N393" i="54"/>
  <c r="R393" i="54" s="1"/>
  <c r="O393" i="54"/>
  <c r="Q393" i="54"/>
  <c r="N394" i="54"/>
  <c r="O394" i="54"/>
  <c r="Q394" i="54" s="1"/>
  <c r="P394" i="54"/>
  <c r="N395" i="54"/>
  <c r="P395" i="54" s="1"/>
  <c r="O395" i="54"/>
  <c r="N396" i="54"/>
  <c r="O396" i="54"/>
  <c r="Q396" i="54" s="1"/>
  <c r="N397" i="54"/>
  <c r="R397" i="54" s="1"/>
  <c r="O397" i="54"/>
  <c r="N398" i="54"/>
  <c r="O398" i="54"/>
  <c r="Q398" i="54" s="1"/>
  <c r="P398" i="54"/>
  <c r="R398" i="54"/>
  <c r="N399" i="54"/>
  <c r="O399" i="54"/>
  <c r="Q399" i="54" s="1"/>
  <c r="N400" i="54"/>
  <c r="P400" i="54" s="1"/>
  <c r="O400" i="54"/>
  <c r="R400" i="54"/>
  <c r="N401" i="54"/>
  <c r="O401" i="54"/>
  <c r="Q401" i="54"/>
  <c r="R401" i="54"/>
  <c r="N402" i="54"/>
  <c r="O402" i="54"/>
  <c r="N403" i="54"/>
  <c r="P403" i="54" s="1"/>
  <c r="O403" i="54"/>
  <c r="N404" i="54"/>
  <c r="O404" i="54"/>
  <c r="Q404" i="54" s="1"/>
  <c r="N405" i="54"/>
  <c r="O405" i="54"/>
  <c r="Q405" i="54"/>
  <c r="N406" i="54"/>
  <c r="O406" i="54"/>
  <c r="P406" i="54"/>
  <c r="Q406" i="54"/>
  <c r="R406" i="54"/>
  <c r="N407" i="54"/>
  <c r="P407" i="54" s="1"/>
  <c r="O407" i="54"/>
  <c r="Q407" i="54" s="1"/>
  <c r="N408" i="54"/>
  <c r="P408" i="54" s="1"/>
  <c r="O408" i="54"/>
  <c r="R408" i="54"/>
  <c r="O409" i="54"/>
  <c r="N410" i="54"/>
  <c r="O410" i="54"/>
  <c r="N411" i="54"/>
  <c r="P411" i="54" s="1"/>
  <c r="O411" i="54"/>
  <c r="N412" i="54"/>
  <c r="O412" i="54"/>
  <c r="Q412" i="54" s="1"/>
  <c r="N413" i="54"/>
  <c r="O413" i="54"/>
  <c r="Q413" i="54"/>
  <c r="N414" i="54"/>
  <c r="O414" i="54"/>
  <c r="P414" i="54"/>
  <c r="Q414" i="54"/>
  <c r="R414" i="54"/>
  <c r="N415" i="54"/>
  <c r="O415" i="54"/>
  <c r="P415" i="54" s="1"/>
  <c r="N416" i="54"/>
  <c r="P416" i="54" s="1"/>
  <c r="O416" i="54"/>
  <c r="R416" i="54"/>
  <c r="N417" i="54"/>
  <c r="O417" i="54"/>
  <c r="N418" i="54"/>
  <c r="P418" i="54" s="1"/>
  <c r="O418" i="54"/>
  <c r="N419" i="54"/>
  <c r="O419" i="54"/>
  <c r="R419" i="54" s="1"/>
  <c r="P419" i="54"/>
  <c r="Q419" i="54"/>
  <c r="N420" i="54"/>
  <c r="O420" i="54"/>
  <c r="Q420" i="54" s="1"/>
  <c r="N421" i="54"/>
  <c r="O421" i="54"/>
  <c r="N422" i="54"/>
  <c r="O422" i="54"/>
  <c r="Q422" i="54" s="1"/>
  <c r="P422" i="54"/>
  <c r="N423" i="54"/>
  <c r="R423" i="54" s="1"/>
  <c r="O423" i="54"/>
  <c r="N424" i="54"/>
  <c r="O424" i="54"/>
  <c r="Q424" i="54" s="1"/>
  <c r="N425" i="54"/>
  <c r="O425" i="54"/>
  <c r="R425" i="54"/>
  <c r="N426" i="54"/>
  <c r="Q426" i="54" s="1"/>
  <c r="O426" i="54"/>
  <c r="P426" i="54"/>
  <c r="N427" i="54"/>
  <c r="O427" i="54"/>
  <c r="N428" i="54"/>
  <c r="P428" i="54" s="1"/>
  <c r="O428" i="54"/>
  <c r="N429" i="54"/>
  <c r="O429" i="54"/>
  <c r="Q429" i="54"/>
  <c r="N430" i="54"/>
  <c r="Q430" i="54" s="1"/>
  <c r="O430" i="54"/>
  <c r="N431" i="54"/>
  <c r="O431" i="54"/>
  <c r="P431" i="54" s="1"/>
  <c r="R371" i="54" l="1"/>
  <c r="Q371" i="54"/>
  <c r="R321" i="54"/>
  <c r="R378" i="54"/>
  <c r="P378" i="54"/>
  <c r="R366" i="54"/>
  <c r="P354" i="54"/>
  <c r="P347" i="54"/>
  <c r="Q347" i="54"/>
  <c r="R244" i="54"/>
  <c r="Q101" i="54"/>
  <c r="R101" i="54"/>
  <c r="R22" i="54"/>
  <c r="R422" i="54"/>
  <c r="P404" i="54"/>
  <c r="Q395" i="54"/>
  <c r="P384" i="54"/>
  <c r="P374" i="54"/>
  <c r="R374" i="54"/>
  <c r="P356" i="54"/>
  <c r="P326" i="54"/>
  <c r="R260" i="54"/>
  <c r="R402" i="54"/>
  <c r="P402" i="54"/>
  <c r="P298" i="54"/>
  <c r="Q298" i="54"/>
  <c r="R298" i="54"/>
  <c r="R331" i="54"/>
  <c r="R287" i="54"/>
  <c r="P287" i="54"/>
  <c r="Q287" i="54"/>
  <c r="Q61" i="54"/>
  <c r="P61" i="54"/>
  <c r="R61" i="54"/>
  <c r="P371" i="54"/>
  <c r="R427" i="54"/>
  <c r="Q427" i="54"/>
  <c r="R424" i="54"/>
  <c r="Q410" i="54"/>
  <c r="P410" i="54"/>
  <c r="R381" i="54"/>
  <c r="Q381" i="54"/>
  <c r="P300" i="54"/>
  <c r="R300" i="54"/>
  <c r="P218" i="54"/>
  <c r="R218" i="54"/>
  <c r="Q173" i="54"/>
  <c r="R173" i="54"/>
  <c r="Q133" i="54"/>
  <c r="R133" i="54"/>
  <c r="P117" i="54"/>
  <c r="R117" i="54"/>
  <c r="Q85" i="54"/>
  <c r="R85" i="54"/>
  <c r="P50" i="54"/>
  <c r="R50" i="54"/>
  <c r="P427" i="54"/>
  <c r="P424" i="54"/>
  <c r="Q403" i="54"/>
  <c r="R392" i="54"/>
  <c r="R390" i="54"/>
  <c r="Q380" i="54"/>
  <c r="P377" i="54"/>
  <c r="Q377" i="54"/>
  <c r="Q356" i="54"/>
  <c r="P350" i="54"/>
  <c r="Q350" i="54"/>
  <c r="R350" i="54"/>
  <c r="R336" i="54"/>
  <c r="P336" i="54"/>
  <c r="Q329" i="54"/>
  <c r="R309" i="54"/>
  <c r="R277" i="54"/>
  <c r="R263" i="54"/>
  <c r="P263" i="54"/>
  <c r="Q263" i="54"/>
  <c r="Q239" i="54"/>
  <c r="P223" i="54"/>
  <c r="R223" i="54"/>
  <c r="Q203" i="54"/>
  <c r="Q109" i="54"/>
  <c r="Q53" i="54"/>
  <c r="P15" i="54"/>
  <c r="R15" i="54"/>
  <c r="P228" i="54"/>
  <c r="R228" i="54"/>
  <c r="P399" i="54"/>
  <c r="P385" i="54"/>
  <c r="R385" i="54"/>
  <c r="R334" i="54"/>
  <c r="Q334" i="54"/>
  <c r="Q149" i="54"/>
  <c r="R149" i="54"/>
  <c r="Q384" i="54"/>
  <c r="R384" i="54"/>
  <c r="R271" i="54"/>
  <c r="R247" i="54"/>
  <c r="P247" i="54"/>
  <c r="Q247" i="54"/>
  <c r="P231" i="54"/>
  <c r="R231" i="54"/>
  <c r="Q197" i="54"/>
  <c r="R197" i="54"/>
  <c r="R316" i="54"/>
  <c r="P316" i="54"/>
  <c r="R239" i="54"/>
  <c r="P239" i="54"/>
  <c r="Q157" i="54"/>
  <c r="R157" i="54"/>
  <c r="P53" i="54"/>
  <c r="R53" i="54"/>
  <c r="P412" i="54"/>
  <c r="Q397" i="54"/>
  <c r="P386" i="54"/>
  <c r="P376" i="54"/>
  <c r="R376" i="54"/>
  <c r="P282" i="54"/>
  <c r="R282" i="54"/>
  <c r="P266" i="54"/>
  <c r="R266" i="54"/>
  <c r="P252" i="54"/>
  <c r="P141" i="54"/>
  <c r="R141" i="54"/>
  <c r="P42" i="54"/>
  <c r="R42" i="54"/>
  <c r="P369" i="54"/>
  <c r="Q369" i="54"/>
  <c r="P77" i="54"/>
  <c r="R77" i="54"/>
  <c r="P13" i="54"/>
  <c r="R13" i="54"/>
  <c r="R284" i="54"/>
  <c r="P274" i="54"/>
  <c r="R274" i="54"/>
  <c r="P187" i="54"/>
  <c r="P430" i="54"/>
  <c r="R430" i="54"/>
  <c r="R421" i="54"/>
  <c r="Q421" i="54"/>
  <c r="P364" i="54"/>
  <c r="R364" i="54"/>
  <c r="P329" i="54"/>
  <c r="R329" i="54"/>
  <c r="P203" i="54"/>
  <c r="R203" i="54"/>
  <c r="P109" i="54"/>
  <c r="R109" i="54"/>
  <c r="Q69" i="54"/>
  <c r="R69" i="54"/>
  <c r="R389" i="54"/>
  <c r="Q389" i="54"/>
  <c r="R382" i="54"/>
  <c r="R379" i="54"/>
  <c r="Q379" i="54"/>
  <c r="P338" i="54"/>
  <c r="P295" i="54"/>
  <c r="Q417" i="54"/>
  <c r="R417" i="54"/>
  <c r="Q411" i="54"/>
  <c r="Q382" i="54"/>
  <c r="P379" i="54"/>
  <c r="P352" i="54"/>
  <c r="R352" i="54"/>
  <c r="Q341" i="54"/>
  <c r="P331" i="54"/>
  <c r="P307" i="54"/>
  <c r="Q307" i="54"/>
  <c r="Q295" i="54"/>
  <c r="Q265" i="54"/>
  <c r="R255" i="54"/>
  <c r="P255" i="54"/>
  <c r="Q255" i="54"/>
  <c r="Q228" i="54"/>
  <c r="Q212" i="54"/>
  <c r="P195" i="54"/>
  <c r="R195" i="54"/>
  <c r="P125" i="54"/>
  <c r="R125" i="54"/>
  <c r="P111" i="54"/>
  <c r="Q93" i="54"/>
  <c r="R93" i="54"/>
  <c r="Q77" i="54"/>
  <c r="Q45" i="54"/>
  <c r="R45" i="54"/>
  <c r="Q27" i="54"/>
  <c r="Q13" i="54"/>
  <c r="R431" i="54"/>
  <c r="R429" i="54"/>
  <c r="R394" i="54"/>
  <c r="P375" i="54"/>
  <c r="R373" i="54"/>
  <c r="R368" i="54"/>
  <c r="R351" i="54"/>
  <c r="P346" i="54"/>
  <c r="P340" i="54"/>
  <c r="P335" i="54"/>
  <c r="P333" i="54"/>
  <c r="R320" i="54"/>
  <c r="R308" i="54"/>
  <c r="Q306" i="54"/>
  <c r="R304" i="54"/>
  <c r="Q302" i="54"/>
  <c r="P294" i="54"/>
  <c r="R279" i="54"/>
  <c r="Q233" i="54"/>
  <c r="Q208" i="54"/>
  <c r="Q194" i="54"/>
  <c r="P175" i="54"/>
  <c r="Q170" i="54"/>
  <c r="P167" i="54"/>
  <c r="Q165" i="54"/>
  <c r="P159" i="54"/>
  <c r="P151" i="54"/>
  <c r="R140" i="54"/>
  <c r="P130" i="54"/>
  <c r="P114" i="54"/>
  <c r="R111" i="54"/>
  <c r="R108" i="54"/>
  <c r="P95" i="54"/>
  <c r="P87" i="54"/>
  <c r="R76" i="54"/>
  <c r="P66" i="54"/>
  <c r="R60" i="54"/>
  <c r="R47" i="54"/>
  <c r="P14" i="54"/>
  <c r="Q428" i="54"/>
  <c r="P423" i="54"/>
  <c r="Q416" i="54"/>
  <c r="R411" i="54"/>
  <c r="Q408" i="54"/>
  <c r="R403" i="54"/>
  <c r="P401" i="54"/>
  <c r="P396" i="54"/>
  <c r="Q391" i="54"/>
  <c r="Q372" i="54"/>
  <c r="R370" i="54"/>
  <c r="Q365" i="54"/>
  <c r="R360" i="54"/>
  <c r="P353" i="54"/>
  <c r="Q327" i="54"/>
  <c r="Q325" i="54"/>
  <c r="Q301" i="54"/>
  <c r="Q286" i="54"/>
  <c r="P270" i="54"/>
  <c r="R258" i="54"/>
  <c r="R250" i="54"/>
  <c r="R224" i="54"/>
  <c r="Q222" i="54"/>
  <c r="P214" i="54"/>
  <c r="R207" i="54"/>
  <c r="Q205" i="54"/>
  <c r="P148" i="54"/>
  <c r="P140" i="54"/>
  <c r="P124" i="54"/>
  <c r="Q116" i="54"/>
  <c r="Q113" i="54"/>
  <c r="P68" i="54"/>
  <c r="Q52" i="54"/>
  <c r="Q49" i="54"/>
  <c r="R44" i="54"/>
  <c r="Q26" i="54"/>
  <c r="R23" i="54"/>
  <c r="P18" i="54"/>
  <c r="R242" i="54"/>
  <c r="R188" i="54"/>
  <c r="Q23" i="54"/>
  <c r="Q418" i="54"/>
  <c r="R386" i="54"/>
  <c r="R345" i="54"/>
  <c r="P337" i="54"/>
  <c r="R319" i="54"/>
  <c r="R311" i="54"/>
  <c r="R296" i="54"/>
  <c r="Q278" i="54"/>
  <c r="P261" i="54"/>
  <c r="P253" i="54"/>
  <c r="P245" i="54"/>
  <c r="Q237" i="54"/>
  <c r="R210" i="54"/>
  <c r="Q204" i="54"/>
  <c r="P202" i="54"/>
  <c r="Q198" i="54"/>
  <c r="R191" i="54"/>
  <c r="P186" i="54"/>
  <c r="R183" i="54"/>
  <c r="Q180" i="54"/>
  <c r="Q177" i="54"/>
  <c r="Q172" i="54"/>
  <c r="P166" i="54"/>
  <c r="Q156" i="54"/>
  <c r="Q153" i="54"/>
  <c r="R142" i="54"/>
  <c r="Q134" i="54"/>
  <c r="Q131" i="54"/>
  <c r="R126" i="54"/>
  <c r="R110" i="54"/>
  <c r="Q102" i="54"/>
  <c r="Q92" i="54"/>
  <c r="Q89" i="54"/>
  <c r="R78" i="54"/>
  <c r="Q70" i="54"/>
  <c r="Q67" i="54"/>
  <c r="R62" i="54"/>
  <c r="R46" i="54"/>
  <c r="Q43" i="54"/>
  <c r="P30" i="54"/>
  <c r="P425" i="54"/>
  <c r="P420" i="54"/>
  <c r="R415" i="54"/>
  <c r="R413" i="54"/>
  <c r="R405" i="54"/>
  <c r="Q402" i="54"/>
  <c r="Q400" i="54"/>
  <c r="R395" i="54"/>
  <c r="P393" i="54"/>
  <c r="P388" i="54"/>
  <c r="Q383" i="54"/>
  <c r="R367" i="54"/>
  <c r="Q364" i="54"/>
  <c r="Q362" i="54"/>
  <c r="R359" i="54"/>
  <c r="Q316" i="54"/>
  <c r="R313" i="54"/>
  <c r="Q305" i="54"/>
  <c r="R303" i="54"/>
  <c r="Q293" i="54"/>
  <c r="P290" i="54"/>
  <c r="R280" i="54"/>
  <c r="Q201" i="54"/>
  <c r="Q188" i="54"/>
  <c r="Q185" i="54"/>
  <c r="Q166" i="54"/>
  <c r="Q35" i="54"/>
  <c r="Q225" i="54"/>
  <c r="Q209" i="54"/>
  <c r="Q206" i="54"/>
  <c r="Q195" i="54"/>
  <c r="Q19" i="54"/>
  <c r="P240" i="54"/>
  <c r="R240" i="54"/>
  <c r="R215" i="54"/>
  <c r="P215" i="54"/>
  <c r="R182" i="54"/>
  <c r="P182" i="54"/>
  <c r="R169" i="54"/>
  <c r="P169" i="54"/>
  <c r="P429" i="54"/>
  <c r="P421" i="54"/>
  <c r="P413" i="54"/>
  <c r="P405" i="54"/>
  <c r="P397" i="54"/>
  <c r="P389" i="54"/>
  <c r="P381" i="54"/>
  <c r="P373" i="54"/>
  <c r="Q368" i="54"/>
  <c r="P366" i="54"/>
  <c r="P357" i="54"/>
  <c r="Q336" i="54"/>
  <c r="P334" i="54"/>
  <c r="R328" i="54"/>
  <c r="Q315" i="54"/>
  <c r="P301" i="54"/>
  <c r="Q296" i="54"/>
  <c r="P285" i="54"/>
  <c r="Q280" i="54"/>
  <c r="P260" i="54"/>
  <c r="R252" i="54"/>
  <c r="P230" i="54"/>
  <c r="P227" i="54"/>
  <c r="Q227" i="54"/>
  <c r="R227" i="54"/>
  <c r="P176" i="54"/>
  <c r="Q176" i="54"/>
  <c r="R176" i="54"/>
  <c r="Q171" i="54"/>
  <c r="R171" i="54"/>
  <c r="R150" i="54"/>
  <c r="P150" i="54"/>
  <c r="R137" i="54"/>
  <c r="P137" i="54"/>
  <c r="Q105" i="54"/>
  <c r="Q100" i="54"/>
  <c r="R100" i="54"/>
  <c r="P78" i="54"/>
  <c r="P275" i="54"/>
  <c r="Q275" i="54"/>
  <c r="R275" i="54"/>
  <c r="R273" i="54"/>
  <c r="P273" i="54"/>
  <c r="R217" i="54"/>
  <c r="Q217" i="54"/>
  <c r="P144" i="54"/>
  <c r="Q144" i="54"/>
  <c r="R144" i="54"/>
  <c r="Q139" i="54"/>
  <c r="R139" i="54"/>
  <c r="R118" i="54"/>
  <c r="P118" i="54"/>
  <c r="R105" i="54"/>
  <c r="P105" i="54"/>
  <c r="Q68" i="54"/>
  <c r="R68" i="54"/>
  <c r="R307" i="54"/>
  <c r="P267" i="54"/>
  <c r="Q267" i="54"/>
  <c r="R267" i="54"/>
  <c r="P112" i="54"/>
  <c r="Q112" i="54"/>
  <c r="R112" i="54"/>
  <c r="Q107" i="54"/>
  <c r="R107" i="54"/>
  <c r="R86" i="54"/>
  <c r="P86" i="54"/>
  <c r="R73" i="54"/>
  <c r="P73" i="54"/>
  <c r="R347" i="54"/>
  <c r="R289" i="54"/>
  <c r="P289" i="54"/>
  <c r="Q221" i="54"/>
  <c r="P221" i="54"/>
  <c r="R221" i="54"/>
  <c r="R211" i="54"/>
  <c r="R428" i="54"/>
  <c r="Q425" i="54"/>
  <c r="R396" i="54"/>
  <c r="R380" i="54"/>
  <c r="R372" i="54"/>
  <c r="R346" i="54"/>
  <c r="P345" i="54"/>
  <c r="R343" i="54"/>
  <c r="P317" i="54"/>
  <c r="P313" i="54"/>
  <c r="R310" i="54"/>
  <c r="P272" i="54"/>
  <c r="R272" i="54"/>
  <c r="Q262" i="54"/>
  <c r="R262" i="54"/>
  <c r="P259" i="54"/>
  <c r="Q259" i="54"/>
  <c r="R259" i="54"/>
  <c r="R257" i="54"/>
  <c r="P257" i="54"/>
  <c r="R226" i="54"/>
  <c r="P219" i="54"/>
  <c r="R219" i="54"/>
  <c r="Q213" i="54"/>
  <c r="P213" i="54"/>
  <c r="P80" i="54"/>
  <c r="Q80" i="54"/>
  <c r="R80" i="54"/>
  <c r="Q75" i="54"/>
  <c r="R75" i="54"/>
  <c r="R54" i="54"/>
  <c r="P54" i="54"/>
  <c r="P305" i="54"/>
  <c r="Q270" i="54"/>
  <c r="R270" i="54"/>
  <c r="R232" i="54"/>
  <c r="Q232" i="54"/>
  <c r="Q44" i="54"/>
  <c r="P44" i="54"/>
  <c r="R388" i="54"/>
  <c r="P417" i="54"/>
  <c r="R407" i="54"/>
  <c r="R399" i="54"/>
  <c r="R391" i="54"/>
  <c r="R383" i="54"/>
  <c r="R375" i="54"/>
  <c r="P363" i="54"/>
  <c r="R361" i="54"/>
  <c r="Q352" i="54"/>
  <c r="P348" i="54"/>
  <c r="Q346" i="54"/>
  <c r="R344" i="54"/>
  <c r="R342" i="54"/>
  <c r="P341" i="54"/>
  <c r="R339" i="54"/>
  <c r="Q333" i="54"/>
  <c r="P325" i="54"/>
  <c r="R323" i="54"/>
  <c r="P321" i="54"/>
  <c r="R314" i="54"/>
  <c r="P312" i="54"/>
  <c r="Q310" i="54"/>
  <c r="Q304" i="54"/>
  <c r="P293" i="54"/>
  <c r="R290" i="54"/>
  <c r="P277" i="54"/>
  <c r="P264" i="54"/>
  <c r="R264" i="54"/>
  <c r="Q254" i="54"/>
  <c r="R254" i="54"/>
  <c r="P251" i="54"/>
  <c r="Q251" i="54"/>
  <c r="R251" i="54"/>
  <c r="R249" i="54"/>
  <c r="P249" i="54"/>
  <c r="Q238" i="54"/>
  <c r="P238" i="54"/>
  <c r="R238" i="54"/>
  <c r="P234" i="54"/>
  <c r="R234" i="54"/>
  <c r="R199" i="54"/>
  <c r="P199" i="54"/>
  <c r="Q199" i="54"/>
  <c r="Q196" i="54"/>
  <c r="P196" i="54"/>
  <c r="P48" i="54"/>
  <c r="Q48" i="54"/>
  <c r="R48" i="54"/>
  <c r="R33" i="54"/>
  <c r="P33" i="54"/>
  <c r="Q33" i="54"/>
  <c r="P349" i="54"/>
  <c r="P309" i="54"/>
  <c r="P291" i="54"/>
  <c r="R291" i="54"/>
  <c r="R265" i="54"/>
  <c r="P265" i="54"/>
  <c r="R420" i="54"/>
  <c r="R412" i="54"/>
  <c r="R404" i="54"/>
  <c r="Q431" i="54"/>
  <c r="R426" i="54"/>
  <c r="Q423" i="54"/>
  <c r="R418" i="54"/>
  <c r="Q415" i="54"/>
  <c r="R410" i="54"/>
  <c r="Q361" i="54"/>
  <c r="R357" i="54"/>
  <c r="Q355" i="54"/>
  <c r="Q342" i="54"/>
  <c r="R340" i="54"/>
  <c r="R338" i="54"/>
  <c r="R326" i="54"/>
  <c r="R324" i="54"/>
  <c r="R322" i="54"/>
  <c r="P320" i="54"/>
  <c r="Q314" i="54"/>
  <c r="R292" i="54"/>
  <c r="Q290" i="54"/>
  <c r="R276" i="54"/>
  <c r="P256" i="54"/>
  <c r="R256" i="54"/>
  <c r="Q246" i="54"/>
  <c r="R246" i="54"/>
  <c r="P243" i="54"/>
  <c r="Q243" i="54"/>
  <c r="R243" i="54"/>
  <c r="R241" i="54"/>
  <c r="P241" i="54"/>
  <c r="R225" i="54"/>
  <c r="P225" i="54"/>
  <c r="Q215" i="54"/>
  <c r="P174" i="54"/>
  <c r="Q28" i="54"/>
  <c r="P28" i="54"/>
  <c r="P365" i="54"/>
  <c r="P355" i="54"/>
  <c r="R353" i="54"/>
  <c r="Q344" i="54"/>
  <c r="R332" i="54"/>
  <c r="R330" i="54"/>
  <c r="P328" i="54"/>
  <c r="P324" i="54"/>
  <c r="Q322" i="54"/>
  <c r="Q320" i="54"/>
  <c r="R312" i="54"/>
  <c r="R301" i="54"/>
  <c r="P299" i="54"/>
  <c r="R299" i="54"/>
  <c r="R297" i="54"/>
  <c r="P297" i="54"/>
  <c r="R294" i="54"/>
  <c r="P292" i="54"/>
  <c r="R285" i="54"/>
  <c r="P283" i="54"/>
  <c r="R283" i="54"/>
  <c r="R281" i="54"/>
  <c r="P281" i="54"/>
  <c r="R278" i="54"/>
  <c r="P276" i="54"/>
  <c r="R268" i="54"/>
  <c r="P248" i="54"/>
  <c r="R248" i="54"/>
  <c r="Q240" i="54"/>
  <c r="R230" i="54"/>
  <c r="P209" i="54"/>
  <c r="R198" i="54"/>
  <c r="P198" i="54"/>
  <c r="Q169" i="54"/>
  <c r="Q164" i="54"/>
  <c r="R164" i="54"/>
  <c r="P142" i="54"/>
  <c r="P32" i="54"/>
  <c r="Q32" i="54"/>
  <c r="R32" i="54"/>
  <c r="Q224" i="54"/>
  <c r="R201" i="54"/>
  <c r="P201" i="54"/>
  <c r="P184" i="54"/>
  <c r="Q184" i="54"/>
  <c r="R184" i="54"/>
  <c r="Q179" i="54"/>
  <c r="R179" i="54"/>
  <c r="R177" i="54"/>
  <c r="P177" i="54"/>
  <c r="Q174" i="54"/>
  <c r="P152" i="54"/>
  <c r="Q152" i="54"/>
  <c r="R152" i="54"/>
  <c r="Q147" i="54"/>
  <c r="R147" i="54"/>
  <c r="R145" i="54"/>
  <c r="P145" i="54"/>
  <c r="Q142" i="54"/>
  <c r="P120" i="54"/>
  <c r="Q120" i="54"/>
  <c r="R120" i="54"/>
  <c r="Q115" i="54"/>
  <c r="R115" i="54"/>
  <c r="R113" i="54"/>
  <c r="P113" i="54"/>
  <c r="Q110" i="54"/>
  <c r="P88" i="54"/>
  <c r="Q88" i="54"/>
  <c r="R88" i="54"/>
  <c r="Q83" i="54"/>
  <c r="R83" i="54"/>
  <c r="R81" i="54"/>
  <c r="P81" i="54"/>
  <c r="Q78" i="54"/>
  <c r="P56" i="54"/>
  <c r="Q56" i="54"/>
  <c r="R56" i="54"/>
  <c r="Q51" i="54"/>
  <c r="R51" i="54"/>
  <c r="R49" i="54"/>
  <c r="P49" i="54"/>
  <c r="Q46" i="54"/>
  <c r="P35" i="54"/>
  <c r="Q30" i="54"/>
  <c r="P19" i="54"/>
  <c r="Q14" i="54"/>
  <c r="Q235" i="54"/>
  <c r="P233" i="54"/>
  <c r="Q231" i="54"/>
  <c r="R229" i="54"/>
  <c r="P226" i="54"/>
  <c r="Q218" i="54"/>
  <c r="P216" i="54"/>
  <c r="R214" i="54"/>
  <c r="R212" i="54"/>
  <c r="P211" i="54"/>
  <c r="R209" i="54"/>
  <c r="R204" i="54"/>
  <c r="P200" i="54"/>
  <c r="R200" i="54"/>
  <c r="P190" i="54"/>
  <c r="P171" i="54"/>
  <c r="P158" i="54"/>
  <c r="P139" i="54"/>
  <c r="P126" i="54"/>
  <c r="P107" i="54"/>
  <c r="P94" i="54"/>
  <c r="P75" i="54"/>
  <c r="P62" i="54"/>
  <c r="R41" i="54"/>
  <c r="P41" i="54"/>
  <c r="P38" i="54"/>
  <c r="R36" i="54"/>
  <c r="R25" i="54"/>
  <c r="P25" i="54"/>
  <c r="P22" i="54"/>
  <c r="P229" i="54"/>
  <c r="P204" i="54"/>
  <c r="R193" i="54"/>
  <c r="P193" i="54"/>
  <c r="Q190" i="54"/>
  <c r="R180" i="54"/>
  <c r="P168" i="54"/>
  <c r="Q168" i="54"/>
  <c r="R168" i="54"/>
  <c r="Q163" i="54"/>
  <c r="R163" i="54"/>
  <c r="R161" i="54"/>
  <c r="P161" i="54"/>
  <c r="Q158" i="54"/>
  <c r="R148" i="54"/>
  <c r="P136" i="54"/>
  <c r="Q136" i="54"/>
  <c r="R136" i="54"/>
  <c r="R129" i="54"/>
  <c r="P129" i="54"/>
  <c r="Q126" i="54"/>
  <c r="R116" i="54"/>
  <c r="P104" i="54"/>
  <c r="Q104" i="54"/>
  <c r="R104" i="54"/>
  <c r="Q99" i="54"/>
  <c r="R99" i="54"/>
  <c r="R97" i="54"/>
  <c r="P97" i="54"/>
  <c r="Q94" i="54"/>
  <c r="R84" i="54"/>
  <c r="P72" i="54"/>
  <c r="Q72" i="54"/>
  <c r="R72" i="54"/>
  <c r="R65" i="54"/>
  <c r="P65" i="54"/>
  <c r="Q62" i="54"/>
  <c r="R52" i="54"/>
  <c r="P43" i="54"/>
  <c r="Q38" i="54"/>
  <c r="P36" i="54"/>
  <c r="P27" i="54"/>
  <c r="Q22" i="54"/>
  <c r="P40" i="54"/>
  <c r="Q40" i="54"/>
  <c r="R40" i="54"/>
  <c r="P24" i="54"/>
  <c r="Q24" i="54"/>
  <c r="R24" i="54"/>
  <c r="P208" i="54"/>
  <c r="R208" i="54"/>
  <c r="R206" i="54"/>
  <c r="P192" i="54"/>
  <c r="Q192" i="54"/>
  <c r="R192" i="54"/>
  <c r="Q187" i="54"/>
  <c r="R187" i="54"/>
  <c r="R185" i="54"/>
  <c r="P185" i="54"/>
  <c r="Q182" i="54"/>
  <c r="P160" i="54"/>
  <c r="Q160" i="54"/>
  <c r="R160" i="54"/>
  <c r="Q155" i="54"/>
  <c r="R155" i="54"/>
  <c r="R153" i="54"/>
  <c r="P153" i="54"/>
  <c r="Q150" i="54"/>
  <c r="P128" i="54"/>
  <c r="Q128" i="54"/>
  <c r="R128" i="54"/>
  <c r="Q123" i="54"/>
  <c r="R123" i="54"/>
  <c r="R121" i="54"/>
  <c r="P121" i="54"/>
  <c r="Q118" i="54"/>
  <c r="P96" i="54"/>
  <c r="Q96" i="54"/>
  <c r="R96" i="54"/>
  <c r="Q91" i="54"/>
  <c r="R91" i="54"/>
  <c r="R89" i="54"/>
  <c r="P89" i="54"/>
  <c r="Q86" i="54"/>
  <c r="P64" i="54"/>
  <c r="Q64" i="54"/>
  <c r="R64" i="54"/>
  <c r="Q59" i="54"/>
  <c r="R59" i="54"/>
  <c r="R57" i="54"/>
  <c r="P57" i="54"/>
  <c r="Q54" i="54"/>
  <c r="R131" i="54"/>
  <c r="R67" i="54"/>
  <c r="R43" i="54"/>
  <c r="R35" i="54"/>
  <c r="R27" i="54"/>
  <c r="R19" i="54"/>
  <c r="A1" i="49" l="1"/>
  <c r="F15" i="54"/>
  <c r="F16" i="54"/>
  <c r="F17" i="54"/>
  <c r="F18" i="54"/>
  <c r="F19" i="54"/>
  <c r="F20" i="54"/>
  <c r="F21" i="54"/>
  <c r="F22" i="54"/>
  <c r="F23" i="54"/>
  <c r="F24" i="54"/>
  <c r="F25" i="54"/>
  <c r="F26" i="54"/>
  <c r="F27" i="54"/>
  <c r="F28" i="54"/>
  <c r="F29" i="54"/>
  <c r="F30" i="54"/>
  <c r="F31" i="54"/>
  <c r="F32" i="54"/>
  <c r="F33" i="54"/>
  <c r="F34" i="54"/>
  <c r="F35" i="54"/>
  <c r="F36" i="54"/>
  <c r="F37" i="54"/>
  <c r="F38" i="54"/>
  <c r="F39" i="54"/>
  <c r="F40" i="54"/>
  <c r="F41" i="54"/>
  <c r="F42" i="54"/>
  <c r="F43" i="54"/>
  <c r="F44" i="54"/>
  <c r="F45" i="54"/>
  <c r="F46" i="54"/>
  <c r="F47" i="54"/>
  <c r="F48" i="54"/>
  <c r="F49" i="54"/>
  <c r="F50" i="54"/>
  <c r="F51" i="54"/>
  <c r="F52" i="54"/>
  <c r="F53" i="54"/>
  <c r="F54" i="54"/>
  <c r="F55" i="54"/>
  <c r="F56" i="54"/>
  <c r="F57" i="54"/>
  <c r="F58" i="54"/>
  <c r="F59" i="54"/>
  <c r="F60" i="54"/>
  <c r="F61" i="54"/>
  <c r="F62" i="54"/>
  <c r="F63" i="54"/>
  <c r="F64" i="54"/>
  <c r="F65" i="54"/>
  <c r="F66" i="54"/>
  <c r="F67" i="54"/>
  <c r="F68" i="54"/>
  <c r="F69" i="54"/>
  <c r="F70" i="54"/>
  <c r="F71" i="54"/>
  <c r="F72" i="54"/>
  <c r="F73" i="54"/>
  <c r="F74" i="54"/>
  <c r="F75" i="54"/>
  <c r="F76" i="54"/>
  <c r="F77" i="54"/>
  <c r="F78" i="54"/>
  <c r="F79" i="54"/>
  <c r="F80" i="54"/>
  <c r="F81" i="54"/>
  <c r="F82" i="54"/>
  <c r="F83" i="54"/>
  <c r="F84" i="54"/>
  <c r="F85" i="54"/>
  <c r="F86" i="54"/>
  <c r="F87" i="54"/>
  <c r="F88" i="54"/>
  <c r="F89" i="54"/>
  <c r="F90" i="54"/>
  <c r="F91" i="54"/>
  <c r="F92" i="54"/>
  <c r="F93" i="54"/>
  <c r="F94" i="54"/>
  <c r="F95" i="54"/>
  <c r="F96" i="54"/>
  <c r="F97" i="54"/>
  <c r="F98" i="54"/>
  <c r="F99" i="54"/>
  <c r="F100" i="54"/>
  <c r="F101" i="54"/>
  <c r="F102" i="54"/>
  <c r="F103" i="54"/>
  <c r="F104" i="54"/>
  <c r="F105" i="54"/>
  <c r="F106" i="54"/>
  <c r="F107" i="54"/>
  <c r="F108" i="54"/>
  <c r="F109" i="54"/>
  <c r="F110" i="54"/>
  <c r="F111" i="54"/>
  <c r="F112" i="54"/>
  <c r="F113" i="54"/>
  <c r="F114" i="54"/>
  <c r="F115" i="54"/>
  <c r="F116" i="54"/>
  <c r="F117" i="54"/>
  <c r="F118" i="54"/>
  <c r="F119" i="54"/>
  <c r="F120" i="54"/>
  <c r="F121" i="54"/>
  <c r="F122" i="54"/>
  <c r="F123" i="54"/>
  <c r="F124" i="54"/>
  <c r="F125" i="54"/>
  <c r="F126" i="54"/>
  <c r="F127" i="54"/>
  <c r="F128" i="54"/>
  <c r="F129" i="54"/>
  <c r="F130" i="54"/>
  <c r="F131" i="54"/>
  <c r="F132" i="54"/>
  <c r="F133" i="54"/>
  <c r="F134" i="54"/>
  <c r="F135" i="54"/>
  <c r="F136" i="54"/>
  <c r="F137" i="54"/>
  <c r="F138" i="54"/>
  <c r="F139" i="54"/>
  <c r="F140" i="54"/>
  <c r="F141" i="54"/>
  <c r="F142" i="54"/>
  <c r="F143" i="54"/>
  <c r="F144" i="54"/>
  <c r="F145" i="54"/>
  <c r="F146" i="54"/>
  <c r="F147" i="54"/>
  <c r="F148" i="54"/>
  <c r="F149" i="54"/>
  <c r="F150" i="54"/>
  <c r="F151" i="54"/>
  <c r="F152" i="54"/>
  <c r="F153" i="54"/>
  <c r="F154" i="54"/>
  <c r="F155" i="54"/>
  <c r="F156" i="54"/>
  <c r="F157" i="54"/>
  <c r="F158" i="54"/>
  <c r="F159" i="54"/>
  <c r="F160" i="54"/>
  <c r="F161" i="54"/>
  <c r="F162" i="54"/>
  <c r="F163" i="54"/>
  <c r="F164" i="54"/>
  <c r="F165" i="54"/>
  <c r="F166" i="54"/>
  <c r="F167" i="54"/>
  <c r="F168" i="54"/>
  <c r="F169" i="54"/>
  <c r="F170" i="54"/>
  <c r="F171" i="54"/>
  <c r="F172" i="54"/>
  <c r="F173" i="54"/>
  <c r="F174" i="54"/>
  <c r="F175" i="54"/>
  <c r="F176" i="54"/>
  <c r="F177" i="54"/>
  <c r="F178" i="54"/>
  <c r="F179" i="54"/>
  <c r="F180" i="54"/>
  <c r="F181" i="54"/>
  <c r="F182" i="54"/>
  <c r="F183" i="54"/>
  <c r="F184" i="54"/>
  <c r="F185" i="54"/>
  <c r="F186" i="54"/>
  <c r="F187" i="54"/>
  <c r="F188" i="54"/>
  <c r="F189" i="54"/>
  <c r="F190" i="54"/>
  <c r="F191" i="54"/>
  <c r="F192" i="54"/>
  <c r="F193" i="54"/>
  <c r="F194" i="54"/>
  <c r="F195" i="54"/>
  <c r="F196" i="54"/>
  <c r="F197" i="54"/>
  <c r="F198" i="54"/>
  <c r="F199" i="54"/>
  <c r="F200" i="54"/>
  <c r="F201" i="54"/>
  <c r="F202" i="54"/>
  <c r="F203" i="54"/>
  <c r="F204" i="54"/>
  <c r="F205" i="54"/>
  <c r="F206" i="54"/>
  <c r="F207" i="54"/>
  <c r="F208" i="54"/>
  <c r="F209" i="54"/>
  <c r="F210" i="54"/>
  <c r="F211" i="54"/>
  <c r="F212" i="54"/>
  <c r="F213" i="54"/>
  <c r="F214" i="54"/>
  <c r="F215" i="54"/>
  <c r="F216" i="54"/>
  <c r="F217" i="54"/>
  <c r="F218" i="54"/>
  <c r="F219" i="54"/>
  <c r="F220" i="54"/>
  <c r="F221" i="54"/>
  <c r="F222" i="54"/>
  <c r="F223" i="54"/>
  <c r="F224" i="54"/>
  <c r="F225" i="54"/>
  <c r="F226" i="54"/>
  <c r="F227" i="54"/>
  <c r="F228" i="54"/>
  <c r="F229" i="54"/>
  <c r="F230" i="54"/>
  <c r="F231" i="54"/>
  <c r="F232" i="54"/>
  <c r="F233" i="54"/>
  <c r="F234" i="54"/>
  <c r="F235" i="54"/>
  <c r="F236" i="54"/>
  <c r="F237" i="54"/>
  <c r="F238" i="54"/>
  <c r="F239" i="54"/>
  <c r="F240" i="54"/>
  <c r="F241" i="54"/>
  <c r="F242" i="54"/>
  <c r="F243" i="54"/>
  <c r="F244" i="54"/>
  <c r="F245" i="54"/>
  <c r="F246" i="54"/>
  <c r="F247" i="54"/>
  <c r="F248" i="54"/>
  <c r="F249" i="54"/>
  <c r="F250" i="54"/>
  <c r="F251" i="54"/>
  <c r="F252" i="54"/>
  <c r="F253" i="54"/>
  <c r="F254" i="54"/>
  <c r="F255" i="54"/>
  <c r="F256" i="54"/>
  <c r="F257" i="54"/>
  <c r="F258" i="54"/>
  <c r="F259" i="54"/>
  <c r="F260" i="54"/>
  <c r="F261" i="54"/>
  <c r="F262" i="54"/>
  <c r="F263" i="54"/>
  <c r="F264" i="54"/>
  <c r="F265" i="54"/>
  <c r="F266" i="54"/>
  <c r="F267" i="54"/>
  <c r="F268" i="54"/>
  <c r="F269" i="54"/>
  <c r="F270" i="54"/>
  <c r="F271" i="54"/>
  <c r="F272" i="54"/>
  <c r="F273" i="54"/>
  <c r="F274" i="54"/>
  <c r="F275" i="54"/>
  <c r="F276" i="54"/>
  <c r="F277" i="54"/>
  <c r="F278" i="54"/>
  <c r="F279" i="54"/>
  <c r="F280" i="54"/>
  <c r="F281" i="54"/>
  <c r="F282" i="54"/>
  <c r="F283" i="54"/>
  <c r="F284" i="54"/>
  <c r="F285" i="54"/>
  <c r="F286" i="54"/>
  <c r="F287" i="54"/>
  <c r="F288" i="54"/>
  <c r="F289" i="54"/>
  <c r="F290" i="54"/>
  <c r="F291" i="54"/>
  <c r="F292" i="54"/>
  <c r="F293" i="54"/>
  <c r="F294" i="54"/>
  <c r="F295" i="54"/>
  <c r="F296" i="54"/>
  <c r="F297" i="54"/>
  <c r="F298" i="54"/>
  <c r="F299" i="54"/>
  <c r="F300" i="54"/>
  <c r="F301" i="54"/>
  <c r="F302" i="54"/>
  <c r="F303" i="54"/>
  <c r="F304" i="54"/>
  <c r="F305" i="54"/>
  <c r="F306" i="54"/>
  <c r="F307" i="54"/>
  <c r="F308" i="54"/>
  <c r="F309" i="54"/>
  <c r="F310" i="54"/>
  <c r="F311" i="54"/>
  <c r="F312" i="54"/>
  <c r="F313" i="54"/>
  <c r="F314" i="54"/>
  <c r="F315" i="54"/>
  <c r="F316" i="54"/>
  <c r="F317" i="54"/>
  <c r="F318" i="54"/>
  <c r="F319" i="54"/>
  <c r="F320" i="54"/>
  <c r="F321" i="54"/>
  <c r="F322" i="54"/>
  <c r="F323" i="54"/>
  <c r="F324" i="54"/>
  <c r="F325" i="54"/>
  <c r="F326" i="54"/>
  <c r="F327" i="54"/>
  <c r="F328" i="54"/>
  <c r="F329" i="54"/>
  <c r="F330" i="54"/>
  <c r="F331" i="54"/>
  <c r="F332" i="54"/>
  <c r="F333" i="54"/>
  <c r="F334" i="54"/>
  <c r="F335" i="54"/>
  <c r="F336" i="54"/>
  <c r="F337" i="54"/>
  <c r="F338" i="54"/>
  <c r="F339" i="54"/>
  <c r="F340" i="54"/>
  <c r="F341" i="54"/>
  <c r="F342" i="54"/>
  <c r="F343" i="54"/>
  <c r="F344" i="54"/>
  <c r="F345" i="54"/>
  <c r="F346" i="54"/>
  <c r="F347" i="54"/>
  <c r="F348" i="54"/>
  <c r="F349" i="54"/>
  <c r="F350" i="54"/>
  <c r="F351" i="54"/>
  <c r="F352" i="54"/>
  <c r="F353" i="54"/>
  <c r="F354" i="54"/>
  <c r="F355" i="54"/>
  <c r="F356" i="54"/>
  <c r="F357" i="54"/>
  <c r="F358" i="54"/>
  <c r="F359" i="54"/>
  <c r="F360" i="54"/>
  <c r="F361" i="54"/>
  <c r="F362" i="54"/>
  <c r="F363" i="54"/>
  <c r="F364" i="54"/>
  <c r="F365" i="54"/>
  <c r="F366" i="54"/>
  <c r="F367" i="54"/>
  <c r="F368" i="54"/>
  <c r="F369" i="54"/>
  <c r="F370" i="54"/>
  <c r="F371" i="54"/>
  <c r="F372" i="54"/>
  <c r="F373" i="54"/>
  <c r="F374" i="54"/>
  <c r="F375" i="54"/>
  <c r="F376" i="54"/>
  <c r="F377" i="54"/>
  <c r="F378" i="54"/>
  <c r="F379" i="54"/>
  <c r="F380" i="54"/>
  <c r="F381" i="54"/>
  <c r="F382" i="54"/>
  <c r="F383" i="54"/>
  <c r="F384" i="54"/>
  <c r="F385" i="54"/>
  <c r="F386" i="54"/>
  <c r="F387" i="54"/>
  <c r="F388" i="54"/>
  <c r="F389" i="54"/>
  <c r="F390" i="54"/>
  <c r="F391" i="54"/>
  <c r="F392" i="54"/>
  <c r="F393" i="54"/>
  <c r="F394" i="54"/>
  <c r="F395" i="54"/>
  <c r="F396" i="54"/>
  <c r="F397" i="54"/>
  <c r="F398" i="54"/>
  <c r="F399" i="54"/>
  <c r="F400" i="54"/>
  <c r="F401" i="54"/>
  <c r="F402" i="54"/>
  <c r="F403" i="54"/>
  <c r="F404" i="54"/>
  <c r="F405" i="54"/>
  <c r="F406" i="54"/>
  <c r="F407" i="54"/>
  <c r="F408" i="54"/>
  <c r="F409" i="54"/>
  <c r="F410" i="54"/>
  <c r="F411" i="54"/>
  <c r="F412" i="54"/>
  <c r="F413" i="54"/>
  <c r="F414" i="54"/>
  <c r="F415" i="54"/>
  <c r="F416" i="54"/>
  <c r="F417" i="54"/>
  <c r="F418" i="54"/>
  <c r="F419" i="54"/>
  <c r="F420" i="54"/>
  <c r="F421" i="54"/>
  <c r="F422" i="54"/>
  <c r="F423" i="54"/>
  <c r="F424" i="54"/>
  <c r="F425" i="54"/>
  <c r="F426" i="54"/>
  <c r="F427" i="54"/>
  <c r="F428" i="54"/>
  <c r="F429" i="54"/>
  <c r="F430" i="54"/>
  <c r="F431"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3" i="54"/>
  <c r="B94" i="54"/>
  <c r="B95" i="54"/>
  <c r="B96" i="54"/>
  <c r="B97" i="54"/>
  <c r="B98" i="54"/>
  <c r="B99" i="54"/>
  <c r="B100" i="54"/>
  <c r="B101" i="54"/>
  <c r="B102" i="54"/>
  <c r="B103" i="54"/>
  <c r="B104" i="54"/>
  <c r="B105" i="54"/>
  <c r="B106" i="54"/>
  <c r="B107" i="54"/>
  <c r="B108" i="54"/>
  <c r="B109" i="54"/>
  <c r="B110" i="54"/>
  <c r="B111" i="54"/>
  <c r="B112" i="54"/>
  <c r="B113" i="54"/>
  <c r="B114" i="54"/>
  <c r="B115" i="54"/>
  <c r="B116" i="54"/>
  <c r="B117" i="54"/>
  <c r="B118" i="54"/>
  <c r="B119" i="54"/>
  <c r="B120" i="54"/>
  <c r="B121" i="54"/>
  <c r="B122" i="54"/>
  <c r="B123" i="54"/>
  <c r="B124" i="54"/>
  <c r="B125" i="54"/>
  <c r="B126" i="54"/>
  <c r="B127" i="54"/>
  <c r="B128" i="54"/>
  <c r="B129" i="54"/>
  <c r="B130" i="54"/>
  <c r="B131" i="54"/>
  <c r="B132" i="54"/>
  <c r="B133" i="54"/>
  <c r="B134" i="54"/>
  <c r="B135" i="54"/>
  <c r="B136" i="54"/>
  <c r="B137" i="54"/>
  <c r="B138" i="54"/>
  <c r="B139" i="54"/>
  <c r="B140" i="54"/>
  <c r="B141" i="54"/>
  <c r="B142" i="54"/>
  <c r="B143" i="54"/>
  <c r="B144" i="54"/>
  <c r="B145" i="54"/>
  <c r="B146" i="54"/>
  <c r="B147" i="54"/>
  <c r="B148" i="54"/>
  <c r="B149" i="54"/>
  <c r="B150" i="54"/>
  <c r="B151" i="54"/>
  <c r="B152" i="54"/>
  <c r="B153" i="54"/>
  <c r="B154" i="54"/>
  <c r="B155" i="54"/>
  <c r="B156" i="54"/>
  <c r="B157" i="54"/>
  <c r="B158" i="54"/>
  <c r="B159" i="54"/>
  <c r="B160" i="54"/>
  <c r="B161" i="54"/>
  <c r="B162" i="54"/>
  <c r="B163" i="54"/>
  <c r="B164" i="54"/>
  <c r="B165" i="54"/>
  <c r="B166" i="54"/>
  <c r="B167" i="54"/>
  <c r="B168" i="54"/>
  <c r="B169" i="54"/>
  <c r="B170" i="54"/>
  <c r="B171" i="54"/>
  <c r="B172" i="54"/>
  <c r="B173" i="54"/>
  <c r="B174" i="54"/>
  <c r="B175" i="54"/>
  <c r="B176" i="54"/>
  <c r="B177" i="54"/>
  <c r="B178" i="54"/>
  <c r="B179" i="54"/>
  <c r="B180" i="54"/>
  <c r="B181" i="54"/>
  <c r="B182" i="54"/>
  <c r="B183" i="54"/>
  <c r="B184" i="54"/>
  <c r="B185" i="54"/>
  <c r="B186" i="54"/>
  <c r="B187" i="54"/>
  <c r="B188" i="54"/>
  <c r="B189" i="54"/>
  <c r="B190" i="54"/>
  <c r="B191" i="54"/>
  <c r="B192" i="54"/>
  <c r="B193" i="54"/>
  <c r="B194" i="54"/>
  <c r="B195" i="54"/>
  <c r="B196" i="54"/>
  <c r="B197" i="54"/>
  <c r="B198" i="54"/>
  <c r="B199" i="54"/>
  <c r="B200" i="54"/>
  <c r="B201" i="54"/>
  <c r="B202" i="54"/>
  <c r="B203" i="54"/>
  <c r="B204" i="54"/>
  <c r="B205" i="54"/>
  <c r="B206" i="54"/>
  <c r="B207" i="54"/>
  <c r="B208" i="54"/>
  <c r="B209" i="54"/>
  <c r="B210" i="54"/>
  <c r="B211" i="54"/>
  <c r="B212" i="54"/>
  <c r="B213" i="54"/>
  <c r="B214" i="54"/>
  <c r="B215" i="54"/>
  <c r="B216" i="54"/>
  <c r="B217" i="54"/>
  <c r="B218" i="54"/>
  <c r="B219" i="54"/>
  <c r="B220" i="54"/>
  <c r="B221" i="54"/>
  <c r="B222" i="54"/>
  <c r="B223" i="54"/>
  <c r="B224" i="54"/>
  <c r="B225" i="54"/>
  <c r="B226" i="54"/>
  <c r="B227" i="54"/>
  <c r="B228" i="54"/>
  <c r="B229" i="54"/>
  <c r="B230" i="54"/>
  <c r="B231" i="54"/>
  <c r="B232" i="54"/>
  <c r="B233" i="54"/>
  <c r="B234" i="54"/>
  <c r="B235" i="54"/>
  <c r="B236" i="54"/>
  <c r="B237" i="54"/>
  <c r="B238" i="54"/>
  <c r="B239" i="54"/>
  <c r="B240" i="54"/>
  <c r="B241" i="54"/>
  <c r="B242" i="54"/>
  <c r="B243" i="54"/>
  <c r="B244" i="54"/>
  <c r="B245" i="54"/>
  <c r="B246" i="54"/>
  <c r="B247" i="54"/>
  <c r="B248" i="54"/>
  <c r="B249" i="54"/>
  <c r="B250" i="54"/>
  <c r="B251" i="54"/>
  <c r="B252" i="54"/>
  <c r="B253" i="54"/>
  <c r="B254" i="54"/>
  <c r="B255" i="54"/>
  <c r="B256" i="54"/>
  <c r="B257" i="54"/>
  <c r="B258" i="54"/>
  <c r="B259" i="54"/>
  <c r="B260" i="54"/>
  <c r="B261" i="54"/>
  <c r="B262" i="54"/>
  <c r="B263" i="54"/>
  <c r="B264" i="54"/>
  <c r="B265" i="54"/>
  <c r="B266" i="54"/>
  <c r="B267" i="54"/>
  <c r="B268" i="54"/>
  <c r="B269" i="54"/>
  <c r="B270" i="54"/>
  <c r="B271" i="54"/>
  <c r="B272" i="54"/>
  <c r="B273" i="54"/>
  <c r="B274" i="54"/>
  <c r="B275" i="54"/>
  <c r="B276" i="54"/>
  <c r="B277" i="54"/>
  <c r="B278" i="54"/>
  <c r="B279" i="54"/>
  <c r="B280" i="54"/>
  <c r="B281" i="54"/>
  <c r="B282" i="54"/>
  <c r="B283" i="54"/>
  <c r="B284" i="54"/>
  <c r="B285" i="54"/>
  <c r="B286" i="54"/>
  <c r="B287" i="54"/>
  <c r="B288" i="54"/>
  <c r="B289" i="54"/>
  <c r="B290" i="54"/>
  <c r="B291" i="54"/>
  <c r="B292" i="54"/>
  <c r="B293" i="54"/>
  <c r="B294" i="54"/>
  <c r="B295" i="54"/>
  <c r="B296" i="54"/>
  <c r="B297" i="54"/>
  <c r="B298" i="54"/>
  <c r="B299" i="54"/>
  <c r="B300" i="54"/>
  <c r="B301" i="54"/>
  <c r="B302" i="54"/>
  <c r="B303" i="54"/>
  <c r="B304" i="54"/>
  <c r="B305" i="54"/>
  <c r="B306" i="54"/>
  <c r="B307" i="54"/>
  <c r="B308" i="54"/>
  <c r="B309" i="54"/>
  <c r="B310" i="54"/>
  <c r="B311" i="54"/>
  <c r="B312" i="54"/>
  <c r="B313" i="54"/>
  <c r="B314" i="54"/>
  <c r="B315" i="54"/>
  <c r="B316" i="54"/>
  <c r="B317" i="54"/>
  <c r="B318" i="54"/>
  <c r="B319" i="54"/>
  <c r="B320" i="54"/>
  <c r="B321" i="54"/>
  <c r="B322" i="54"/>
  <c r="B323" i="54"/>
  <c r="B324" i="54"/>
  <c r="B325" i="54"/>
  <c r="B326" i="54"/>
  <c r="B327" i="54"/>
  <c r="B328" i="54"/>
  <c r="B329" i="54"/>
  <c r="B330" i="54"/>
  <c r="B331" i="54"/>
  <c r="B332" i="54"/>
  <c r="B333" i="54"/>
  <c r="B334" i="54"/>
  <c r="B335" i="54"/>
  <c r="B336" i="54"/>
  <c r="B337" i="54"/>
  <c r="B338" i="54"/>
  <c r="B339" i="54"/>
  <c r="B340" i="54"/>
  <c r="B341" i="54"/>
  <c r="B342" i="54"/>
  <c r="B343" i="54"/>
  <c r="B344" i="54"/>
  <c r="B345" i="54"/>
  <c r="B346" i="54"/>
  <c r="B347" i="54"/>
  <c r="B348" i="54"/>
  <c r="B349" i="54"/>
  <c r="B350" i="54"/>
  <c r="B351" i="54"/>
  <c r="B352" i="54"/>
  <c r="B353" i="54"/>
  <c r="B354" i="54"/>
  <c r="B355" i="54"/>
  <c r="B356" i="54"/>
  <c r="B357" i="54"/>
  <c r="B358" i="54"/>
  <c r="B359" i="54"/>
  <c r="B360" i="54"/>
  <c r="B361" i="54"/>
  <c r="B362" i="54"/>
  <c r="B363" i="54"/>
  <c r="B364" i="54"/>
  <c r="B365" i="54"/>
  <c r="B366" i="54"/>
  <c r="B367" i="54"/>
  <c r="B368" i="54"/>
  <c r="B369" i="54"/>
  <c r="B370" i="54"/>
  <c r="B371" i="54"/>
  <c r="B372" i="54"/>
  <c r="B373" i="54"/>
  <c r="B374" i="54"/>
  <c r="B375" i="54"/>
  <c r="B376" i="54"/>
  <c r="B377" i="54"/>
  <c r="B378" i="54"/>
  <c r="B379" i="54"/>
  <c r="B380" i="54"/>
  <c r="B381" i="54"/>
  <c r="B382" i="54"/>
  <c r="B383" i="54"/>
  <c r="B384" i="54"/>
  <c r="B385" i="54"/>
  <c r="B386" i="54"/>
  <c r="B387" i="54"/>
  <c r="B388" i="54"/>
  <c r="B389" i="54"/>
  <c r="B390" i="54"/>
  <c r="B391" i="54"/>
  <c r="B392" i="54"/>
  <c r="B393" i="54"/>
  <c r="B394" i="54"/>
  <c r="B395" i="54"/>
  <c r="B396" i="54"/>
  <c r="B397" i="54"/>
  <c r="B398" i="54"/>
  <c r="B399" i="54"/>
  <c r="B400" i="54"/>
  <c r="B401" i="54"/>
  <c r="B402" i="54"/>
  <c r="B403" i="54"/>
  <c r="B404" i="54"/>
  <c r="B405" i="54"/>
  <c r="B406" i="54"/>
  <c r="B407" i="54"/>
  <c r="B408" i="54"/>
  <c r="B409" i="54"/>
  <c r="B410" i="54"/>
  <c r="B411" i="54"/>
  <c r="B412" i="54"/>
  <c r="B413" i="54"/>
  <c r="B414" i="54"/>
  <c r="B415" i="54"/>
  <c r="B416" i="54"/>
  <c r="B417" i="54"/>
  <c r="B418" i="54"/>
  <c r="B419" i="54"/>
  <c r="B420" i="54"/>
  <c r="B421" i="54"/>
  <c r="B422" i="54"/>
  <c r="B423" i="54"/>
  <c r="B424" i="54"/>
  <c r="B425" i="54"/>
  <c r="B426" i="54"/>
  <c r="B427" i="54"/>
  <c r="B428" i="54"/>
  <c r="B429" i="54"/>
  <c r="B430" i="54"/>
  <c r="B431" i="54"/>
  <c r="E13" i="54"/>
  <c r="E14" i="54"/>
  <c r="E15" i="54"/>
  <c r="E16" i="54"/>
  <c r="E17" i="54"/>
  <c r="E18" i="54"/>
  <c r="E19" i="54"/>
  <c r="E20" i="54"/>
  <c r="E21" i="54"/>
  <c r="E22" i="54"/>
  <c r="E23" i="54"/>
  <c r="E24" i="54"/>
  <c r="E25" i="54"/>
  <c r="E26" i="54"/>
  <c r="E27" i="54"/>
  <c r="E28" i="54"/>
  <c r="E29" i="54"/>
  <c r="E30" i="54"/>
  <c r="E31" i="54"/>
  <c r="E32" i="54"/>
  <c r="E33" i="54"/>
  <c r="E34" i="54"/>
  <c r="E35" i="54"/>
  <c r="E36" i="54"/>
  <c r="E37" i="54"/>
  <c r="E38" i="54"/>
  <c r="E39" i="54"/>
  <c r="E40" i="54"/>
  <c r="E41" i="54"/>
  <c r="E42" i="54"/>
  <c r="E43" i="54"/>
  <c r="E44" i="54"/>
  <c r="E45" i="54"/>
  <c r="E46" i="54"/>
  <c r="E47" i="54"/>
  <c r="E48" i="54"/>
  <c r="E49" i="54"/>
  <c r="E50" i="54"/>
  <c r="E51" i="54"/>
  <c r="E52" i="54"/>
  <c r="E53" i="54"/>
  <c r="E54" i="54"/>
  <c r="E55" i="54"/>
  <c r="E56" i="54"/>
  <c r="E57" i="54"/>
  <c r="E58" i="54"/>
  <c r="E59" i="54"/>
  <c r="E60" i="54"/>
  <c r="E61" i="54"/>
  <c r="E62" i="54"/>
  <c r="E63" i="54"/>
  <c r="E64" i="54"/>
  <c r="E65" i="54"/>
  <c r="E66" i="54"/>
  <c r="E67" i="54"/>
  <c r="E68" i="54"/>
  <c r="E69" i="54"/>
  <c r="E70" i="54"/>
  <c r="E71" i="54"/>
  <c r="E72" i="54"/>
  <c r="E73" i="54"/>
  <c r="E74" i="54"/>
  <c r="E75" i="54"/>
  <c r="E76" i="54"/>
  <c r="E77" i="54"/>
  <c r="E78" i="54"/>
  <c r="E79" i="54"/>
  <c r="E80" i="54"/>
  <c r="E81" i="54"/>
  <c r="E82" i="54"/>
  <c r="E83" i="54"/>
  <c r="E84" i="54"/>
  <c r="E85" i="54"/>
  <c r="E86" i="54"/>
  <c r="E87" i="54"/>
  <c r="E88" i="54"/>
  <c r="E89" i="54"/>
  <c r="E90" i="54"/>
  <c r="E91" i="54"/>
  <c r="E92" i="54"/>
  <c r="E93" i="54"/>
  <c r="E94" i="54"/>
  <c r="E95" i="54"/>
  <c r="E96" i="54"/>
  <c r="E97" i="54"/>
  <c r="E98" i="54"/>
  <c r="E99" i="54"/>
  <c r="E100" i="54"/>
  <c r="E101" i="54"/>
  <c r="E102" i="54"/>
  <c r="E103" i="54"/>
  <c r="E104" i="54"/>
  <c r="E105" i="54"/>
  <c r="E106" i="54"/>
  <c r="E107" i="54"/>
  <c r="E108" i="54"/>
  <c r="E109" i="54"/>
  <c r="E110" i="54"/>
  <c r="E111" i="54"/>
  <c r="E112" i="54"/>
  <c r="E113" i="54"/>
  <c r="E114" i="54"/>
  <c r="E115" i="54"/>
  <c r="E116" i="54"/>
  <c r="E117" i="54"/>
  <c r="E118" i="54"/>
  <c r="E119" i="54"/>
  <c r="E120" i="54"/>
  <c r="E121" i="54"/>
  <c r="E122" i="54"/>
  <c r="E123" i="54"/>
  <c r="E124" i="54"/>
  <c r="E125" i="54"/>
  <c r="E126" i="54"/>
  <c r="E127" i="54"/>
  <c r="E128" i="54"/>
  <c r="E129" i="54"/>
  <c r="E130" i="54"/>
  <c r="E131" i="54"/>
  <c r="E132" i="54"/>
  <c r="E133" i="54"/>
  <c r="E134" i="54"/>
  <c r="E135" i="54"/>
  <c r="E136" i="54"/>
  <c r="E137" i="54"/>
  <c r="E138" i="54"/>
  <c r="E139" i="54"/>
  <c r="E140" i="54"/>
  <c r="E141" i="54"/>
  <c r="E142" i="54"/>
  <c r="E143" i="54"/>
  <c r="E144" i="54"/>
  <c r="E145" i="54"/>
  <c r="E146" i="54"/>
  <c r="E147" i="54"/>
  <c r="E148" i="54"/>
  <c r="E149" i="54"/>
  <c r="E150" i="54"/>
  <c r="E151" i="54"/>
  <c r="E152" i="54"/>
  <c r="E153" i="54"/>
  <c r="E154" i="54"/>
  <c r="E155" i="54"/>
  <c r="E156" i="54"/>
  <c r="E157" i="54"/>
  <c r="E158" i="54"/>
  <c r="E159" i="54"/>
  <c r="E160" i="54"/>
  <c r="E161" i="54"/>
  <c r="E162" i="54"/>
  <c r="E163" i="54"/>
  <c r="E164" i="54"/>
  <c r="E165" i="54"/>
  <c r="E166" i="54"/>
  <c r="E167" i="54"/>
  <c r="E168" i="54"/>
  <c r="E169" i="54"/>
  <c r="E170" i="54"/>
  <c r="E171" i="54"/>
  <c r="E172" i="54"/>
  <c r="E173" i="54"/>
  <c r="E174" i="54"/>
  <c r="E175" i="54"/>
  <c r="E176" i="54"/>
  <c r="E177" i="54"/>
  <c r="E178" i="54"/>
  <c r="E179" i="54"/>
  <c r="E180" i="54"/>
  <c r="E181" i="54"/>
  <c r="E182" i="54"/>
  <c r="E183" i="54"/>
  <c r="E184" i="54"/>
  <c r="E185" i="54"/>
  <c r="E186" i="54"/>
  <c r="E187" i="54"/>
  <c r="E188" i="54"/>
  <c r="E189" i="54"/>
  <c r="E190" i="54"/>
  <c r="E191" i="54"/>
  <c r="E192" i="54"/>
  <c r="E193" i="54"/>
  <c r="E194" i="54"/>
  <c r="E195" i="54"/>
  <c r="E196" i="54"/>
  <c r="E197" i="54"/>
  <c r="E198" i="54"/>
  <c r="E199" i="54"/>
  <c r="E200" i="54"/>
  <c r="E201" i="54"/>
  <c r="E202" i="54"/>
  <c r="E203" i="54"/>
  <c r="E204" i="54"/>
  <c r="E205" i="54"/>
  <c r="E206" i="54"/>
  <c r="E207" i="54"/>
  <c r="E208" i="54"/>
  <c r="E209" i="54"/>
  <c r="E210" i="54"/>
  <c r="E211" i="54"/>
  <c r="E212" i="54"/>
  <c r="E213" i="54"/>
  <c r="E214" i="54"/>
  <c r="E215" i="54"/>
  <c r="E216" i="54"/>
  <c r="E217" i="54"/>
  <c r="E218" i="54"/>
  <c r="E219" i="54"/>
  <c r="E220" i="54"/>
  <c r="E221" i="54"/>
  <c r="E222" i="54"/>
  <c r="E223" i="54"/>
  <c r="E224" i="54"/>
  <c r="E225" i="54"/>
  <c r="E226" i="54"/>
  <c r="E227" i="54"/>
  <c r="E228" i="54"/>
  <c r="E229" i="54"/>
  <c r="E230" i="54"/>
  <c r="E231" i="54"/>
  <c r="E232" i="54"/>
  <c r="E233" i="54"/>
  <c r="E234" i="54"/>
  <c r="E235" i="54"/>
  <c r="E236" i="54"/>
  <c r="E237" i="54"/>
  <c r="E238" i="54"/>
  <c r="E239" i="54"/>
  <c r="E240" i="54"/>
  <c r="E241" i="54"/>
  <c r="E242" i="54"/>
  <c r="E243" i="54"/>
  <c r="E244" i="54"/>
  <c r="E245" i="54"/>
  <c r="E246" i="54"/>
  <c r="E247" i="54"/>
  <c r="E248" i="54"/>
  <c r="E249" i="54"/>
  <c r="E250" i="54"/>
  <c r="E251" i="54"/>
  <c r="E252" i="54"/>
  <c r="E253" i="54"/>
  <c r="E254" i="54"/>
  <c r="E255" i="54"/>
  <c r="E256" i="54"/>
  <c r="E257" i="54"/>
  <c r="E258" i="54"/>
  <c r="E259" i="54"/>
  <c r="E260" i="54"/>
  <c r="E261" i="54"/>
  <c r="E262" i="54"/>
  <c r="E263" i="54"/>
  <c r="E264" i="54"/>
  <c r="E265" i="54"/>
  <c r="E266" i="54"/>
  <c r="E267" i="54"/>
  <c r="E268" i="54"/>
  <c r="E269" i="54"/>
  <c r="E270" i="54"/>
  <c r="E271" i="54"/>
  <c r="E272" i="54"/>
  <c r="E273" i="54"/>
  <c r="E274" i="54"/>
  <c r="E275" i="54"/>
  <c r="E276" i="54"/>
  <c r="E277" i="54"/>
  <c r="E278" i="54"/>
  <c r="E279" i="54"/>
  <c r="E280" i="54"/>
  <c r="E281" i="54"/>
  <c r="E282" i="54"/>
  <c r="E283" i="54"/>
  <c r="E284" i="54"/>
  <c r="E285" i="54"/>
  <c r="E286" i="54"/>
  <c r="E287" i="54"/>
  <c r="E288" i="54"/>
  <c r="E289" i="54"/>
  <c r="E290" i="54"/>
  <c r="E291" i="54"/>
  <c r="E292" i="54"/>
  <c r="E293" i="54"/>
  <c r="E294" i="54"/>
  <c r="E295" i="54"/>
  <c r="E296" i="54"/>
  <c r="E297" i="54"/>
  <c r="E298" i="54"/>
  <c r="E299" i="54"/>
  <c r="E300" i="54"/>
  <c r="E301" i="54"/>
  <c r="E302" i="54"/>
  <c r="E303" i="54"/>
  <c r="E304" i="54"/>
  <c r="E305" i="54"/>
  <c r="E306" i="54"/>
  <c r="E307" i="54"/>
  <c r="E308" i="54"/>
  <c r="E309" i="54"/>
  <c r="E310" i="54"/>
  <c r="E311" i="54"/>
  <c r="E312" i="54"/>
  <c r="E313" i="54"/>
  <c r="E314" i="54"/>
  <c r="E315" i="54"/>
  <c r="E316" i="54"/>
  <c r="E317" i="54"/>
  <c r="E318" i="54"/>
  <c r="E319" i="54"/>
  <c r="E320" i="54"/>
  <c r="E321" i="54"/>
  <c r="E322" i="54"/>
  <c r="E323" i="54"/>
  <c r="E324" i="54"/>
  <c r="E325" i="54"/>
  <c r="E326" i="54"/>
  <c r="E327" i="54"/>
  <c r="E328" i="54"/>
  <c r="E329" i="54"/>
  <c r="E330" i="54"/>
  <c r="E331" i="54"/>
  <c r="E332" i="54"/>
  <c r="E333" i="54"/>
  <c r="E334" i="54"/>
  <c r="E335" i="54"/>
  <c r="E336" i="54"/>
  <c r="E337" i="54"/>
  <c r="E338" i="54"/>
  <c r="E339" i="54"/>
  <c r="E340" i="54"/>
  <c r="E341" i="54"/>
  <c r="E342" i="54"/>
  <c r="E343" i="54"/>
  <c r="E344" i="54"/>
  <c r="E345" i="54"/>
  <c r="E346" i="54"/>
  <c r="E347" i="54"/>
  <c r="E348" i="54"/>
  <c r="E349" i="54"/>
  <c r="E350" i="54"/>
  <c r="E351" i="54"/>
  <c r="E352" i="54"/>
  <c r="E353" i="54"/>
  <c r="E354" i="54"/>
  <c r="E355" i="54"/>
  <c r="E356" i="54"/>
  <c r="E357" i="54"/>
  <c r="E358" i="54"/>
  <c r="E359" i="54"/>
  <c r="E360" i="54"/>
  <c r="E361" i="54"/>
  <c r="E362" i="54"/>
  <c r="E363" i="54"/>
  <c r="E364" i="54"/>
  <c r="E365" i="54"/>
  <c r="E366" i="54"/>
  <c r="E367" i="54"/>
  <c r="E368" i="54"/>
  <c r="E369" i="54"/>
  <c r="E370" i="54"/>
  <c r="E371" i="54"/>
  <c r="E372" i="54"/>
  <c r="E373" i="54"/>
  <c r="E374" i="54"/>
  <c r="E375" i="54"/>
  <c r="E376" i="54"/>
  <c r="E377" i="54"/>
  <c r="E378" i="54"/>
  <c r="E379" i="54"/>
  <c r="E380" i="54"/>
  <c r="E381" i="54"/>
  <c r="E382" i="54"/>
  <c r="E383" i="54"/>
  <c r="E384" i="54"/>
  <c r="E385" i="54"/>
  <c r="E386" i="54"/>
  <c r="E387" i="54"/>
  <c r="E388" i="54"/>
  <c r="E389" i="54"/>
  <c r="E390" i="54"/>
  <c r="E391" i="54"/>
  <c r="E392" i="54"/>
  <c r="E393" i="54"/>
  <c r="E394" i="54"/>
  <c r="E395" i="54"/>
  <c r="E396" i="54"/>
  <c r="E397" i="54"/>
  <c r="E398" i="54"/>
  <c r="E399" i="54"/>
  <c r="E400" i="54"/>
  <c r="E401" i="54"/>
  <c r="E402" i="54"/>
  <c r="E403" i="54"/>
  <c r="E404" i="54"/>
  <c r="E405" i="54"/>
  <c r="E406" i="54"/>
  <c r="E407" i="54"/>
  <c r="E408" i="54"/>
  <c r="E409" i="54"/>
  <c r="E410" i="54"/>
  <c r="E411" i="54"/>
  <c r="E412" i="54"/>
  <c r="E413" i="54"/>
  <c r="E414" i="54"/>
  <c r="E415" i="54"/>
  <c r="E416" i="54"/>
  <c r="E417" i="54"/>
  <c r="E418" i="54"/>
  <c r="E419" i="54"/>
  <c r="E420" i="54"/>
  <c r="E421" i="54"/>
  <c r="E422" i="54"/>
  <c r="E423" i="54"/>
  <c r="E424" i="54"/>
  <c r="E425" i="54"/>
  <c r="E426" i="54"/>
  <c r="E427" i="54"/>
  <c r="E428" i="54"/>
  <c r="E429" i="54"/>
  <c r="E430" i="54"/>
  <c r="E431" i="54"/>
  <c r="E12" i="54"/>
  <c r="B12" i="54"/>
  <c r="F13" i="54"/>
  <c r="F14" i="54"/>
  <c r="F12" i="54"/>
  <c r="B21" i="5" l="1"/>
  <c r="B20" i="5"/>
  <c r="C21" i="5"/>
  <c r="C20" i="5"/>
  <c r="A11" i="49"/>
  <c r="A12" i="49"/>
  <c r="A13" i="49"/>
  <c r="A16" i="49"/>
  <c r="A17" i="49"/>
  <c r="A18" i="49"/>
  <c r="A19" i="49"/>
  <c r="A20" i="49"/>
  <c r="A21" i="49"/>
  <c r="A22" i="49"/>
  <c r="A23" i="49"/>
  <c r="A24" i="49"/>
  <c r="A25" i="49"/>
  <c r="A26" i="49"/>
  <c r="A27" i="49"/>
  <c r="A28" i="49"/>
  <c r="A29" i="49"/>
  <c r="A30" i="49"/>
  <c r="A31" i="49"/>
  <c r="A32" i="49"/>
  <c r="A33" i="49"/>
  <c r="A34" i="49"/>
  <c r="A35" i="49"/>
  <c r="A36" i="49"/>
  <c r="A37" i="49"/>
  <c r="A38" i="49"/>
  <c r="A39" i="49"/>
  <c r="A40" i="49"/>
  <c r="A41" i="49"/>
  <c r="A42" i="49"/>
  <c r="A43" i="49"/>
  <c r="A44" i="49"/>
  <c r="A45" i="49"/>
  <c r="A46" i="49"/>
  <c r="A47" i="49"/>
  <c r="A48" i="49"/>
  <c r="A49" i="49"/>
  <c r="A50" i="49"/>
  <c r="A51" i="49"/>
  <c r="A52" i="49"/>
  <c r="A53" i="49"/>
  <c r="A54" i="49"/>
  <c r="A55" i="49"/>
  <c r="A10" i="49"/>
  <c r="I12" i="49"/>
  <c r="J12" i="49"/>
  <c r="I16" i="49"/>
  <c r="J16" i="49"/>
  <c r="I20" i="49"/>
  <c r="J20" i="49"/>
  <c r="J22" i="49"/>
  <c r="I24" i="49"/>
  <c r="J24" i="49"/>
  <c r="I26" i="49"/>
  <c r="J26" i="49"/>
  <c r="I28" i="49"/>
  <c r="J28" i="49"/>
  <c r="I30" i="49"/>
  <c r="J30" i="49"/>
  <c r="I32" i="49"/>
  <c r="J32" i="49"/>
  <c r="J34" i="49"/>
  <c r="I38" i="49"/>
  <c r="J38" i="49"/>
  <c r="I40" i="49"/>
  <c r="J40" i="49"/>
  <c r="I42" i="49"/>
  <c r="J42" i="49"/>
  <c r="I44" i="49"/>
  <c r="J44" i="49"/>
  <c r="J46" i="49"/>
  <c r="I48" i="49"/>
  <c r="J48" i="49"/>
  <c r="I50" i="49"/>
  <c r="J50" i="49"/>
  <c r="I52" i="49"/>
  <c r="J52" i="49"/>
  <c r="I54" i="49"/>
  <c r="J54" i="49"/>
  <c r="J10" i="49"/>
  <c r="F12" i="49"/>
  <c r="G12" i="49" s="1"/>
  <c r="H12" i="49"/>
  <c r="F16" i="49"/>
  <c r="G16" i="49" s="1"/>
  <c r="H16" i="49"/>
  <c r="F20" i="49"/>
  <c r="G20" i="49" s="1"/>
  <c r="H20" i="49"/>
  <c r="F24" i="49"/>
  <c r="G24" i="49" s="1"/>
  <c r="H24" i="49"/>
  <c r="F26" i="49"/>
  <c r="G26" i="49" s="1"/>
  <c r="H26" i="49"/>
  <c r="F28" i="49"/>
  <c r="G28" i="49" s="1"/>
  <c r="H28" i="49"/>
  <c r="F30" i="49"/>
  <c r="G30" i="49" s="1"/>
  <c r="H30" i="49"/>
  <c r="F32" i="49"/>
  <c r="G32" i="49" s="1"/>
  <c r="H32" i="49"/>
  <c r="F36" i="49"/>
  <c r="G36" i="49" s="1"/>
  <c r="H36" i="49"/>
  <c r="F38" i="49"/>
  <c r="G38" i="49" s="1"/>
  <c r="H38" i="49"/>
  <c r="F40" i="49"/>
  <c r="G40" i="49" s="1"/>
  <c r="H40" i="49"/>
  <c r="F42" i="49"/>
  <c r="G42" i="49" s="1"/>
  <c r="H42" i="49"/>
  <c r="F44" i="49"/>
  <c r="G44" i="49" s="1"/>
  <c r="H44" i="49"/>
  <c r="F48" i="49"/>
  <c r="G48" i="49" s="1"/>
  <c r="H48" i="49"/>
  <c r="F50" i="49"/>
  <c r="G50" i="49" s="1"/>
  <c r="H50" i="49"/>
  <c r="F52" i="49"/>
  <c r="G52" i="49" s="1"/>
  <c r="H52" i="49"/>
  <c r="F54" i="49"/>
  <c r="G54" i="49" s="1"/>
  <c r="H54" i="49"/>
  <c r="N12" i="54"/>
  <c r="O12" i="54"/>
  <c r="J6" i="54" l="1"/>
  <c r="O3" i="49"/>
  <c r="J3" i="54" s="1"/>
  <c r="O2" i="49"/>
  <c r="J2" i="54" s="1"/>
  <c r="O6" i="49"/>
  <c r="O5" i="49"/>
  <c r="O7" i="49"/>
  <c r="J7" i="54" s="1"/>
  <c r="R12" i="54"/>
  <c r="P12" i="54"/>
  <c r="Q12" i="54"/>
  <c r="A1" i="54"/>
  <c r="A1" i="5" l="1"/>
  <c r="A22" i="5" s="1"/>
  <c r="A23" i="5" l="1"/>
  <c r="A31" i="5"/>
  <c r="A39" i="5"/>
  <c r="A47" i="5"/>
  <c r="A55" i="5"/>
  <c r="A63" i="5"/>
  <c r="A71" i="5"/>
  <c r="A79" i="5"/>
  <c r="A87" i="5"/>
  <c r="A95" i="5"/>
  <c r="A103" i="5"/>
  <c r="A111" i="5"/>
  <c r="A119" i="5"/>
  <c r="A127" i="5"/>
  <c r="A135" i="5"/>
  <c r="A143" i="5"/>
  <c r="A151" i="5"/>
  <c r="A159" i="5"/>
  <c r="A167" i="5"/>
  <c r="A175" i="5"/>
  <c r="A183" i="5"/>
  <c r="A191" i="5"/>
  <c r="A199" i="5"/>
  <c r="A207" i="5"/>
  <c r="A215" i="5"/>
  <c r="A223" i="5"/>
  <c r="A83" i="5"/>
  <c r="A139" i="5"/>
  <c r="A179" i="5"/>
  <c r="A211" i="5"/>
  <c r="A26" i="5"/>
  <c r="A34" i="5"/>
  <c r="A42" i="5"/>
  <c r="A50" i="5"/>
  <c r="A58" i="5"/>
  <c r="A66" i="5"/>
  <c r="A74" i="5"/>
  <c r="A82" i="5"/>
  <c r="A90" i="5"/>
  <c r="A98" i="5"/>
  <c r="A106" i="5"/>
  <c r="A114" i="5"/>
  <c r="A122" i="5"/>
  <c r="A130" i="5"/>
  <c r="A138" i="5"/>
  <c r="A146" i="5"/>
  <c r="A154" i="5"/>
  <c r="A162" i="5"/>
  <c r="A170" i="5"/>
  <c r="A178" i="5"/>
  <c r="A186" i="5"/>
  <c r="A194" i="5"/>
  <c r="A202" i="5"/>
  <c r="A210" i="5"/>
  <c r="A218" i="5"/>
  <c r="A226" i="5"/>
  <c r="A115" i="5"/>
  <c r="A163" i="5"/>
  <c r="A203" i="5"/>
  <c r="A219" i="5"/>
  <c r="A29" i="5"/>
  <c r="A37" i="5"/>
  <c r="A45" i="5"/>
  <c r="A53" i="5"/>
  <c r="A61" i="5"/>
  <c r="A69" i="5"/>
  <c r="A77" i="5"/>
  <c r="A85" i="5"/>
  <c r="A93" i="5"/>
  <c r="A101" i="5"/>
  <c r="A109" i="5"/>
  <c r="A117" i="5"/>
  <c r="A125" i="5"/>
  <c r="A133" i="5"/>
  <c r="A141" i="5"/>
  <c r="A149" i="5"/>
  <c r="A157" i="5"/>
  <c r="A165" i="5"/>
  <c r="A173" i="5"/>
  <c r="A181" i="5"/>
  <c r="A189" i="5"/>
  <c r="A197" i="5"/>
  <c r="A205" i="5"/>
  <c r="A213" i="5"/>
  <c r="A221" i="5"/>
  <c r="A229" i="5"/>
  <c r="A35" i="5"/>
  <c r="A43" i="5"/>
  <c r="A51" i="5"/>
  <c r="A59" i="5"/>
  <c r="A67" i="5"/>
  <c r="A75" i="5"/>
  <c r="A91" i="5"/>
  <c r="A99" i="5"/>
  <c r="A131" i="5"/>
  <c r="A155" i="5"/>
  <c r="A171" i="5"/>
  <c r="A187" i="5"/>
  <c r="A227" i="5"/>
  <c r="A24" i="5"/>
  <c r="A32" i="5"/>
  <c r="A40" i="5"/>
  <c r="A48" i="5"/>
  <c r="A56" i="5"/>
  <c r="A64" i="5"/>
  <c r="A72" i="5"/>
  <c r="A80" i="5"/>
  <c r="A88" i="5"/>
  <c r="A96" i="5"/>
  <c r="A104" i="5"/>
  <c r="A112" i="5"/>
  <c r="A120" i="5"/>
  <c r="A128" i="5"/>
  <c r="A136" i="5"/>
  <c r="A144" i="5"/>
  <c r="A152" i="5"/>
  <c r="A160" i="5"/>
  <c r="A168" i="5"/>
  <c r="A176" i="5"/>
  <c r="A184" i="5"/>
  <c r="A192" i="5"/>
  <c r="A200" i="5"/>
  <c r="A208" i="5"/>
  <c r="A216" i="5"/>
  <c r="A224" i="5"/>
  <c r="A27" i="5"/>
  <c r="A107" i="5"/>
  <c r="A123" i="5"/>
  <c r="A147" i="5"/>
  <c r="A195" i="5"/>
  <c r="A30" i="5"/>
  <c r="A38" i="5"/>
  <c r="A46" i="5"/>
  <c r="A54" i="5"/>
  <c r="A62" i="5"/>
  <c r="A70" i="5"/>
  <c r="A78" i="5"/>
  <c r="A86" i="5"/>
  <c r="A94" i="5"/>
  <c r="A102" i="5"/>
  <c r="A110" i="5"/>
  <c r="A118" i="5"/>
  <c r="A126" i="5"/>
  <c r="A134" i="5"/>
  <c r="A142" i="5"/>
  <c r="A150" i="5"/>
  <c r="A158" i="5"/>
  <c r="A166" i="5"/>
  <c r="A174" i="5"/>
  <c r="A182" i="5"/>
  <c r="A190" i="5"/>
  <c r="A198" i="5"/>
  <c r="A206" i="5"/>
  <c r="A214" i="5"/>
  <c r="A222" i="5"/>
  <c r="A28" i="5"/>
  <c r="A172" i="5"/>
  <c r="A180" i="5"/>
  <c r="A196" i="5"/>
  <c r="A212" i="5"/>
  <c r="A228" i="5"/>
  <c r="A25" i="5"/>
  <c r="A33" i="5"/>
  <c r="A41" i="5"/>
  <c r="A49" i="5"/>
  <c r="A57" i="5"/>
  <c r="A65" i="5"/>
  <c r="A73" i="5"/>
  <c r="A81" i="5"/>
  <c r="A89" i="5"/>
  <c r="A97" i="5"/>
  <c r="A105" i="5"/>
  <c r="A113" i="5"/>
  <c r="A121" i="5"/>
  <c r="A129" i="5"/>
  <c r="A137" i="5"/>
  <c r="A145" i="5"/>
  <c r="A153" i="5"/>
  <c r="A161" i="5"/>
  <c r="A169" i="5"/>
  <c r="A177" i="5"/>
  <c r="A185" i="5"/>
  <c r="A193" i="5"/>
  <c r="A201" i="5"/>
  <c r="A209" i="5"/>
  <c r="A217" i="5"/>
  <c r="A225" i="5"/>
  <c r="A36" i="5"/>
  <c r="A44" i="5"/>
  <c r="A52" i="5"/>
  <c r="A60" i="5"/>
  <c r="A68" i="5"/>
  <c r="A76" i="5"/>
  <c r="A84" i="5"/>
  <c r="A92" i="5"/>
  <c r="A100" i="5"/>
  <c r="A108" i="5"/>
  <c r="A116" i="5"/>
  <c r="A124" i="5"/>
  <c r="A132" i="5"/>
  <c r="A140" i="5"/>
  <c r="A148" i="5"/>
  <c r="A156" i="5"/>
  <c r="A164" i="5"/>
  <c r="A188" i="5"/>
  <c r="A204" i="5"/>
  <c r="A220" i="5"/>
  <c r="A21" i="5"/>
  <c r="A20"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<sst xmlns="http://schemas.openxmlformats.org/spreadsheetml/2006/main" count="7862" uniqueCount="279">
  <si>
    <t>Comments</t>
  </si>
  <si>
    <t>Phaeo-Pigment:Extracted</t>
  </si>
  <si>
    <t>Flag:Chlorophyll:Extracted</t>
  </si>
  <si>
    <t>Chlorophyll:Extracted</t>
  </si>
  <si>
    <t>Sample_Number</t>
  </si>
  <si>
    <t>Event_Number</t>
  </si>
  <si>
    <t>Cruise_Number</t>
  </si>
  <si>
    <t>fluorescence readings taken before and after acidification were used to calculate chlorophyll and phaeopigment concentrations (Holm-Hansen et al 1965).</t>
  </si>
  <si>
    <t>HEADER:</t>
  </si>
  <si>
    <t>Flags and comments apply to chlorophyll values only. No flags or comments are assigned for Phaeo-Pigment values</t>
  </si>
  <si>
    <t>Notes:</t>
  </si>
  <si>
    <t>diff^2</t>
  </si>
  <si>
    <t>diff</t>
  </si>
  <si>
    <t>Phaeo</t>
  </si>
  <si>
    <t>Chl.a</t>
  </si>
  <si>
    <t>Duplicate</t>
  </si>
  <si>
    <t>Station</t>
  </si>
  <si>
    <t>When duplicate pair CV % is greater than 30 %, Quality Flag is 4 with an associated comment.</t>
  </si>
  <si>
    <t>When duplicate pair CV % is greater than 10 %, Quality Flag is 3 with an associated comment .</t>
  </si>
  <si>
    <t xml:space="preserve">Average of two samples is reported. </t>
  </si>
  <si>
    <t>Calculating CV % for duplicate pairs and Overall CV% for dataset</t>
  </si>
  <si>
    <t>Ratio Rb/Ra</t>
  </si>
  <si>
    <t>Phaeo ug/L</t>
  </si>
  <si>
    <t>Chl a ug/L</t>
  </si>
  <si>
    <t>After acid</t>
  </si>
  <si>
    <t>Before acid</t>
  </si>
  <si>
    <t>Dilution factor</t>
  </si>
  <si>
    <t>Vol.acet. (mL)</t>
  </si>
  <si>
    <t>Analyzed_Date</t>
  </si>
  <si>
    <t>Data Compiled:</t>
  </si>
  <si>
    <t>Analysis:</t>
  </si>
  <si>
    <t>Flag</t>
  </si>
  <si>
    <t>A detailed description of chlorophyll sampling is found on the Water Properties Website:</t>
  </si>
  <si>
    <t>http://www.waterproperties.ca/standards/Chlorophyll_sampling_12Feb2010.pdf</t>
  </si>
  <si>
    <t>Precision Statement:</t>
  </si>
  <si>
    <t>Quality Flags for Water Samples</t>
  </si>
  <si>
    <t>Value Definition</t>
  </si>
  <si>
    <t xml:space="preserve">Sample for this measurement was drawn from water bottle but not analyzed (e.g. broken sample </t>
  </si>
  <si>
    <t xml:space="preserve">bottle; nitrate not analyzed in anoxic water; sample lost). </t>
  </si>
  <si>
    <t xml:space="preserve">Questionable measurement (potential problem observed in sampling, analysis, or value; e.g. </t>
  </si>
  <si>
    <t xml:space="preserve">poor agreement between reps but unclear which is better; Niskin integrity questionable but not </t>
  </si>
  <si>
    <t>severe).  Suspected misfire or mis-sample would be noted as an outlier and would be flagged “3”.</t>
  </si>
  <si>
    <t xml:space="preserve">Bad measurement (known problem with sampling or analysis but not serious enough to </t>
  </si>
  <si>
    <t xml:space="preserve">completely discard the value; e.g. Niskin integrity was badly compromised; bubble in oxygen </t>
  </si>
  <si>
    <t>sample; chlorophyll filter askew on funnel).</t>
  </si>
  <si>
    <t xml:space="preserve">Measurement not reported because the value was clearly bad.  Use only when a value is clearly </t>
  </si>
  <si>
    <t>unreasonable or unavailable.  </t>
  </si>
  <si>
    <t xml:space="preserve">Mean of replicate measurements (summary of replicates and table of replicate data must be included </t>
  </si>
  <si>
    <t>in the quality flagged file).</t>
  </si>
  <si>
    <t>Manual chromatographic peak measurement.</t>
  </si>
  <si>
    <t>Irregular digital chromatographic peak integration.</t>
  </si>
  <si>
    <t xml:space="preserve">Sample not drawn for this measurement from this bottle (planning to sample this bottle, but it didn’t </t>
  </si>
  <si>
    <t xml:space="preserve">get collected because the Niskin did not close; there was no water left in the Niskin; the Niskin was </t>
  </si>
  <si>
    <t>emptied before it was sampled; or we simply forgot).</t>
  </si>
  <si>
    <t>Chlorophyll IOS Quality Flags</t>
  </si>
  <si>
    <t xml:space="preserve">filter was stuck to side of vial and only half submerged in acetone after extraction; suspected </t>
  </si>
  <si>
    <t>misfire/mis-sample as sample doesn’t fit profile</t>
  </si>
  <si>
    <t xml:space="preserve">Forgot to acidify chl sample; sample holder turned so that no light getting into fluorometer; </t>
  </si>
  <si>
    <t>value clearly unreasonable</t>
  </si>
  <si>
    <t xml:space="preserve">Planning to sample but for some reason sample not drawn for this measurement </t>
  </si>
  <si>
    <t>from this bottle: niskin did not close, no water left in niskin, niskin emptied before sampling</t>
  </si>
  <si>
    <t>CTD fluor</t>
  </si>
  <si>
    <t xml:space="preserve">Good value but different than expected such as a lost replicate </t>
  </si>
  <si>
    <t>Variability is assessed as the %CV (std dev/mean*100) for duplicate samples.</t>
  </si>
  <si>
    <t xml:space="preserve">Acceptable measurement </t>
  </si>
  <si>
    <t>Depth (dbar)</t>
  </si>
  <si>
    <t>Program:</t>
  </si>
  <si>
    <t>notes</t>
  </si>
  <si>
    <t>ORDER</t>
  </si>
  <si>
    <t xml:space="preserve">Sample was collected but forgotten or lost ex. not filtered, tube/vial broke </t>
  </si>
  <si>
    <t xml:space="preserve">Questionable Measurement </t>
  </si>
  <si>
    <t>variability of reps &gt; 10%</t>
  </si>
  <si>
    <t>Chlorophyll sample sat in the fridge &gt;12 hours prior to filtration</t>
  </si>
  <si>
    <t>Known problem with analysis, Bad measurement</t>
  </si>
  <si>
    <t>Variability of reps &gt; 30%</t>
  </si>
  <si>
    <t>Known problem with analysis; chl filter was askew; filtration volume uncertain due to large spill</t>
  </si>
  <si>
    <t>chl sample took &gt;1 hour to filter; known dilution problem</t>
  </si>
  <si>
    <t xml:space="preserve">Measurement not reported, clearly bad, -99.0 Pad value </t>
  </si>
  <si>
    <t>Mean of replicate measurements. Summary of replicates included in the quality flagged file</t>
  </si>
  <si>
    <t xml:space="preserve">Samples were extracted in 90% acetone at -20C for 24 +/-1 hours in the lab  </t>
  </si>
  <si>
    <t>Hayleigh Shannon</t>
  </si>
  <si>
    <t>Volume Filtered (mL)</t>
  </si>
  <si>
    <t xml:space="preserve">720 222 180 </t>
  </si>
  <si>
    <t>Avge Tau</t>
  </si>
  <si>
    <t>Slope</t>
  </si>
  <si>
    <t>February 10, 2022:  Chl-a (ug/L) = .0007677*(1.859/(1.859-1))*(Fo-Fa)*(vol-ex / vol-filt)*(dilution factor)</t>
  </si>
  <si>
    <t>February 10, 2022:  Phaeo(ug/L) = .0007677*(1.859/(1.859-1))*((1.859*Fa)-Fo)*(vol-ex / vol-filt)*(dilution factor)</t>
  </si>
  <si>
    <t>Blank Corrected Before</t>
  </si>
  <si>
    <t>Blank Corrected After</t>
  </si>
  <si>
    <t>Turner Trilogy</t>
  </si>
  <si>
    <t>CV% (chl)</t>
  </si>
  <si>
    <t>%CV</t>
  </si>
  <si>
    <t>Turner Trilogy 7200-000(blue)</t>
  </si>
  <si>
    <t>WP #2 old module</t>
  </si>
  <si>
    <t>Model:</t>
  </si>
  <si>
    <t>Module:</t>
  </si>
  <si>
    <t>SN:</t>
  </si>
  <si>
    <t>Calibration :</t>
  </si>
  <si>
    <t>Summary</t>
  </si>
  <si>
    <t>CHL min</t>
  </si>
  <si>
    <t>CHL Max</t>
  </si>
  <si>
    <t>CHL average</t>
  </si>
  <si>
    <t># samples</t>
  </si>
  <si>
    <t>#Dups</t>
  </si>
  <si>
    <r>
      <t>analyzed on a</t>
    </r>
    <r>
      <rPr>
        <b/>
        <sz val="10"/>
        <rFont val="Arial"/>
        <family val="2"/>
      </rPr>
      <t xml:space="preserve"> Turner Trilogy7200-000</t>
    </r>
    <r>
      <rPr>
        <sz val="10"/>
        <rFont val="Arial"/>
        <family val="2"/>
      </rPr>
      <t xml:space="preserve"> flourometer calibrated with commercially pure chlorophyll a standard (Sigma)</t>
    </r>
  </si>
  <si>
    <t>A</t>
  </si>
  <si>
    <t>B</t>
  </si>
  <si>
    <t>Before acid blank</t>
  </si>
  <si>
    <t>After acid blank</t>
  </si>
  <si>
    <t>Sample #</t>
  </si>
  <si>
    <t>Sample Type</t>
  </si>
  <si>
    <t>Cruise</t>
  </si>
  <si>
    <t>Depth</t>
  </si>
  <si>
    <t>Bottle #</t>
  </si>
  <si>
    <t>Event #</t>
  </si>
  <si>
    <t>Ship</t>
  </si>
  <si>
    <t>OXY</t>
  </si>
  <si>
    <t>bot 2</t>
  </si>
  <si>
    <t>bot 3</t>
  </si>
  <si>
    <t>bot 4</t>
  </si>
  <si>
    <t>Duplicate Samples</t>
  </si>
  <si>
    <t>bot 5</t>
  </si>
  <si>
    <t>bot 6</t>
  </si>
  <si>
    <t>bot 7</t>
  </si>
  <si>
    <t>bot 8</t>
  </si>
  <si>
    <t>bot 9</t>
  </si>
  <si>
    <t>bot 11</t>
  </si>
  <si>
    <t>bot 12</t>
  </si>
  <si>
    <t>bot 13</t>
  </si>
  <si>
    <t>bot 14</t>
  </si>
  <si>
    <t>bot 15</t>
  </si>
  <si>
    <t>bot 16</t>
  </si>
  <si>
    <t>bot 17</t>
  </si>
  <si>
    <t>bot 1</t>
  </si>
  <si>
    <t>bot 10</t>
  </si>
  <si>
    <t>bot 18</t>
  </si>
  <si>
    <t>CHL</t>
  </si>
  <si>
    <t>HPLC</t>
  </si>
  <si>
    <t>bot 19</t>
  </si>
  <si>
    <t>NUT-F</t>
  </si>
  <si>
    <t>NUT-C</t>
  </si>
  <si>
    <t>SAL</t>
  </si>
  <si>
    <t>bot 20</t>
  </si>
  <si>
    <t>bot 21</t>
  </si>
  <si>
    <t>bot 22</t>
  </si>
  <si>
    <t>bot 23</t>
  </si>
  <si>
    <t>bot 24</t>
  </si>
  <si>
    <t>%CV Avg</t>
  </si>
  <si>
    <t>Chl min</t>
  </si>
  <si>
    <t>Chl max</t>
  </si>
  <si>
    <t># Dups</t>
  </si>
  <si>
    <t>%CV &gt;10</t>
  </si>
  <si>
    <t>Sample Master List for Cruise 2022_02</t>
  </si>
  <si>
    <t>50-135</t>
  </si>
  <si>
    <t>2022_02</t>
  </si>
  <si>
    <t>HPLC-2</t>
  </si>
  <si>
    <t>FCM</t>
  </si>
  <si>
    <t>POM-C&amp;N</t>
  </si>
  <si>
    <t>POM-FA</t>
  </si>
  <si>
    <t>LIGAND</t>
  </si>
  <si>
    <t>eDNA</t>
  </si>
  <si>
    <t>49-135</t>
  </si>
  <si>
    <t>48-135</t>
  </si>
  <si>
    <t>47-135</t>
  </si>
  <si>
    <t>47-138</t>
  </si>
  <si>
    <t>48-138</t>
  </si>
  <si>
    <t>49-138</t>
  </si>
  <si>
    <t>50-138</t>
  </si>
  <si>
    <t>50-141</t>
  </si>
  <si>
    <t>49-141</t>
  </si>
  <si>
    <t>48-141</t>
  </si>
  <si>
    <t>46-144</t>
  </si>
  <si>
    <t>47-144</t>
  </si>
  <si>
    <t>48-144</t>
  </si>
  <si>
    <t>49-144</t>
  </si>
  <si>
    <t>51-141</t>
  </si>
  <si>
    <t>52-141</t>
  </si>
  <si>
    <t>53-141</t>
  </si>
  <si>
    <t>53-138</t>
  </si>
  <si>
    <t>52-138</t>
  </si>
  <si>
    <t>52-135</t>
  </si>
  <si>
    <t>51-135</t>
  </si>
  <si>
    <t>53-135</t>
  </si>
  <si>
    <t>55-138</t>
  </si>
  <si>
    <t>54-138</t>
  </si>
  <si>
    <t>54-141</t>
  </si>
  <si>
    <t>55-141</t>
  </si>
  <si>
    <t>56-141</t>
  </si>
  <si>
    <t>57-141</t>
  </si>
  <si>
    <t>57-144</t>
  </si>
  <si>
    <t>56-144</t>
  </si>
  <si>
    <t>55-144</t>
  </si>
  <si>
    <t>54-144</t>
  </si>
  <si>
    <t>53-144</t>
  </si>
  <si>
    <t>51-132</t>
  </si>
  <si>
    <t>Niskin #</t>
  </si>
  <si>
    <t>Firing Order</t>
  </si>
  <si>
    <t>Oxygen:Dissolved:SBE</t>
  </si>
  <si>
    <t>Pressure</t>
  </si>
  <si>
    <t>Depth:Salt_Water</t>
  </si>
  <si>
    <t>Temperature:Primary</t>
  </si>
  <si>
    <t>Conductivity:Primary</t>
  </si>
  <si>
    <t>Transmissivity:1</t>
  </si>
  <si>
    <t>Fluorescence:URU:Seapoint</t>
  </si>
  <si>
    <t>Salinity:T0:C0</t>
  </si>
  <si>
    <t>pH:SBE</t>
  </si>
  <si>
    <t>NA</t>
  </si>
  <si>
    <t>2022-002</t>
  </si>
  <si>
    <t>Erinn Raftery</t>
  </si>
  <si>
    <t>IYS</t>
  </si>
  <si>
    <t>Sampling comment: 9A lost on board</t>
  </si>
  <si>
    <t>Analysis comment: Filter was essentially disintegrated after shaking to homogenize before reading!</t>
  </si>
  <si>
    <t>Analysis comment: 2 filters</t>
  </si>
  <si>
    <t>Analysis comment: no after acid measurement</t>
  </si>
  <si>
    <t>Analysis comment: not analyzed - no acetone in bottle after extraction.</t>
  </si>
  <si>
    <t>Analysis note: no before acid measurement.</t>
  </si>
  <si>
    <t>When samples Chl.a is below Minimum Detection Limit, the CV% is not calculated and is excluded from the CV% calculation and precsision statement.</t>
  </si>
  <si>
    <r>
      <t xml:space="preserve">Samples were analyzed on </t>
    </r>
    <r>
      <rPr>
        <b/>
        <sz val="10"/>
        <rFont val="Calibri"/>
        <family val="2"/>
        <scheme val="minor"/>
      </rPr>
      <t>Turner Trilogy 7200-000</t>
    </r>
    <r>
      <rPr>
        <sz val="10"/>
        <rFont val="Calibri"/>
        <family val="2"/>
        <scheme val="minor"/>
      </rPr>
      <t xml:space="preserve">, not the Turner 10-AU. </t>
    </r>
  </si>
  <si>
    <t xml:space="preserve">No notes were recorded in chlorophyll filtation log 1 for this cruise. </t>
  </si>
  <si>
    <t>Outstanding items</t>
  </si>
  <si>
    <t>Check second CHL filtration log book for notes when it comes back from sea.</t>
  </si>
  <si>
    <t>Updates</t>
  </si>
  <si>
    <t xml:space="preserve">On date of analysis July 6 2022, there were some issues with potential contamination of the acid with chlorophyll. </t>
  </si>
  <si>
    <t xml:space="preserve">On date of analysis July 6-8 2022, the solid standard was lower than expected, however it was consistent. At this time, no correction has been applied. </t>
  </si>
  <si>
    <t>Sample 657A/B do not have an associated CTD fluoro in the bottle csv.</t>
  </si>
  <si>
    <t xml:space="preserve">Replicate A  lost during sampling. </t>
  </si>
  <si>
    <t># Rejected</t>
  </si>
  <si>
    <t># &lt;MLD</t>
  </si>
  <si>
    <t>Questionable and bad measurements from July 6 have been compared against their duplicate and the CTD fluorometer for agreement, and rejected with accompanying note.</t>
  </si>
  <si>
    <t>Chlorophyll samples were analyzed at IOS in Room 2423, 15 weeks after the cruise.</t>
  </si>
  <si>
    <t>Duplicate 696B had no before acidification measurement - not included.</t>
  </si>
  <si>
    <t>Duplicate 522A was not analyzed - no acetone in bottle after extraction.</t>
  </si>
  <si>
    <t>273A unreasonably low relative to fluorometer. However, CTD fluorometer value seems high for 75m depth.</t>
  </si>
  <si>
    <t>CHL: &lt;Minimum Limit of Detection</t>
  </si>
  <si>
    <t>All samples were collected in duplicate (A/B). Where a duplicate was lost in analysis or matched poorly with both replicate and CTD fluorometer, the replicate is rejected, and Quality Flag 2 is used with an associated comment.</t>
  </si>
  <si>
    <t>The measurements appear to be acceptable on these dates (unless otherwise flagged).</t>
  </si>
  <si>
    <t>ER</t>
  </si>
  <si>
    <t>Master List: changed Event 111 to Event 113 (Event 111 was a net cast); CHL: added appropriate "CHL" for all comments concerning CHL, and flags/comments entered for lost samples 9A/B and 14A.</t>
  </si>
  <si>
    <t>CHL:  %CV&gt;10</t>
  </si>
  <si>
    <t>CHL:  %CV&gt;30</t>
  </si>
  <si>
    <t>CHL: %CV&gt;30</t>
  </si>
  <si>
    <t>Replicate A and B lost during sampling - no plastic grid put under filter.</t>
  </si>
  <si>
    <t>CHL: duplicate 89B rejected.</t>
  </si>
  <si>
    <t>CHL: duplicate 48A rejected.</t>
  </si>
  <si>
    <t xml:space="preserve">CHL: duplicate 184B rejected. </t>
  </si>
  <si>
    <t xml:space="preserve">CHL: duplicate 212A rejected. </t>
  </si>
  <si>
    <t xml:space="preserve">CHL: duplicate 273A rejected.  </t>
  </si>
  <si>
    <t xml:space="preserve">CHL: duplicate 337A rejected. </t>
  </si>
  <si>
    <t xml:space="preserve">CHL: duplicate 408A rejected.  </t>
  </si>
  <si>
    <t>CHL duplicate 428A rejected.</t>
  </si>
  <si>
    <t xml:space="preserve">CHL: duplicate 440A rejected. </t>
  </si>
  <si>
    <t xml:space="preserve">CHL: duplicate 462A rejected. </t>
  </si>
  <si>
    <t>CHL: rejected duplicate 48A</t>
  </si>
  <si>
    <t>CHL: rejected duplicate 89B</t>
  </si>
  <si>
    <t>CHL: rejected duplicate 184B</t>
  </si>
  <si>
    <t>CHL: rejected duplicate 212A</t>
  </si>
  <si>
    <t>CHL: rejected duplicate 273A</t>
  </si>
  <si>
    <t>CHL: rejected duplicate 408A</t>
  </si>
  <si>
    <t>CHL: duplicate 462A rejected. CHL value for 462A agrees best with CTD fluorometer (0.10ug/L).</t>
  </si>
  <si>
    <t>CHL: duplicate 440A rejected.CHL value for 440A agrees best with CTD fluorometer (0.12ug/L).</t>
  </si>
  <si>
    <t>CHL: duplicate 428A rejected. CHL value for 428A agrees best with CTD fluorometer (0.14ug/L).</t>
  </si>
  <si>
    <t>CHL: duplicate 408A rejected. CHL value for 408B agrees best with CTD fluorometer (0.13ug/L).</t>
  </si>
  <si>
    <t>CHL: duplicate 337A rejected. CHL value for 377B agrees best with CTD fluorometer (0.10ug/L).</t>
  </si>
  <si>
    <t>CHL: duplicate 273A rejected. CHL value for 273B agrees best with CTD fluorometer (0.21ug/L); 273A seems unreasonably low.</t>
  </si>
  <si>
    <t>CHL: duplicate 212A rejected. CHL value for 212B agrees best with CTD fluorometer (0.23ug/L)</t>
  </si>
  <si>
    <t>CHL: duplicate 184B rejected. 184B: 2 filters</t>
  </si>
  <si>
    <t>CHL: duplicate 89B rejected; CHL value for 89A has better agreement with CTD fluorometer (0.15ug/L).</t>
  </si>
  <si>
    <t>CHL: duplicate 48A rejected. 48A - filter was essentially disintegrated after extraction, and CHL concentration for 48B agrees with the CTD fluorometer best (at 0.17 ug/L).</t>
  </si>
  <si>
    <t>CHL: Replicate A and B lost during sampling - no plastic grid put under filter.</t>
  </si>
  <si>
    <t xml:space="preserve">CHL: Replicate A  lost during sampling. </t>
  </si>
  <si>
    <t>CHL: duplicate 522A was not analyzed - no acetone in bottle after extraction.</t>
  </si>
  <si>
    <t>CHL: duplicate 696B had no before acidification measurement - not included.</t>
  </si>
  <si>
    <t xml:space="preserve">Chlorophyll values ranged from 0.00 - 0.81 ug/L in 414 samples. 71 of 414 samples were below Minimum Limit of Detection (&lt;MLD). Samples &lt;MLD that were collected in duplicate were not included in the %CV calculation. The original %CV for this dataset was 8.82% for 171 duplicate samples, excluding the average of duplicate pairs that were &lt;MDL. 36 duplicates had a CV%&gt;10, and 9 duplicates had a CV%&gt;30. 10 duplicates were rejected (A or B), improving the %CV to 6.59% over 161 duplicate pairs, with 26 samples having a CV%&gt;10 and 4 having a %CV&gt;30. Our average dataset %CV is 3.89 % for 2013 - 2021 using the Turner 10-AU - so the overall quality of this dataset is acceptable. </t>
  </si>
  <si>
    <t>When average of 2 samples is below minimum detectable limit (&lt;MDL), the Chlorophyll: extracted is reported as-is, Quality Flag is 2 with an associated comment.</t>
  </si>
  <si>
    <t>Samples 9A, 9B, and 14A were lost during filtering.</t>
  </si>
  <si>
    <t>Minimum Limit of Detection (MLD): The stated MLD for the Turner Trilogy 7200-000 fluorometer is 0.025 ug/L for CHL-a. Samples below the MLD are reported as is and assigned Quality Flag 2 with an associated comment. Where samples are taken in duplicate and the average of the two is &lt;MLD, the average value is reported as is and assigned Quality Flag 2 with an associated comment. Samples &lt;MLD are excluded from precision (CV%) calculations.</t>
  </si>
  <si>
    <t>Updated with -99 pad values where samples lost during analysis. Changed handling of &lt;MLD data - as is values reported when &lt;MLD (not set to 0).</t>
  </si>
  <si>
    <t>CHL: 204B &lt;Minimum Limit of Detection. Duplicate 204A had no after acidification measurement - not included.</t>
  </si>
  <si>
    <t>Chlorophyll samples were filtered onto 25mm GF/F filters and stored in glass scintillation vials at -80C prior to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</si>
</sst>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General_)"/>
    <numFmt numFmtId="165" formatCode="0.000"/>
    <numFmt numFmtId="166" formatCode="dd/mm/yyyy;@"/>
    <numFmt numFmtId="167" formatCode="0.0"/>
    <numFmt numFmtId="168" formatCode="0.0000"/>
    <numFmt numFmtId="170" formatCode="0.00_)"/>
    <numFmt numFmtId="171" formatCode="[$-1009]d\-mmm\-yy;@"/>
  </numFmts>
  <fonts count="44">
    <font>
      <sz val="11"/>
      <color theme="1"/>
      <name val="Calibri"/>
      <family val="2"/>
      <scheme val="minor"/>
    </font>
    <font>
      <b/>
      <sz val="11"/>
      <color theme="1"/>
      <name val="Calibri"/>
      <family val="2"/>
      <scheme val="minor"/>
    </font>
    <font>
      <sz val="10"/>
      <name val="Arial"/>
      <family val="2"/>
    </font>
    <font>
      <b/>
      <sz val="10"/>
      <name val="Arial"/>
      <family val="2"/>
    </font>
    <font>
      <sz val="9"/>
      <name val="Helv"/>
    </font>
    <font>
      <sz val="10"/>
      <name val="Arial MT"/>
    </font>
    <font>
      <sz val="10"/>
      <color rgb="FFFF0000"/>
      <name val="Arial"/>
      <family val="2"/>
    </font>
    <font>
      <b/>
      <sz val="10"/>
      <color rgb="FFFF0000"/>
      <name val="Arial"/>
      <family val="2"/>
    </font>
    <font>
      <sz val="8"/>
      <name val="Arial"/>
      <family val="2"/>
    </font>
    <font>
      <sz val="10"/>
      <name val="Arial"/>
      <family val="2"/>
    </font>
    <font>
      <sz val="11"/>
      <color indexed="8"/>
      <name val="Calibri"/>
      <family val="2"/>
    </font>
    <font>
      <u/>
      <sz val="10"/>
      <color indexed="12"/>
      <name val="Arial"/>
      <family val="2"/>
    </font>
    <font>
      <sz val="11"/>
      <color theme="1"/>
      <name val="Calibri"/>
      <family val="2"/>
      <scheme val="minor"/>
    </font>
    <font>
      <sz val="11"/>
      <name val="Calibri"/>
      <family val="2"/>
      <scheme val="minor"/>
    </font>
    <font>
      <b/>
      <sz val="10"/>
      <name val="Calibri"/>
      <family val="2"/>
      <scheme val="minor"/>
    </font>
    <font>
      <sz val="8"/>
      <name val="Calibri"/>
      <family val="2"/>
      <scheme val="minor"/>
    </font>
    <font>
      <sz val="10"/>
      <name val="Calibri"/>
      <family val="2"/>
      <scheme val="minor"/>
    </font>
    <font>
      <sz val="10"/>
      <color rgb="FF006600"/>
      <name val="Calibri"/>
      <family val="2"/>
      <scheme val="minor"/>
    </font>
    <font>
      <b/>
      <sz val="11"/>
      <name val="Calibri"/>
      <family val="2"/>
      <scheme val="minor"/>
    </font>
    <font>
      <sz val="10"/>
      <name val="Arial"/>
      <family val="2"/>
    </font>
    <font>
      <b/>
      <sz val="10"/>
      <color rgb="FFFF0000"/>
      <name val="Calibri"/>
      <family val="2"/>
      <scheme val="minor"/>
    </font>
    <font>
      <b/>
      <sz val="12"/>
      <name val="Calibri"/>
      <family val="2"/>
      <scheme val="minor"/>
    </font>
    <font>
      <u/>
      <sz val="10"/>
      <color indexed="12"/>
      <name val="Calibri"/>
      <family val="2"/>
      <scheme val="minor"/>
    </font>
    <font>
      <u/>
      <sz val="11"/>
      <color rgb="FF000000"/>
      <name val="Calibri"/>
      <family val="2"/>
      <scheme val="minor"/>
    </font>
    <font>
      <b/>
      <sz val="10"/>
      <color theme="1"/>
      <name val="Arial"/>
      <family val="2"/>
    </font>
    <font>
      <sz val="10"/>
      <name val="Arial"/>
      <family val="2"/>
    </font>
    <font>
      <b/>
      <sz val="11"/>
      <color rgb="FF006600"/>
      <name val="Calibri"/>
      <family val="2"/>
      <scheme val="minor"/>
    </font>
    <font>
      <sz val="10"/>
      <name val="Arial"/>
      <family val="2"/>
    </font>
    <font>
      <sz val="11"/>
      <color indexed="10"/>
      <name val="Calibri"/>
      <family val="2"/>
      <scheme val="minor"/>
    </font>
    <font>
      <b/>
      <sz val="11"/>
      <color indexed="10"/>
      <name val="Calibri"/>
      <family val="2"/>
      <scheme val="minor"/>
    </font>
    <font>
      <b/>
      <sz val="11"/>
      <color rgb="FFFF0000"/>
      <name val="Calibri"/>
      <family val="2"/>
      <scheme val="minor"/>
    </font>
    <font>
      <sz val="11"/>
      <color rgb="FFFF0000"/>
      <name val="Calibri"/>
      <family val="2"/>
      <scheme val="minor"/>
    </font>
    <font>
      <sz val="10"/>
      <name val="Arial"/>
    </font>
    <font>
      <sz val="11"/>
      <color theme="6" tint="-0.499984740745262"/>
      <name val="Calibri"/>
      <family val="2"/>
      <scheme val="minor"/>
    </font>
    <font>
      <b/>
      <sz val="11"/>
      <color theme="6" tint="-0.499984740745262"/>
      <name val="Calibri"/>
      <family val="2"/>
      <scheme val="minor"/>
    </font>
    <font>
      <sz val="10"/>
      <color theme="6" tint="-0.499984740745262"/>
      <name val="Arial"/>
      <family val="2"/>
    </font>
    <font>
      <i/>
      <sz val="10"/>
      <name val="Arial"/>
      <family val="2"/>
    </font>
    <font>
      <sz val="10"/>
      <color indexed="8"/>
      <name val="Arial"/>
      <family val="2"/>
    </font>
    <font>
      <i/>
      <sz val="10"/>
      <color indexed="8"/>
      <name val="Arial"/>
      <family val="2"/>
    </font>
    <font>
      <b/>
      <sz val="10"/>
      <color indexed="17"/>
      <name val="Arial"/>
      <family val="2"/>
    </font>
    <font>
      <sz val="10"/>
      <color theme="1"/>
      <name val="Arial"/>
      <family val="2"/>
    </font>
    <font>
      <b/>
      <u/>
      <sz val="10"/>
      <name val="Calibri"/>
      <family val="2"/>
      <scheme val="minor"/>
    </font>
    <font>
      <sz val="10"/>
      <color theme="1"/>
      <name val="Calibri"/>
      <family val="2"/>
      <scheme val="minor"/>
    </font>
    <font>
      <sz val="11"/>
      <color rgb="FF9C0006"/>
      <name val="Calibri"/>
      <family val="2"/>
      <scheme val="minor"/>
    </font>
  </fonts>
  <fills count="14">
    <fill>
      <patternFill patternType="none"/>
    </fill>
    <fill>
      <patternFill patternType="gray125"/>
    </fill>
    <fill>
      <patternFill patternType="solid">
        <fgColor rgb="FFFFFFFF"/>
        <bgColor rgb="FF000000"/>
      </patternFill>
    </fill>
    <fill>
      <patternFill patternType="solid">
        <fgColor rgb="FFFFFFCC"/>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66FF"/>
        <bgColor indexed="64"/>
      </patternFill>
    </fill>
    <fill>
      <patternFill patternType="solid">
        <fgColor rgb="FFFFFF99"/>
        <bgColor indexed="64"/>
      </patternFill>
    </fill>
    <fill>
      <patternFill patternType="solid">
        <fgColor rgb="FF00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FFC7CE"/>
      </patternFill>
    </fill>
    <fill>
      <patternFill patternType="solid">
        <fgColor rgb="FFFF0000"/>
        <bgColor indexed="64"/>
      </patternFill>
    </fill>
  </fills>
  <borders count="5">
    <border>
      <left/>
      <right/>
      <top/>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44">
    <xf numFmtId="0" fontId="0" fillId="0" borderId="0"/>
    <xf numFmtId="164" fontId="4" fillId="0" borderId="0"/>
    <xf numFmtId="0" fontId="2" fillId="0" borderId="0"/>
    <xf numFmtId="164" fontId="5" fillId="0" borderId="0"/>
    <xf numFmtId="0" fontId="2" fillId="0" borderId="0"/>
    <xf numFmtId="0" fontId="9" fillId="0" borderId="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0" fillId="3" borderId="2" applyNumberFormat="0" applyFont="0" applyAlignment="0" applyProtection="0"/>
    <xf numFmtId="0" fontId="11" fillId="0" borderId="0" applyNumberFormat="0" applyFill="0" applyBorder="0" applyAlignment="0" applyProtection="0">
      <alignment vertical="top"/>
      <protection locked="0"/>
    </xf>
    <xf numFmtId="9" fontId="12" fillId="0" borderId="0" applyFont="0" applyFill="0" applyBorder="0" applyAlignment="0" applyProtection="0"/>
    <xf numFmtId="0" fontId="19" fillId="0" borderId="0"/>
    <xf numFmtId="0" fontId="25" fillId="0" borderId="0"/>
    <xf numFmtId="0" fontId="27" fillId="0" borderId="0"/>
    <xf numFmtId="43" fontId="12" fillId="0" borderId="0" applyFont="0" applyFill="0" applyBorder="0" applyAlignment="0" applyProtection="0"/>
    <xf numFmtId="0" fontId="32" fillId="0" borderId="0"/>
    <xf numFmtId="43" fontId="32" fillId="0" borderId="0" applyFont="0" applyFill="0" applyBorder="0" applyAlignment="0" applyProtection="0"/>
    <xf numFmtId="0" fontId="2" fillId="0" borderId="0"/>
    <xf numFmtId="0" fontId="43" fillId="12" borderId="0" applyNumberFormat="0" applyBorder="0" applyAlignment="0" applyProtection="0"/>
  </cellStyleXfs>
  <cellXfs count="257">
    <xf numFmtId="0" fontId="0" fillId="0" borderId="0" xfId="0"/>
    <xf numFmtId="0" fontId="0" fillId="0" borderId="0" xfId="0" applyAlignment="1">
      <alignment horizontal="center"/>
    </xf>
    <xf numFmtId="0" fontId="0" fillId="0" borderId="0" xfId="0" applyAlignment="1"/>
    <xf numFmtId="0" fontId="2" fillId="0" borderId="0" xfId="0" applyFont="1" applyFill="1" applyBorder="1"/>
    <xf numFmtId="0" fontId="2" fillId="0" borderId="0" xfId="0" applyFont="1" applyFill="1" applyBorder="1" applyAlignment="1">
      <alignment horizontal="center"/>
    </xf>
    <xf numFmtId="0" fontId="6" fillId="0" borderId="0" xfId="0" applyFont="1" applyFill="1" applyBorder="1" applyAlignment="1">
      <alignment horizontal="center"/>
    </xf>
    <xf numFmtId="0" fontId="6" fillId="0" borderId="0" xfId="0" applyFont="1" applyFill="1" applyBorder="1" applyAlignment="1"/>
    <xf numFmtId="1" fontId="2" fillId="0" borderId="0" xfId="0" applyNumberFormat="1" applyFont="1" applyFill="1" applyBorder="1" applyAlignment="1">
      <alignment horizontal="center"/>
    </xf>
    <xf numFmtId="165" fontId="3" fillId="0" borderId="0" xfId="0" applyNumberFormat="1" applyFont="1" applyFill="1" applyBorder="1" applyAlignment="1">
      <alignment horizontal="center"/>
    </xf>
    <xf numFmtId="164" fontId="3" fillId="0" borderId="0" xfId="1" applyFont="1" applyFill="1" applyBorder="1" applyAlignment="1">
      <alignment horizontal="center"/>
    </xf>
    <xf numFmtId="2" fontId="3" fillId="0" borderId="0" xfId="0" applyNumberFormat="1" applyFont="1" applyFill="1" applyBorder="1" applyAlignment="1">
      <alignment horizontal="center"/>
    </xf>
    <xf numFmtId="0" fontId="3" fillId="0" borderId="0" xfId="0" applyFont="1" applyFill="1" applyBorder="1" applyAlignment="1">
      <alignment horizontal="center"/>
    </xf>
    <xf numFmtId="0" fontId="2" fillId="0" borderId="0" xfId="0" applyFont="1" applyFill="1" applyBorder="1" applyAlignment="1"/>
    <xf numFmtId="166" fontId="2" fillId="0" borderId="0" xfId="0" applyNumberFormat="1" applyFont="1" applyFill="1" applyBorder="1" applyAlignment="1">
      <alignment horizontal="center"/>
    </xf>
    <xf numFmtId="166" fontId="2" fillId="0" borderId="0" xfId="0" applyNumberFormat="1" applyFont="1" applyFill="1" applyBorder="1" applyAlignment="1"/>
    <xf numFmtId="166" fontId="2" fillId="0" borderId="0" xfId="0" applyNumberFormat="1" applyFont="1" applyFill="1" applyBorder="1"/>
    <xf numFmtId="0" fontId="2" fillId="2" borderId="0" xfId="0" applyFont="1" applyFill="1" applyBorder="1" applyAlignment="1">
      <alignment horizontal="center"/>
    </xf>
    <xf numFmtId="0" fontId="3" fillId="0" borderId="0" xfId="0" applyFont="1" applyFill="1" applyBorder="1" applyAlignment="1">
      <alignment horizontal="left"/>
    </xf>
    <xf numFmtId="0" fontId="7" fillId="0" borderId="0" xfId="0" applyFont="1" applyFill="1" applyBorder="1" applyAlignment="1">
      <alignment horizontal="center"/>
    </xf>
    <xf numFmtId="0" fontId="7" fillId="0" borderId="0" xfId="0" applyFont="1" applyFill="1" applyBorder="1" applyAlignment="1"/>
    <xf numFmtId="0" fontId="0" fillId="0" borderId="0" xfId="0" applyAlignment="1">
      <alignment horizontal="left"/>
    </xf>
    <xf numFmtId="0" fontId="3" fillId="0" borderId="0" xfId="4" applyFont="1"/>
    <xf numFmtId="0" fontId="2" fillId="0" borderId="0" xfId="4" applyFont="1"/>
    <xf numFmtId="0" fontId="2" fillId="0" borderId="0" xfId="4"/>
    <xf numFmtId="1" fontId="0" fillId="0" borderId="0" xfId="0" applyNumberFormat="1" applyAlignment="1">
      <alignment horizontal="center"/>
    </xf>
    <xf numFmtId="0" fontId="0" fillId="0" borderId="0" xfId="0" applyFont="1"/>
    <xf numFmtId="0" fontId="15" fillId="0" borderId="0" xfId="0" applyFont="1" applyAlignment="1">
      <alignment horizontal="right"/>
    </xf>
    <xf numFmtId="0" fontId="14" fillId="0" borderId="0" xfId="0" applyFont="1" applyFill="1" applyAlignment="1">
      <alignment horizontal="left"/>
    </xf>
    <xf numFmtId="0" fontId="0" fillId="0" borderId="0" xfId="0" applyFont="1" applyAlignment="1">
      <alignment horizontal="left"/>
    </xf>
    <xf numFmtId="1" fontId="0" fillId="0" borderId="0" xfId="0" applyNumberFormat="1" applyFont="1" applyAlignment="1">
      <alignment horizontal="left"/>
    </xf>
    <xf numFmtId="14" fontId="0" fillId="0" borderId="0" xfId="0" applyNumberFormat="1" applyFont="1" applyAlignment="1">
      <alignment horizontal="left"/>
    </xf>
    <xf numFmtId="2" fontId="0" fillId="0" borderId="0" xfId="0" applyNumberFormat="1" applyFont="1" applyAlignment="1">
      <alignment horizontal="left"/>
    </xf>
    <xf numFmtId="165" fontId="16" fillId="0" borderId="0" xfId="0" applyNumberFormat="1" applyFont="1"/>
    <xf numFmtId="2" fontId="17" fillId="0" borderId="0" xfId="0" applyNumberFormat="1" applyFont="1" applyAlignment="1">
      <alignment horizontal="center"/>
    </xf>
    <xf numFmtId="0" fontId="17" fillId="0" borderId="0" xfId="0" quotePrefix="1" applyFont="1" applyAlignment="1">
      <alignment horizontal="center"/>
    </xf>
    <xf numFmtId="0" fontId="17" fillId="0" borderId="0" xfId="0" applyFont="1" applyAlignment="1">
      <alignment horizontal="center"/>
    </xf>
    <xf numFmtId="2" fontId="17" fillId="0" borderId="0" xfId="0" quotePrefix="1" applyNumberFormat="1" applyFont="1" applyAlignment="1">
      <alignment horizontal="center"/>
    </xf>
    <xf numFmtId="165" fontId="0" fillId="0" borderId="0" xfId="0" applyNumberFormat="1" applyFont="1" applyAlignment="1">
      <alignment horizontal="left"/>
    </xf>
    <xf numFmtId="167" fontId="13" fillId="0" borderId="0" xfId="3" applyNumberFormat="1" applyFont="1" applyFill="1" applyBorder="1" applyAlignment="1" applyProtection="1">
      <alignment horizontal="left"/>
    </xf>
    <xf numFmtId="0" fontId="2" fillId="0" borderId="0" xfId="0" applyFont="1" applyFill="1" applyBorder="1" applyAlignment="1">
      <alignment horizontal="right"/>
    </xf>
    <xf numFmtId="0" fontId="2" fillId="2" borderId="0" xfId="0" applyFont="1" applyFill="1" applyBorder="1" applyAlignment="1">
      <alignment horizontal="right"/>
    </xf>
    <xf numFmtId="0" fontId="0" fillId="0" borderId="0" xfId="0" applyAlignment="1">
      <alignment horizontal="right"/>
    </xf>
    <xf numFmtId="2" fontId="13" fillId="0" borderId="0" xfId="3" applyNumberFormat="1" applyFont="1" applyFill="1" applyBorder="1" applyAlignment="1" applyProtection="1">
      <alignment horizontal="left"/>
    </xf>
    <xf numFmtId="2" fontId="0" fillId="0" borderId="0" xfId="0" applyNumberFormat="1" applyFont="1" applyFill="1" applyAlignment="1">
      <alignment horizontal="left"/>
    </xf>
    <xf numFmtId="0" fontId="0" fillId="0" borderId="0" xfId="0" applyFont="1" applyAlignment="1"/>
    <xf numFmtId="0" fontId="16" fillId="0" borderId="0" xfId="0" applyFont="1" applyAlignment="1">
      <alignment horizontal="right"/>
    </xf>
    <xf numFmtId="0" fontId="20" fillId="0" borderId="0" xfId="0" applyFont="1"/>
    <xf numFmtId="0" fontId="20" fillId="0" borderId="0" xfId="0" applyFont="1" applyAlignment="1">
      <alignment horizontal="center"/>
    </xf>
    <xf numFmtId="2" fontId="20" fillId="0" borderId="0" xfId="0" applyNumberFormat="1" applyFont="1" applyAlignment="1">
      <alignment horizontal="center"/>
    </xf>
    <xf numFmtId="0" fontId="14" fillId="0" borderId="0" xfId="0" applyFont="1"/>
    <xf numFmtId="2" fontId="14" fillId="0" borderId="0" xfId="0" applyNumberFormat="1" applyFont="1"/>
    <xf numFmtId="2" fontId="16" fillId="0" borderId="0" xfId="0" applyNumberFormat="1" applyFont="1"/>
    <xf numFmtId="0" fontId="16" fillId="0" borderId="0" xfId="0" applyFont="1"/>
    <xf numFmtId="0" fontId="21" fillId="0" borderId="0" xfId="0" applyFont="1"/>
    <xf numFmtId="0" fontId="22" fillId="0" borderId="0" xfId="34" applyFont="1" applyAlignment="1" applyProtection="1"/>
    <xf numFmtId="0" fontId="13" fillId="0" borderId="0" xfId="0" applyFont="1"/>
    <xf numFmtId="0" fontId="23" fillId="0" borderId="0" xfId="0" applyFont="1"/>
    <xf numFmtId="0" fontId="24" fillId="0" borderId="0" xfId="0" applyFont="1" applyAlignment="1">
      <alignment horizontal="left"/>
    </xf>
    <xf numFmtId="0" fontId="18" fillId="0" borderId="0" xfId="0" applyFont="1" applyAlignment="1">
      <alignment horizontal="left"/>
    </xf>
    <xf numFmtId="165" fontId="0" fillId="0" borderId="0" xfId="0" applyNumberFormat="1" applyFont="1" applyFill="1" applyAlignment="1">
      <alignment horizontal="left"/>
    </xf>
    <xf numFmtId="0" fontId="0" fillId="0" borderId="0" xfId="0" applyFont="1" applyFill="1" applyAlignment="1">
      <alignment horizontal="left"/>
    </xf>
    <xf numFmtId="0" fontId="15" fillId="0" borderId="0" xfId="0" applyFont="1" applyAlignment="1">
      <alignment horizontal="left"/>
    </xf>
    <xf numFmtId="166" fontId="16" fillId="0" borderId="0" xfId="0" applyNumberFormat="1" applyFont="1" applyAlignment="1">
      <alignment horizontal="left"/>
    </xf>
    <xf numFmtId="0" fontId="16" fillId="0" borderId="0" xfId="0" applyFont="1" applyFill="1" applyAlignment="1">
      <alignment horizontal="left"/>
    </xf>
    <xf numFmtId="1" fontId="0" fillId="0" borderId="0" xfId="0" applyNumberFormat="1" applyFont="1" applyFill="1" applyAlignment="1">
      <alignment horizontal="left"/>
    </xf>
    <xf numFmtId="0" fontId="0" fillId="0" borderId="0" xfId="0" applyFont="1" applyBorder="1" applyAlignment="1">
      <alignment horizontal="left"/>
    </xf>
    <xf numFmtId="0" fontId="0" fillId="0" borderId="1" xfId="0" applyFont="1" applyBorder="1" applyAlignment="1">
      <alignment horizontal="left"/>
    </xf>
    <xf numFmtId="0" fontId="0" fillId="0" borderId="3" xfId="0" applyFont="1" applyBorder="1" applyAlignment="1">
      <alignment horizontal="left"/>
    </xf>
    <xf numFmtId="2" fontId="0" fillId="0" borderId="0" xfId="0" applyNumberFormat="1"/>
    <xf numFmtId="2" fontId="2" fillId="0" borderId="0" xfId="0" applyNumberFormat="1" applyFont="1" applyFill="1" applyBorder="1" applyAlignment="1">
      <alignment horizontal="left"/>
    </xf>
    <xf numFmtId="2" fontId="2" fillId="2" borderId="0" xfId="0" applyNumberFormat="1" applyFont="1" applyFill="1" applyBorder="1" applyAlignment="1">
      <alignment horizontal="left"/>
    </xf>
    <xf numFmtId="1" fontId="0" fillId="0" borderId="0" xfId="0" applyNumberFormat="1" applyFont="1" applyFill="1" applyBorder="1" applyAlignment="1">
      <alignment horizontal="left"/>
    </xf>
    <xf numFmtId="2" fontId="0" fillId="0" borderId="0" xfId="0" applyNumberFormat="1" applyFont="1" applyFill="1" applyBorder="1" applyAlignment="1">
      <alignment horizontal="left"/>
    </xf>
    <xf numFmtId="2" fontId="13" fillId="0" borderId="0" xfId="0" applyNumberFormat="1" applyFont="1" applyFill="1" applyAlignment="1">
      <alignment horizontal="left"/>
    </xf>
    <xf numFmtId="0" fontId="18" fillId="0" borderId="0" xfId="0" applyFont="1"/>
    <xf numFmtId="1" fontId="2" fillId="2" borderId="0" xfId="0" applyNumberFormat="1" applyFont="1" applyFill="1" applyBorder="1" applyAlignment="1">
      <alignment horizontal="center"/>
    </xf>
    <xf numFmtId="1" fontId="1" fillId="0" borderId="0" xfId="0" applyNumberFormat="1" applyFont="1" applyFill="1" applyAlignment="1">
      <alignment horizontal="center"/>
    </xf>
    <xf numFmtId="1" fontId="1" fillId="0" borderId="0" xfId="0" applyNumberFormat="1" applyFont="1" applyAlignment="1">
      <alignment horizontal="center"/>
    </xf>
    <xf numFmtId="1" fontId="0" fillId="0" borderId="0" xfId="0" applyNumberFormat="1" applyFont="1" applyFill="1" applyAlignment="1">
      <alignment horizontal="center"/>
    </xf>
    <xf numFmtId="0" fontId="1" fillId="0" borderId="0" xfId="0" applyNumberFormat="1" applyFont="1" applyFill="1" applyAlignment="1">
      <alignment horizontal="left"/>
    </xf>
    <xf numFmtId="0" fontId="1" fillId="0" borderId="0" xfId="0" applyNumberFormat="1" applyFont="1" applyAlignment="1">
      <alignment horizontal="left"/>
    </xf>
    <xf numFmtId="1" fontId="0" fillId="0" borderId="0" xfId="0" applyNumberFormat="1" applyFont="1" applyFill="1" applyBorder="1" applyAlignment="1">
      <alignment horizontal="center"/>
    </xf>
    <xf numFmtId="2" fontId="0" fillId="0" borderId="0" xfId="0" applyNumberFormat="1" applyFont="1" applyFill="1" applyAlignment="1">
      <alignment horizontal="center"/>
    </xf>
    <xf numFmtId="0" fontId="0" fillId="0" borderId="0" xfId="0" applyFont="1" applyAlignment="1">
      <alignment horizontal="center"/>
    </xf>
    <xf numFmtId="2" fontId="18" fillId="0" borderId="1" xfId="2" applyNumberFormat="1" applyFont="1" applyFill="1" applyBorder="1" applyAlignment="1">
      <alignment horizontal="center" vertical="center" wrapText="1"/>
    </xf>
    <xf numFmtId="0" fontId="0" fillId="0" borderId="0" xfId="0" applyFont="1" applyFill="1" applyAlignment="1">
      <alignment horizontal="center"/>
    </xf>
    <xf numFmtId="165" fontId="18" fillId="0" borderId="1" xfId="2" applyNumberFormat="1" applyFont="1" applyFill="1" applyBorder="1" applyAlignment="1">
      <alignment horizontal="center" vertical="center" wrapText="1"/>
    </xf>
    <xf numFmtId="0" fontId="14" fillId="0" borderId="0" xfId="0" applyFont="1" applyFill="1" applyBorder="1" applyAlignment="1">
      <alignment horizontal="center"/>
    </xf>
    <xf numFmtId="1" fontId="0" fillId="0" borderId="0" xfId="0" applyNumberFormat="1" applyFont="1" applyAlignment="1">
      <alignment horizontal="center"/>
    </xf>
    <xf numFmtId="164" fontId="14" fillId="0" borderId="0" xfId="1" applyFont="1" applyFill="1" applyBorder="1" applyAlignment="1">
      <alignment horizontal="center"/>
    </xf>
    <xf numFmtId="165" fontId="14" fillId="0" borderId="0" xfId="0" applyNumberFormat="1" applyFont="1" applyFill="1" applyBorder="1" applyAlignment="1">
      <alignment horizontal="center"/>
    </xf>
    <xf numFmtId="1" fontId="14" fillId="0" borderId="0" xfId="0" applyNumberFormat="1" applyFont="1" applyFill="1" applyBorder="1" applyAlignment="1">
      <alignment horizontal="center"/>
    </xf>
    <xf numFmtId="0" fontId="13" fillId="0" borderId="0" xfId="0" applyFont="1" applyAlignment="1">
      <alignment horizontal="center"/>
    </xf>
    <xf numFmtId="2" fontId="2" fillId="0" borderId="0" xfId="0" applyNumberFormat="1" applyFont="1" applyFill="1" applyBorder="1"/>
    <xf numFmtId="1" fontId="13" fillId="0" borderId="0" xfId="0" applyNumberFormat="1" applyFont="1" applyFill="1" applyAlignment="1">
      <alignment horizontal="center"/>
    </xf>
    <xf numFmtId="2" fontId="0" fillId="4" borderId="0" xfId="0" applyNumberFormat="1" applyFont="1" applyFill="1" applyBorder="1" applyAlignment="1">
      <alignment horizontal="center"/>
    </xf>
    <xf numFmtId="2" fontId="13" fillId="4" borderId="0" xfId="0" applyNumberFormat="1" applyFont="1" applyFill="1" applyAlignment="1">
      <alignment horizontal="left"/>
    </xf>
    <xf numFmtId="1" fontId="0" fillId="4" borderId="0" xfId="0" applyNumberFormat="1" applyFont="1" applyFill="1" applyAlignment="1">
      <alignment horizontal="left"/>
    </xf>
    <xf numFmtId="1" fontId="1" fillId="4" borderId="0" xfId="0" applyNumberFormat="1" applyFont="1" applyFill="1" applyAlignment="1">
      <alignment horizontal="center"/>
    </xf>
    <xf numFmtId="2" fontId="0" fillId="4" borderId="0" xfId="0" applyNumberFormat="1" applyFont="1" applyFill="1" applyAlignment="1">
      <alignment horizontal="left"/>
    </xf>
    <xf numFmtId="1" fontId="28" fillId="4" borderId="0" xfId="0" applyNumberFormat="1" applyFont="1" applyFill="1" applyAlignment="1">
      <alignment horizontal="left"/>
    </xf>
    <xf numFmtId="1" fontId="29" fillId="4" borderId="0" xfId="0" applyNumberFormat="1" applyFont="1" applyFill="1" applyAlignment="1">
      <alignment horizontal="center"/>
    </xf>
    <xf numFmtId="2" fontId="28" fillId="4" borderId="0" xfId="0" applyNumberFormat="1" applyFont="1" applyFill="1" applyAlignment="1">
      <alignment horizontal="left"/>
    </xf>
    <xf numFmtId="1" fontId="30" fillId="4" borderId="0" xfId="0" applyNumberFormat="1" applyFont="1" applyFill="1" applyAlignment="1">
      <alignment horizontal="left"/>
    </xf>
    <xf numFmtId="1" fontId="13" fillId="4" borderId="0" xfId="0" applyNumberFormat="1" applyFont="1" applyFill="1" applyAlignment="1">
      <alignment horizontal="left"/>
    </xf>
    <xf numFmtId="1" fontId="18" fillId="4" borderId="0" xfId="0" applyNumberFormat="1" applyFont="1" applyFill="1" applyAlignment="1">
      <alignment horizontal="center"/>
    </xf>
    <xf numFmtId="2" fontId="18" fillId="0" borderId="1" xfId="0" applyNumberFormat="1" applyFont="1" applyFill="1" applyBorder="1" applyAlignment="1">
      <alignment horizontal="center" vertical="center" wrapText="1"/>
    </xf>
    <xf numFmtId="2" fontId="1" fillId="0" borderId="1" xfId="0" applyNumberFormat="1" applyFont="1" applyFill="1" applyBorder="1" applyAlignment="1">
      <alignment horizontal="center" vertical="center" wrapText="1"/>
    </xf>
    <xf numFmtId="1" fontId="18" fillId="0" borderId="1" xfId="2" applyNumberFormat="1" applyFont="1" applyFill="1" applyBorder="1" applyAlignment="1">
      <alignment horizontal="center" vertical="center" wrapText="1"/>
    </xf>
    <xf numFmtId="0" fontId="1" fillId="0" borderId="1" xfId="0" applyFont="1" applyBorder="1" applyAlignment="1">
      <alignment horizontal="center" vertical="center" wrapText="1"/>
    </xf>
    <xf numFmtId="2" fontId="1" fillId="0" borderId="0" xfId="0" applyNumberFormat="1" applyFont="1" applyFill="1" applyAlignment="1">
      <alignment horizontal="left"/>
    </xf>
    <xf numFmtId="2" fontId="0" fillId="0" borderId="0" xfId="35" applyNumberFormat="1" applyFont="1" applyFill="1" applyAlignment="1">
      <alignment horizontal="left"/>
    </xf>
    <xf numFmtId="2" fontId="3" fillId="4" borderId="0" xfId="0" applyNumberFormat="1" applyFont="1" applyFill="1"/>
    <xf numFmtId="0" fontId="3" fillId="4" borderId="0" xfId="0" applyFont="1" applyFill="1"/>
    <xf numFmtId="14" fontId="33" fillId="4" borderId="0" xfId="0" applyNumberFormat="1" applyFont="1" applyFill="1" applyAlignment="1">
      <alignment horizontal="left" vertical="top"/>
    </xf>
    <xf numFmtId="14" fontId="33" fillId="4" borderId="0" xfId="0" applyNumberFormat="1" applyFont="1" applyFill="1" applyAlignment="1">
      <alignment horizontal="left"/>
    </xf>
    <xf numFmtId="2" fontId="33" fillId="4" borderId="0" xfId="0" applyNumberFormat="1" applyFont="1" applyFill="1" applyAlignment="1">
      <alignment horizontal="left"/>
    </xf>
    <xf numFmtId="165" fontId="35" fillId="4" borderId="0" xfId="0" applyNumberFormat="1" applyFont="1" applyFill="1"/>
    <xf numFmtId="168" fontId="35" fillId="4" borderId="0" xfId="0" applyNumberFormat="1" applyFont="1" applyFill="1"/>
    <xf numFmtId="0" fontId="0" fillId="0" borderId="0" xfId="0"/>
    <xf numFmtId="0" fontId="0" fillId="0" borderId="0" xfId="0" applyAlignment="1">
      <alignment horizontal="center"/>
    </xf>
    <xf numFmtId="0" fontId="2" fillId="0" borderId="0" xfId="0" applyFont="1" applyFill="1" applyBorder="1"/>
    <xf numFmtId="0" fontId="0" fillId="0" borderId="0" xfId="0" applyAlignment="1">
      <alignment horizontal="left"/>
    </xf>
    <xf numFmtId="2" fontId="0" fillId="0" borderId="0" xfId="0" applyNumberFormat="1" applyAlignment="1">
      <alignment horizontal="center"/>
    </xf>
    <xf numFmtId="2" fontId="14" fillId="0" borderId="0" xfId="0" applyNumberFormat="1" applyFont="1" applyFill="1" applyAlignment="1">
      <alignment horizontal="left"/>
    </xf>
    <xf numFmtId="0" fontId="0" fillId="0" borderId="0" xfId="0" applyFont="1" applyBorder="1" applyAlignment="1"/>
    <xf numFmtId="2" fontId="18" fillId="4" borderId="0" xfId="0" applyNumberFormat="1" applyFont="1" applyFill="1" applyAlignment="1">
      <alignment horizontal="left"/>
    </xf>
    <xf numFmtId="2" fontId="1" fillId="4" borderId="0" xfId="0" applyNumberFormat="1" applyFont="1" applyFill="1" applyAlignment="1">
      <alignment horizontal="left"/>
    </xf>
    <xf numFmtId="2" fontId="34" fillId="4" borderId="0" xfId="0" applyNumberFormat="1" applyFont="1" applyFill="1" applyAlignment="1">
      <alignment horizontal="left"/>
    </xf>
    <xf numFmtId="165" fontId="18" fillId="0" borderId="0" xfId="2" applyNumberFormat="1" applyFont="1" applyFill="1" applyBorder="1" applyAlignment="1">
      <alignment horizontal="center" vertical="center" wrapText="1"/>
    </xf>
    <xf numFmtId="165" fontId="26" fillId="0" borderId="0" xfId="0" applyNumberFormat="1" applyFont="1" applyFill="1" applyBorder="1" applyAlignment="1">
      <alignment horizontal="center" vertical="center" wrapText="1"/>
    </xf>
    <xf numFmtId="165" fontId="18" fillId="0" borderId="0" xfId="0" applyNumberFormat="1" applyFont="1" applyFill="1" applyBorder="1" applyAlignment="1">
      <alignment horizontal="center" vertical="center" wrapText="1"/>
    </xf>
    <xf numFmtId="2" fontId="13" fillId="0" borderId="0" xfId="0" applyNumberFormat="1" applyFont="1" applyFill="1" applyBorder="1" applyAlignment="1">
      <alignment horizontal="center"/>
    </xf>
    <xf numFmtId="2" fontId="0" fillId="0" borderId="0" xfId="0" applyNumberFormat="1" applyFont="1" applyFill="1" applyBorder="1" applyAlignment="1">
      <alignment horizontal="center"/>
    </xf>
    <xf numFmtId="165" fontId="18" fillId="0" borderId="0" xfId="1"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1" fontId="0" fillId="5" borderId="0" xfId="0" applyNumberFormat="1" applyFont="1" applyFill="1" applyBorder="1" applyAlignment="1">
      <alignment horizontal="left"/>
    </xf>
    <xf numFmtId="1" fontId="1" fillId="0" borderId="0" xfId="0" applyNumberFormat="1" applyFont="1" applyFill="1" applyBorder="1" applyAlignment="1">
      <alignment horizontal="left"/>
    </xf>
    <xf numFmtId="2" fontId="0" fillId="5" borderId="0" xfId="0" applyNumberFormat="1" applyFont="1" applyFill="1" applyBorder="1" applyAlignment="1">
      <alignment horizontal="left"/>
    </xf>
    <xf numFmtId="2" fontId="0" fillId="5" borderId="0" xfId="35" applyNumberFormat="1" applyFont="1" applyFill="1" applyAlignment="1">
      <alignment horizontal="left"/>
    </xf>
    <xf numFmtId="1" fontId="0" fillId="5" borderId="0" xfId="0" applyNumberFormat="1" applyFont="1" applyFill="1" applyAlignment="1">
      <alignment horizontal="left"/>
    </xf>
    <xf numFmtId="14" fontId="18" fillId="0" borderId="1" xfId="1" applyNumberFormat="1" applyFont="1" applyFill="1" applyBorder="1" applyAlignment="1">
      <alignment horizontal="center" vertical="center" wrapText="1"/>
    </xf>
    <xf numFmtId="1" fontId="18" fillId="0" borderId="1" xfId="1" applyNumberFormat="1" applyFont="1" applyFill="1" applyBorder="1" applyAlignment="1">
      <alignment horizontal="center" vertical="center" wrapText="1"/>
    </xf>
    <xf numFmtId="2" fontId="18" fillId="0" borderId="1" xfId="1" applyNumberFormat="1" applyFont="1" applyFill="1" applyBorder="1" applyAlignment="1">
      <alignment horizontal="center" vertical="center" wrapText="1"/>
    </xf>
    <xf numFmtId="1" fontId="18" fillId="0" borderId="1" xfId="3" applyNumberFormat="1" applyFont="1" applyFill="1" applyBorder="1" applyAlignment="1" applyProtection="1">
      <alignment horizontal="center" vertical="center" wrapText="1"/>
    </xf>
    <xf numFmtId="2" fontId="18" fillId="0" borderId="1" xfId="3" applyNumberFormat="1" applyFont="1" applyFill="1" applyBorder="1" applyAlignment="1" applyProtection="1">
      <alignment horizontal="center" vertical="center" wrapText="1"/>
    </xf>
    <xf numFmtId="0" fontId="0" fillId="0" borderId="0" xfId="0" applyFont="1" applyAlignment="1">
      <alignment horizontal="center" vertical="center" wrapText="1"/>
    </xf>
    <xf numFmtId="0" fontId="8" fillId="0" borderId="0" xfId="0" applyFont="1" applyFill="1" applyAlignment="1">
      <alignment horizontal="right"/>
    </xf>
    <xf numFmtId="0" fontId="1" fillId="0" borderId="0" xfId="0" applyFont="1"/>
    <xf numFmtId="164" fontId="2" fillId="0" borderId="0" xfId="3" applyFont="1" applyAlignment="1">
      <alignment horizontal="center"/>
    </xf>
    <xf numFmtId="0" fontId="2" fillId="0" borderId="0" xfId="3" applyNumberFormat="1" applyFont="1" applyAlignment="1">
      <alignment horizontal="left"/>
    </xf>
    <xf numFmtId="167" fontId="2" fillId="0" borderId="0" xfId="3" applyNumberFormat="1" applyFont="1"/>
    <xf numFmtId="165" fontId="2" fillId="0" borderId="0" xfId="3" applyNumberFormat="1" applyFont="1"/>
    <xf numFmtId="165" fontId="36" fillId="0" borderId="0" xfId="3" applyNumberFormat="1" applyFont="1"/>
    <xf numFmtId="170" fontId="2" fillId="0" borderId="0" xfId="3" applyNumberFormat="1" applyFont="1"/>
    <xf numFmtId="2" fontId="2" fillId="0" borderId="0" xfId="3" applyNumberFormat="1" applyFont="1"/>
    <xf numFmtId="165" fontId="2" fillId="0" borderId="0" xfId="3" applyNumberFormat="1" applyFont="1" applyAlignment="1">
      <alignment horizontal="center"/>
    </xf>
    <xf numFmtId="0" fontId="2" fillId="0" borderId="0" xfId="3" applyNumberFormat="1" applyFont="1" applyAlignment="1">
      <alignment horizontal="center"/>
    </xf>
    <xf numFmtId="165" fontId="2" fillId="0" borderId="0" xfId="3" applyNumberFormat="1" applyFont="1" applyAlignment="1">
      <alignment horizontal="right"/>
    </xf>
    <xf numFmtId="164" fontId="2" fillId="0" borderId="0" xfId="3" applyFont="1"/>
    <xf numFmtId="164" fontId="2" fillId="6" borderId="0" xfId="3" applyFont="1" applyFill="1" applyAlignment="1">
      <alignment horizontal="center"/>
    </xf>
    <xf numFmtId="164" fontId="2" fillId="7" borderId="0" xfId="3" applyFont="1" applyFill="1" applyAlignment="1">
      <alignment horizontal="center"/>
    </xf>
    <xf numFmtId="167" fontId="2" fillId="0" borderId="0" xfId="40" applyNumberFormat="1" applyFont="1"/>
    <xf numFmtId="2" fontId="2" fillId="0" borderId="0" xfId="40" applyNumberFormat="1" applyFont="1"/>
    <xf numFmtId="164" fontId="2" fillId="8" borderId="0" xfId="3" applyFont="1" applyFill="1" applyAlignment="1">
      <alignment horizontal="center"/>
    </xf>
    <xf numFmtId="0" fontId="37" fillId="0" borderId="0" xfId="3" applyNumberFormat="1" applyFont="1" applyAlignment="1">
      <alignment horizontal="center"/>
    </xf>
    <xf numFmtId="167" fontId="37" fillId="0" borderId="0" xfId="3" applyNumberFormat="1" applyFont="1" applyAlignment="1" applyProtection="1">
      <alignment horizontal="left"/>
      <protection locked="0"/>
    </xf>
    <xf numFmtId="167" fontId="37" fillId="0" borderId="0" xfId="3" applyNumberFormat="1" applyFont="1"/>
    <xf numFmtId="165" fontId="37" fillId="0" borderId="0" xfId="3" applyNumberFormat="1" applyFont="1"/>
    <xf numFmtId="165" fontId="38" fillId="0" borderId="0" xfId="3" applyNumberFormat="1" applyFont="1"/>
    <xf numFmtId="2" fontId="37" fillId="0" borderId="0" xfId="3" applyNumberFormat="1" applyFont="1"/>
    <xf numFmtId="165" fontId="37" fillId="0" borderId="0" xfId="3" applyNumberFormat="1" applyFont="1" applyAlignment="1">
      <alignment horizontal="center"/>
    </xf>
    <xf numFmtId="165" fontId="37" fillId="0" borderId="0" xfId="3" applyNumberFormat="1" applyFont="1" applyAlignment="1">
      <alignment horizontal="right"/>
    </xf>
    <xf numFmtId="167" fontId="2" fillId="0" borderId="0" xfId="3" applyNumberFormat="1" applyFont="1" applyAlignment="1">
      <alignment horizontal="center"/>
    </xf>
    <xf numFmtId="170" fontId="2" fillId="0" borderId="0" xfId="3" applyNumberFormat="1" applyFont="1" applyAlignment="1">
      <alignment horizontal="center"/>
    </xf>
    <xf numFmtId="2" fontId="2" fillId="0" borderId="0" xfId="3" applyNumberFormat="1" applyFont="1" applyAlignment="1">
      <alignment horizontal="center"/>
    </xf>
    <xf numFmtId="168" fontId="2" fillId="0" borderId="0" xfId="3" applyNumberFormat="1" applyFont="1" applyAlignment="1">
      <alignment horizontal="center" textRotation="180" wrapText="1"/>
    </xf>
    <xf numFmtId="165" fontId="2" fillId="0" borderId="0" xfId="40" applyNumberFormat="1" applyFont="1"/>
    <xf numFmtId="168" fontId="2" fillId="0" borderId="0" xfId="3" applyNumberFormat="1" applyFont="1" applyAlignment="1">
      <alignment horizontal="center"/>
    </xf>
    <xf numFmtId="164" fontId="2" fillId="0" borderId="0" xfId="3" applyFont="1" applyAlignment="1">
      <alignment horizontal="left"/>
    </xf>
    <xf numFmtId="165" fontId="37" fillId="0" borderId="0" xfId="40" applyNumberFormat="1" applyFont="1" applyAlignment="1">
      <alignment horizontal="center"/>
    </xf>
    <xf numFmtId="165" fontId="2" fillId="0" borderId="0" xfId="40" applyNumberFormat="1" applyFont="1" applyAlignment="1">
      <alignment horizontal="right"/>
    </xf>
    <xf numFmtId="0" fontId="2" fillId="0" borderId="0" xfId="40" applyFont="1"/>
    <xf numFmtId="2" fontId="2" fillId="0" borderId="0" xfId="3" applyNumberFormat="1" applyFont="1" applyAlignment="1" applyProtection="1">
      <alignment horizontal="centerContinuous" vertical="justify"/>
      <protection locked="0"/>
    </xf>
    <xf numFmtId="0" fontId="2" fillId="0" borderId="0" xfId="3" applyNumberFormat="1" applyFont="1" applyAlignment="1">
      <alignment horizontal="fill"/>
    </xf>
    <xf numFmtId="167" fontId="2" fillId="0" borderId="0" xfId="3" applyNumberFormat="1" applyFont="1" applyAlignment="1">
      <alignment horizontal="fill"/>
    </xf>
    <xf numFmtId="165" fontId="2" fillId="0" borderId="0" xfId="3" applyNumberFormat="1" applyFont="1" applyAlignment="1">
      <alignment horizontal="fill"/>
    </xf>
    <xf numFmtId="2" fontId="2" fillId="0" borderId="0" xfId="3" applyNumberFormat="1" applyFont="1" applyAlignment="1">
      <alignment horizontal="fill"/>
    </xf>
    <xf numFmtId="168" fontId="2" fillId="0" borderId="0" xfId="3" applyNumberFormat="1" applyFont="1" applyAlignment="1">
      <alignment horizontal="fill"/>
    </xf>
    <xf numFmtId="165" fontId="37" fillId="0" borderId="0" xfId="3" applyNumberFormat="1" applyFont="1" applyAlignment="1">
      <alignment horizontal="fill"/>
    </xf>
    <xf numFmtId="164" fontId="2" fillId="0" borderId="0" xfId="3" applyFont="1" applyAlignment="1">
      <alignment horizontal="fill"/>
    </xf>
    <xf numFmtId="2" fontId="39" fillId="0" borderId="0" xfId="3" applyNumberFormat="1" applyFont="1" applyAlignment="1">
      <alignment horizontal="fill"/>
    </xf>
    <xf numFmtId="0" fontId="2" fillId="0" borderId="0" xfId="40" applyFont="1" applyAlignment="1">
      <alignment horizontal="center"/>
    </xf>
    <xf numFmtId="167" fontId="32" fillId="0" borderId="0" xfId="40" applyNumberFormat="1"/>
    <xf numFmtId="168" fontId="32" fillId="0" borderId="0" xfId="40" applyNumberFormat="1"/>
    <xf numFmtId="2" fontId="32" fillId="0" borderId="0" xfId="40" applyNumberFormat="1"/>
    <xf numFmtId="165" fontId="32" fillId="0" borderId="0" xfId="40" applyNumberFormat="1"/>
    <xf numFmtId="0" fontId="32" fillId="0" borderId="0" xfId="40"/>
    <xf numFmtId="167" fontId="40" fillId="0" borderId="0" xfId="3" applyNumberFormat="1" applyFont="1" applyAlignment="1" applyProtection="1">
      <alignment horizontal="left"/>
      <protection locked="0"/>
    </xf>
    <xf numFmtId="0" fontId="2" fillId="9" borderId="0" xfId="40" applyFont="1" applyFill="1"/>
    <xf numFmtId="165" fontId="2" fillId="9" borderId="0" xfId="40" applyNumberFormat="1" applyFont="1" applyFill="1" applyAlignment="1">
      <alignment horizontal="right"/>
    </xf>
    <xf numFmtId="0" fontId="2" fillId="10" borderId="0" xfId="40" applyFont="1" applyFill="1"/>
    <xf numFmtId="165" fontId="2" fillId="10" borderId="0" xfId="40" applyNumberFormat="1" applyFont="1" applyFill="1" applyAlignment="1">
      <alignment horizontal="right"/>
    </xf>
    <xf numFmtId="2" fontId="0" fillId="0" borderId="0" xfId="0" applyNumberFormat="1" applyFont="1" applyBorder="1" applyAlignment="1">
      <alignment horizontal="center"/>
    </xf>
    <xf numFmtId="0" fontId="31" fillId="0" borderId="0" xfId="0" applyFont="1" applyFill="1" applyBorder="1" applyAlignment="1">
      <alignment horizontal="center"/>
    </xf>
    <xf numFmtId="2" fontId="31" fillId="0" borderId="0" xfId="0" applyNumberFormat="1" applyFont="1" applyFill="1" applyBorder="1" applyAlignment="1">
      <alignment horizontal="center"/>
    </xf>
    <xf numFmtId="1" fontId="0" fillId="0" borderId="0" xfId="0" applyNumberFormat="1" applyFont="1" applyBorder="1" applyAlignment="1">
      <alignment horizontal="center"/>
    </xf>
    <xf numFmtId="0" fontId="1" fillId="0" borderId="0" xfId="0" applyFont="1" applyAlignment="1">
      <alignment horizontal="center"/>
    </xf>
    <xf numFmtId="0" fontId="1" fillId="11" borderId="4" xfId="0" applyFont="1" applyFill="1" applyBorder="1" applyAlignment="1">
      <alignment horizontal="left"/>
    </xf>
    <xf numFmtId="2" fontId="0" fillId="11" borderId="4" xfId="0" applyNumberFormat="1" applyFont="1" applyFill="1" applyBorder="1" applyAlignment="1">
      <alignment horizontal="center"/>
    </xf>
    <xf numFmtId="0" fontId="0" fillId="11" borderId="4" xfId="0" applyFont="1" applyFill="1" applyBorder="1" applyAlignment="1">
      <alignment horizontal="center"/>
    </xf>
    <xf numFmtId="2" fontId="1" fillId="11" borderId="4" xfId="0" applyNumberFormat="1" applyFont="1" applyFill="1" applyBorder="1" applyAlignment="1">
      <alignment horizontal="center"/>
    </xf>
    <xf numFmtId="15" fontId="16" fillId="0" borderId="0" xfId="0" applyNumberFormat="1" applyFont="1"/>
    <xf numFmtId="14" fontId="1" fillId="0" borderId="0" xfId="0" applyNumberFormat="1" applyFont="1" applyFill="1" applyAlignment="1">
      <alignment horizontal="left" vertical="top"/>
    </xf>
    <xf numFmtId="2" fontId="0" fillId="5" borderId="0" xfId="0" applyNumberFormat="1" applyFont="1" applyFill="1" applyAlignment="1">
      <alignment horizontal="left"/>
    </xf>
    <xf numFmtId="0" fontId="42" fillId="0" borderId="0" xfId="0" applyFont="1" applyAlignment="1">
      <alignment horizontal="left"/>
    </xf>
    <xf numFmtId="0" fontId="0" fillId="0" borderId="0" xfId="0" applyFill="1" applyAlignment="1">
      <alignment horizontal="center"/>
    </xf>
    <xf numFmtId="0" fontId="3" fillId="0" borderId="0" xfId="0" applyFont="1" applyFill="1" applyBorder="1" applyAlignment="1">
      <alignment horizontal="left" vertical="top" wrapText="1"/>
    </xf>
    <xf numFmtId="0" fontId="0" fillId="0" borderId="0" xfId="0" applyNumberFormat="1" applyFont="1" applyFill="1" applyBorder="1" applyAlignment="1">
      <alignment horizontal="center"/>
    </xf>
    <xf numFmtId="171" fontId="0" fillId="0" borderId="0" xfId="0" applyNumberFormat="1" applyAlignment="1">
      <alignment horizontal="center"/>
    </xf>
    <xf numFmtId="1" fontId="13" fillId="0" borderId="0" xfId="0" applyNumberFormat="1" applyFont="1" applyAlignment="1">
      <alignment horizontal="center"/>
    </xf>
    <xf numFmtId="0" fontId="0" fillId="0" borderId="0" xfId="0" applyFont="1" applyFill="1" applyAlignment="1"/>
    <xf numFmtId="0" fontId="41" fillId="0" borderId="0" xfId="0" applyFont="1"/>
    <xf numFmtId="15" fontId="41" fillId="0" borderId="0" xfId="0" applyNumberFormat="1" applyFont="1"/>
    <xf numFmtId="1" fontId="0" fillId="0" borderId="0" xfId="0" applyNumberFormat="1"/>
    <xf numFmtId="1" fontId="18" fillId="0" borderId="0" xfId="0" applyNumberFormat="1" applyFont="1" applyFill="1" applyBorder="1" applyAlignment="1">
      <alignment horizontal="center" vertical="center" wrapText="1"/>
    </xf>
    <xf numFmtId="1" fontId="13" fillId="0" borderId="0" xfId="0" applyNumberFormat="1" applyFont="1" applyBorder="1" applyAlignment="1">
      <alignment horizontal="center"/>
    </xf>
    <xf numFmtId="165" fontId="18" fillId="0" borderId="0" xfId="0" applyNumberFormat="1" applyFont="1" applyFill="1" applyBorder="1" applyAlignment="1">
      <alignment horizontal="left" vertical="center" wrapText="1"/>
    </xf>
    <xf numFmtId="2" fontId="31" fillId="0" borderId="0" xfId="0" applyNumberFormat="1" applyFont="1" applyBorder="1" applyAlignment="1">
      <alignment horizontal="center"/>
    </xf>
    <xf numFmtId="2" fontId="0" fillId="0" borderId="0" xfId="0" applyNumberFormat="1" applyFont="1" applyBorder="1" applyAlignment="1"/>
    <xf numFmtId="2" fontId="18" fillId="0" borderId="0" xfId="2" applyNumberFormat="1" applyFont="1" applyFill="1" applyBorder="1" applyAlignment="1">
      <alignment horizontal="center" vertical="center" wrapText="1"/>
    </xf>
    <xf numFmtId="2" fontId="31" fillId="0" borderId="0" xfId="0" applyNumberFormat="1" applyFont="1" applyAlignment="1">
      <alignment horizontal="left"/>
    </xf>
    <xf numFmtId="2" fontId="31" fillId="0" borderId="0" xfId="0" applyNumberFormat="1" applyFont="1" applyFill="1" applyAlignment="1">
      <alignment horizontal="left"/>
    </xf>
    <xf numFmtId="0" fontId="30" fillId="11" borderId="4" xfId="0" applyFont="1" applyFill="1" applyBorder="1" applyAlignment="1">
      <alignment horizontal="left"/>
    </xf>
    <xf numFmtId="0" fontId="31" fillId="11" borderId="4" xfId="0" applyFont="1" applyFill="1" applyBorder="1" applyAlignment="1">
      <alignment horizontal="center"/>
    </xf>
    <xf numFmtId="0" fontId="0" fillId="0" borderId="0" xfId="0" applyAlignment="1">
      <alignment horizontal="center" vertical="center"/>
    </xf>
    <xf numFmtId="1" fontId="43" fillId="0" borderId="0" xfId="43" applyNumberFormat="1" applyFill="1" applyAlignment="1">
      <alignment horizontal="center"/>
    </xf>
    <xf numFmtId="1" fontId="13" fillId="0" borderId="0" xfId="43" applyNumberFormat="1" applyFont="1" applyFill="1" applyAlignment="1">
      <alignment horizontal="center"/>
    </xf>
    <xf numFmtId="2" fontId="13" fillId="0" borderId="0" xfId="43" applyNumberFormat="1" applyFont="1" applyFill="1" applyAlignment="1">
      <alignment horizontal="left"/>
    </xf>
    <xf numFmtId="0" fontId="14" fillId="0" borderId="0" xfId="0" applyFont="1" applyFill="1" applyBorder="1" applyAlignment="1">
      <alignment horizontal="left"/>
    </xf>
    <xf numFmtId="2" fontId="0" fillId="0" borderId="0" xfId="0" applyNumberFormat="1" applyAlignment="1">
      <alignment horizontal="left"/>
    </xf>
    <xf numFmtId="2" fontId="0" fillId="0" borderId="0" xfId="0" applyNumberFormat="1" applyFont="1" applyAlignment="1">
      <alignment horizontal="center"/>
    </xf>
    <xf numFmtId="0" fontId="3" fillId="0" borderId="0" xfId="0" applyFont="1" applyFill="1" applyBorder="1" applyAlignment="1">
      <alignment horizontal="left" vertical="top" wrapText="1"/>
    </xf>
    <xf numFmtId="1" fontId="0" fillId="11" borderId="4" xfId="0" applyNumberFormat="1" applyFont="1" applyFill="1" applyBorder="1" applyAlignment="1">
      <alignment horizontal="center"/>
    </xf>
    <xf numFmtId="0" fontId="3" fillId="0" borderId="0" xfId="0" applyFont="1" applyAlignment="1">
      <alignment horizontal="left" vertical="top" wrapText="1"/>
    </xf>
    <xf numFmtId="0" fontId="3" fillId="0" borderId="0" xfId="0" applyFont="1" applyFill="1" applyBorder="1" applyAlignment="1">
      <alignment horizontal="left" vertical="top" wrapText="1"/>
    </xf>
    <xf numFmtId="0" fontId="1" fillId="0" borderId="0" xfId="0" applyFont="1" applyFill="1" applyBorder="1" applyAlignment="1">
      <alignment horizontal="center"/>
    </xf>
    <xf numFmtId="168" fontId="2" fillId="0" borderId="0" xfId="3" applyNumberFormat="1" applyFont="1" applyAlignment="1">
      <alignment horizontal="center" textRotation="180" wrapText="1"/>
    </xf>
    <xf numFmtId="0" fontId="2" fillId="0" borderId="0" xfId="3" applyNumberFormat="1" applyFont="1" applyAlignment="1">
      <alignment horizontal="center" textRotation="180" wrapText="1"/>
    </xf>
    <xf numFmtId="3" fontId="0" fillId="0" borderId="0" xfId="41" applyNumberFormat="1" applyFont="1" applyAlignment="1">
      <alignment horizontal="center"/>
    </xf>
    <xf numFmtId="3" fontId="0" fillId="0" borderId="0" xfId="39" applyNumberFormat="1" applyFont="1" applyFill="1" applyBorder="1" applyAlignment="1">
      <alignment horizontal="center"/>
    </xf>
    <xf numFmtId="3" fontId="0" fillId="13" borderId="0" xfId="41" applyNumberFormat="1" applyFont="1" applyFill="1" applyAlignment="1">
      <alignment horizontal="center"/>
    </xf>
    <xf numFmtId="3" fontId="0" fillId="0" borderId="0" xfId="0" applyNumberFormat="1" applyFont="1" applyFill="1" applyAlignment="1">
      <alignment horizontal="center"/>
    </xf>
    <xf numFmtId="3" fontId="0" fillId="0" borderId="0" xfId="0" applyNumberFormat="1" applyFont="1" applyAlignment="1">
      <alignment horizontal="center"/>
    </xf>
    <xf numFmtId="3" fontId="0" fillId="13" borderId="0" xfId="0" applyNumberFormat="1" applyFont="1" applyFill="1" applyAlignment="1">
      <alignment horizontal="center"/>
    </xf>
    <xf numFmtId="3" fontId="0" fillId="0" borderId="0" xfId="0" applyNumberFormat="1" applyFont="1" applyAlignment="1">
      <alignment horizontal="left"/>
    </xf>
    <xf numFmtId="0" fontId="2" fillId="0" borderId="0" xfId="0" applyFont="1"/>
  </cellXfs>
  <cellStyles count="44">
    <cellStyle name="Bad" xfId="43" builtinId="27"/>
    <cellStyle name="Comma" xfId="39" builtinId="3"/>
    <cellStyle name="Comma 2" xfId="41" xr:uid="{60FA55B1-2E3D-478C-B8A2-F8D593921B89}"/>
    <cellStyle name="Hyperlink" xfId="34" builtinId="8"/>
    <cellStyle name="Normal" xfId="0" builtinId="0"/>
    <cellStyle name="Normal 2" xfId="4" xr:uid="{00000000-0005-0000-0000-000002000000}"/>
    <cellStyle name="Normal 3" xfId="5" xr:uid="{00000000-0005-0000-0000-000003000000}"/>
    <cellStyle name="Normal 3 2" xfId="42" xr:uid="{AA9C3D60-9374-4DAF-AB9D-E6E719E8F844}"/>
    <cellStyle name="Normal 4" xfId="36" xr:uid="{00000000-0005-0000-0000-000004000000}"/>
    <cellStyle name="Normal 5" xfId="37" xr:uid="{00000000-0005-0000-0000-000005000000}"/>
    <cellStyle name="Normal 6" xfId="38" xr:uid="{00000000-0005-0000-0000-000006000000}"/>
    <cellStyle name="Normal 7" xfId="40" xr:uid="{E81C6FA2-8785-4651-93E2-ECD63796C42F}"/>
    <cellStyle name="Normal_FL17022005_TurnerOSAP_A" xfId="1" xr:uid="{00000000-0005-0000-0000-000007000000}"/>
    <cellStyle name="Normal_P20PROD2000-10" xfId="2" xr:uid="{00000000-0005-0000-0000-000008000000}"/>
    <cellStyle name="Normal_WOCEP1E-HYD" xfId="3" xr:uid="{00000000-0005-0000-0000-000009000000}"/>
    <cellStyle name="Note 10" xfId="6" xr:uid="{00000000-0005-0000-0000-00000A000000}"/>
    <cellStyle name="Note 11" xfId="7" xr:uid="{00000000-0005-0000-0000-00000B000000}"/>
    <cellStyle name="Note 12" xfId="8" xr:uid="{00000000-0005-0000-0000-00000C000000}"/>
    <cellStyle name="Note 13" xfId="9" xr:uid="{00000000-0005-0000-0000-00000D000000}"/>
    <cellStyle name="Note 14" xfId="10" xr:uid="{00000000-0005-0000-0000-00000E000000}"/>
    <cellStyle name="Note 15" xfId="11" xr:uid="{00000000-0005-0000-0000-00000F000000}"/>
    <cellStyle name="Note 16" xfId="12" xr:uid="{00000000-0005-0000-0000-000010000000}"/>
    <cellStyle name="Note 17" xfId="13" xr:uid="{00000000-0005-0000-0000-000011000000}"/>
    <cellStyle name="Note 18" xfId="14" xr:uid="{00000000-0005-0000-0000-000012000000}"/>
    <cellStyle name="Note 19" xfId="15" xr:uid="{00000000-0005-0000-0000-000013000000}"/>
    <cellStyle name="Note 2" xfId="16" xr:uid="{00000000-0005-0000-0000-000014000000}"/>
    <cellStyle name="Note 20" xfId="17" xr:uid="{00000000-0005-0000-0000-000015000000}"/>
    <cellStyle name="Note 21" xfId="18" xr:uid="{00000000-0005-0000-0000-000016000000}"/>
    <cellStyle name="Note 22" xfId="19" xr:uid="{00000000-0005-0000-0000-000017000000}"/>
    <cellStyle name="Note 23" xfId="20" xr:uid="{00000000-0005-0000-0000-000018000000}"/>
    <cellStyle name="Note 24" xfId="21" xr:uid="{00000000-0005-0000-0000-000019000000}"/>
    <cellStyle name="Note 25" xfId="22" xr:uid="{00000000-0005-0000-0000-00001A000000}"/>
    <cellStyle name="Note 26" xfId="23" xr:uid="{00000000-0005-0000-0000-00001B000000}"/>
    <cellStyle name="Note 27" xfId="24" xr:uid="{00000000-0005-0000-0000-00001C000000}"/>
    <cellStyle name="Note 28" xfId="25" xr:uid="{00000000-0005-0000-0000-00001D000000}"/>
    <cellStyle name="Note 29" xfId="26" xr:uid="{00000000-0005-0000-0000-00001E000000}"/>
    <cellStyle name="Note 3" xfId="27" xr:uid="{00000000-0005-0000-0000-00001F000000}"/>
    <cellStyle name="Note 4" xfId="28" xr:uid="{00000000-0005-0000-0000-000020000000}"/>
    <cellStyle name="Note 5" xfId="29" xr:uid="{00000000-0005-0000-0000-000021000000}"/>
    <cellStyle name="Note 6" xfId="30" xr:uid="{00000000-0005-0000-0000-000022000000}"/>
    <cellStyle name="Note 7" xfId="31" xr:uid="{00000000-0005-0000-0000-000023000000}"/>
    <cellStyle name="Note 8" xfId="32" xr:uid="{00000000-0005-0000-0000-000024000000}"/>
    <cellStyle name="Note 9" xfId="33" xr:uid="{00000000-0005-0000-0000-000025000000}"/>
    <cellStyle name="Percent" xfId="35" builtinId="5"/>
  </cellStyles>
  <dxfs count="12">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1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219075</xdr:colOff>
      <xdr:row>36</xdr:row>
      <xdr:rowOff>66675</xdr:rowOff>
    </xdr:from>
    <xdr:ext cx="2867024" cy="4914679"/>
    <xdr:sp macro="" textlink="">
      <xdr:nvSpPr>
        <xdr:cNvPr id="3" name="TextBox 2">
          <a:extLst>
            <a:ext uri="{FF2B5EF4-FFF2-40B4-BE49-F238E27FC236}">
              <a16:creationId xmlns:a16="http://schemas.microsoft.com/office/drawing/2014/main" id="{2A040173-5526-4B36-BAC9-746E8697B817}"/>
            </a:ext>
          </a:extLst>
        </xdr:cNvPr>
        <xdr:cNvSpPr txBox="1"/>
      </xdr:nvSpPr>
      <xdr:spPr>
        <a:xfrm>
          <a:off x="219075" y="6600825"/>
          <a:ext cx="2867024" cy="4914679"/>
        </a:xfrm>
        <a:prstGeom prst="rect">
          <a:avLst/>
        </a:prstGeom>
        <a:solidFill>
          <a:sysClr val="window" lastClr="FFFFFF"/>
        </a:solidFill>
        <a:ln>
          <a:noFill/>
        </a:ln>
        <a:effectLst/>
      </xdr:spPr>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CA" sz="1100" b="0" i="0" u="none" strike="noStrike" kern="0" cap="none" spc="0" normalizeH="0" baseline="0" noProof="0">
              <a:ln>
                <a:noFill/>
              </a:ln>
              <a:solidFill>
                <a:sysClr val="windowText" lastClr="000000"/>
              </a:solidFill>
              <a:effectLst/>
              <a:uLnTx/>
              <a:uFillTx/>
              <a:latin typeface="Calibri"/>
            </a:rPr>
            <a:t>For biological type data where the variability between replicates increases with measured value we use a relative measure of variability (%CV or %relative difference)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CA" sz="1100" b="0" i="0" u="none" strike="noStrike" kern="0" cap="none" spc="0" normalizeH="0" baseline="0" noProof="0">
            <a:ln>
              <a:noFill/>
            </a:ln>
            <a:solidFill>
              <a:sysClr val="windowText" lastClr="000000"/>
            </a:solidFill>
            <a:effectLst/>
            <a:uLnTx/>
            <a:uFillTx/>
            <a:latin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CA" sz="1100" b="0" i="0" u="none" strike="noStrike" kern="0" cap="none" spc="0" normalizeH="0" baseline="0" noProof="0">
              <a:ln>
                <a:noFill/>
              </a:ln>
              <a:solidFill>
                <a:sysClr val="windowText" lastClr="000000"/>
              </a:solidFill>
              <a:effectLst/>
              <a:uLnTx/>
              <a:uFillTx/>
              <a:latin typeface="Calibri"/>
              <a:ea typeface="+mn-ea"/>
              <a:cs typeface="+mn-cs"/>
            </a:rPr>
            <a:t>For these variables we are not trying to assess analytical precision per se since the patchiness of the environment tends to swamp the analytical capabilites of the method. Instead we  hope that the average of two samples will give us a better representative of the true value than a single one would. The difference in the statistics used contrasts the heterogeneity of biology (patchiness ) with the homogeneity of chemical parameters.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CA" sz="11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CA" sz="1100" b="0" i="0" u="sng" strike="noStrike" kern="0" cap="none" spc="0" normalizeH="0" baseline="0" noProof="0">
              <a:ln>
                <a:noFill/>
              </a:ln>
              <a:solidFill>
                <a:sysClr val="windowText" lastClr="000000"/>
              </a:solidFill>
              <a:effectLst/>
              <a:uLnTx/>
              <a:uFillTx/>
              <a:latin typeface="Calibri"/>
              <a:ea typeface="+mn-ea"/>
              <a:cs typeface="+mn-cs"/>
            </a:rPr>
            <a:t>%CV or %RSD (relative standard deviation)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CA" sz="1100" b="0" i="0" u="none" strike="noStrike" kern="0" cap="none" spc="0" normalizeH="0" baseline="0" noProof="0">
              <a:ln>
                <a:noFill/>
              </a:ln>
              <a:solidFill>
                <a:sysClr val="windowText" lastClr="000000"/>
              </a:solidFill>
              <a:effectLst/>
              <a:uLnTx/>
              <a:uFillTx/>
              <a:latin typeface="Calibri"/>
              <a:ea typeface="+mn-ea"/>
              <a:cs typeface="+mn-cs"/>
            </a:rPr>
            <a:t>take the difference (technically more correct) or standard deviation (to be consistent with past data) between replicates and divide by the mean then multiply by 100 for each sample. From decades of data we can determine a cutoff value that we deem acceptable. In this case for CHL data, any replicates with  &gt;10% CV are flagged. As a precision statement we calculate the mean %CV for the whole dataset.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CA"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waterproperties.ca/standards/Chlorophyll_sampling_12Feb2010.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N42"/>
  <sheetViews>
    <sheetView tabSelected="1" zoomScaleNormal="100" workbookViewId="0">
      <selection activeCell="A22" sqref="A22"/>
    </sheetView>
  </sheetViews>
  <sheetFormatPr defaultColWidth="9.1796875" defaultRowHeight="14.5"/>
  <cols>
    <col min="1" max="1" width="14" style="119" customWidth="1"/>
    <col min="2" max="3" width="9.1796875" style="119"/>
    <col min="4" max="4" width="19.7265625" style="119" bestFit="1" customWidth="1"/>
    <col min="5" max="7" width="22.1796875" style="119" bestFit="1" customWidth="1"/>
    <col min="8" max="11" width="9.1796875" style="119"/>
    <col min="12" max="12" width="22.1796875" style="119" bestFit="1" customWidth="1"/>
    <col min="13" max="16384" width="9.1796875" style="119"/>
  </cols>
  <sheetData>
    <row r="1" spans="1:14">
      <c r="A1" s="58" t="s">
        <v>207</v>
      </c>
      <c r="B1" s="55"/>
      <c r="J1" s="45"/>
      <c r="N1" s="26"/>
    </row>
    <row r="2" spans="1:14">
      <c r="A2" s="55" t="s">
        <v>66</v>
      </c>
      <c r="B2" s="74" t="s">
        <v>209</v>
      </c>
      <c r="J2" s="45"/>
      <c r="N2" s="26"/>
    </row>
    <row r="3" spans="1:14" s="52" customFormat="1">
      <c r="A3" s="55" t="s">
        <v>30</v>
      </c>
      <c r="B3" s="49" t="s">
        <v>208</v>
      </c>
      <c r="C3" s="46"/>
      <c r="D3" s="46"/>
      <c r="E3" s="46"/>
      <c r="F3" s="47"/>
      <c r="G3" s="46"/>
      <c r="H3" s="48"/>
      <c r="I3" s="46"/>
      <c r="J3" s="46"/>
      <c r="K3" s="49"/>
      <c r="L3" s="50"/>
      <c r="M3" s="51"/>
      <c r="N3" s="26"/>
    </row>
    <row r="4" spans="1:14" s="52" customFormat="1">
      <c r="A4" s="55" t="s">
        <v>29</v>
      </c>
      <c r="B4" s="49" t="s">
        <v>208</v>
      </c>
      <c r="C4" s="46"/>
      <c r="D4" s="46"/>
      <c r="E4" s="46"/>
      <c r="F4" s="47"/>
      <c r="G4" s="46"/>
      <c r="H4" s="48"/>
      <c r="I4" s="46"/>
      <c r="J4" s="46"/>
      <c r="K4" s="49"/>
      <c r="L4" s="50"/>
      <c r="M4" s="51"/>
      <c r="N4" s="26"/>
    </row>
    <row r="5" spans="1:14" s="53" customFormat="1" ht="15.5">
      <c r="B5" s="55"/>
    </row>
    <row r="6" spans="1:14">
      <c r="A6" s="119" t="s">
        <v>32</v>
      </c>
    </row>
    <row r="7" spans="1:14">
      <c r="A7" s="54" t="s">
        <v>33</v>
      </c>
    </row>
    <row r="9" spans="1:14">
      <c r="A9" s="222" t="s">
        <v>10</v>
      </c>
    </row>
    <row r="10" spans="1:14">
      <c r="A10" s="52" t="s">
        <v>217</v>
      </c>
    </row>
    <row r="11" spans="1:14">
      <c r="A11" s="215" t="s">
        <v>222</v>
      </c>
      <c r="B11" s="52"/>
      <c r="L11" s="32"/>
      <c r="M11" s="34"/>
    </row>
    <row r="12" spans="1:14">
      <c r="A12" s="215" t="s">
        <v>228</v>
      </c>
      <c r="B12" s="52"/>
      <c r="L12" s="32"/>
      <c r="M12" s="34"/>
    </row>
    <row r="13" spans="1:14">
      <c r="A13" s="215" t="s">
        <v>223</v>
      </c>
      <c r="B13" s="52"/>
      <c r="L13" s="32"/>
      <c r="M13" s="34"/>
    </row>
    <row r="14" spans="1:14">
      <c r="A14" s="215" t="s">
        <v>235</v>
      </c>
      <c r="B14" s="52"/>
      <c r="L14" s="32"/>
      <c r="M14" s="34"/>
    </row>
    <row r="15" spans="1:14">
      <c r="A15" s="212" t="s">
        <v>218</v>
      </c>
      <c r="B15" s="55"/>
      <c r="L15" s="32"/>
      <c r="M15" s="35"/>
    </row>
    <row r="16" spans="1:14">
      <c r="A16" s="212" t="s">
        <v>274</v>
      </c>
      <c r="B16" s="55"/>
      <c r="L16" s="32"/>
      <c r="M16" s="35"/>
    </row>
    <row r="17" spans="1:13">
      <c r="A17" s="212" t="s">
        <v>224</v>
      </c>
      <c r="B17" s="55"/>
      <c r="L17" s="32"/>
      <c r="M17" s="35"/>
    </row>
    <row r="18" spans="1:13">
      <c r="A18" s="212" t="s">
        <v>234</v>
      </c>
      <c r="B18" s="55"/>
      <c r="L18" s="32"/>
      <c r="M18" s="35"/>
    </row>
    <row r="19" spans="1:13">
      <c r="A19" s="212"/>
      <c r="B19" s="55"/>
      <c r="L19" s="32"/>
      <c r="M19" s="35"/>
    </row>
    <row r="20" spans="1:13">
      <c r="A20" s="223" t="s">
        <v>219</v>
      </c>
      <c r="B20" s="55"/>
      <c r="L20" s="32"/>
      <c r="M20" s="35"/>
    </row>
    <row r="21" spans="1:13">
      <c r="A21" s="212" t="s">
        <v>220</v>
      </c>
      <c r="B21" s="55"/>
      <c r="L21" s="32"/>
      <c r="M21" s="35"/>
    </row>
    <row r="22" spans="1:13">
      <c r="A22" s="212"/>
      <c r="B22" s="55"/>
      <c r="L22" s="32"/>
      <c r="M22" s="35"/>
    </row>
    <row r="23" spans="1:13">
      <c r="A23" s="212"/>
      <c r="L23" s="32"/>
      <c r="M23" s="35"/>
    </row>
    <row r="24" spans="1:13">
      <c r="A24" s="223" t="s">
        <v>221</v>
      </c>
      <c r="L24" s="32"/>
      <c r="M24" s="35"/>
    </row>
    <row r="25" spans="1:13">
      <c r="A25" s="212">
        <v>44769</v>
      </c>
      <c r="B25" s="119" t="s">
        <v>236</v>
      </c>
      <c r="C25" s="119" t="s">
        <v>237</v>
      </c>
      <c r="L25" s="32"/>
      <c r="M25" s="35"/>
    </row>
    <row r="26" spans="1:13">
      <c r="A26" s="212">
        <v>44770</v>
      </c>
      <c r="B26" s="119" t="s">
        <v>236</v>
      </c>
      <c r="C26" s="119" t="s">
        <v>276</v>
      </c>
      <c r="M26" s="35"/>
    </row>
    <row r="27" spans="1:13">
      <c r="A27" s="52"/>
      <c r="B27" s="49"/>
      <c r="L27" s="32"/>
      <c r="M27" s="36"/>
    </row>
    <row r="28" spans="1:13">
      <c r="A28" s="56" t="s">
        <v>34</v>
      </c>
      <c r="L28" s="32"/>
      <c r="M28" s="36"/>
    </row>
    <row r="29" spans="1:13" ht="14.5" customHeight="1">
      <c r="A29" s="244" t="str">
        <f>CHL!B10</f>
        <v xml:space="preserve">Chlorophyll values ranged from 0.00 - 0.81 ug/L in 414 samples. 71 of 414 samples were below Minimum Limit of Detection (&lt;MLD). Samples &lt;MLD that were collected in duplicate were not included in the %CV calculation. The original %CV for this dataset was 8.82% for 171 duplicate samples, excluding the average of duplicate pairs that were &lt;MDL. 36 duplicates had a CV%&gt;10, and 9 duplicates had a CV%&gt;30. 10 duplicates were rejected (A or B), improving the %CV to 6.59% over 161 duplicate pairs, with 26 samples having a CV%&gt;10 and 4 having a %CV&gt;30. Our average dataset %CV is 3.89 % for 2013 - 2021 using the Turner 10-AU - so the overall quality of this dataset is acceptable. </v>
      </c>
      <c r="B29" s="244"/>
      <c r="C29" s="244"/>
      <c r="D29" s="244"/>
      <c r="E29" s="244"/>
      <c r="F29" s="244"/>
      <c r="G29" s="244"/>
      <c r="H29" s="244"/>
      <c r="I29" s="244"/>
      <c r="J29" s="244"/>
      <c r="K29" s="244"/>
    </row>
    <row r="30" spans="1:13">
      <c r="A30" s="244"/>
      <c r="B30" s="244"/>
      <c r="C30" s="244"/>
      <c r="D30" s="244"/>
      <c r="E30" s="244"/>
      <c r="F30" s="244"/>
      <c r="G30" s="244"/>
      <c r="H30" s="244"/>
      <c r="I30" s="244"/>
      <c r="J30" s="244"/>
      <c r="K30" s="244"/>
    </row>
    <row r="31" spans="1:13">
      <c r="A31" s="244"/>
      <c r="B31" s="244"/>
      <c r="C31" s="244"/>
      <c r="D31" s="244"/>
      <c r="E31" s="244"/>
      <c r="F31" s="244"/>
      <c r="G31" s="244"/>
      <c r="H31" s="244"/>
      <c r="I31" s="244"/>
      <c r="J31" s="244"/>
      <c r="K31" s="244"/>
    </row>
    <row r="32" spans="1:13">
      <c r="A32" s="244"/>
      <c r="B32" s="244"/>
      <c r="C32" s="244"/>
      <c r="D32" s="244"/>
      <c r="E32" s="244"/>
      <c r="F32" s="244"/>
      <c r="G32" s="244"/>
      <c r="H32" s="244"/>
      <c r="I32" s="244"/>
      <c r="J32" s="244"/>
      <c r="K32" s="244"/>
    </row>
    <row r="33" spans="1:9">
      <c r="A33" s="244" t="s">
        <v>275</v>
      </c>
      <c r="B33" s="244"/>
      <c r="C33" s="244"/>
      <c r="D33" s="244"/>
      <c r="E33" s="244"/>
      <c r="F33" s="244"/>
      <c r="G33" s="244"/>
      <c r="H33" s="244"/>
      <c r="I33" s="244"/>
    </row>
    <row r="34" spans="1:9">
      <c r="A34" s="244"/>
      <c r="B34" s="244"/>
      <c r="C34" s="244"/>
      <c r="D34" s="244"/>
      <c r="E34" s="244"/>
      <c r="F34" s="244"/>
      <c r="G34" s="244"/>
      <c r="H34" s="244"/>
      <c r="I34" s="244"/>
    </row>
    <row r="35" spans="1:9">
      <c r="A35" s="244"/>
      <c r="B35" s="244"/>
      <c r="C35" s="244"/>
      <c r="D35" s="244"/>
      <c r="E35" s="244"/>
      <c r="F35" s="244"/>
      <c r="G35" s="244"/>
      <c r="H35" s="244"/>
      <c r="I35" s="244"/>
    </row>
    <row r="36" spans="1:9">
      <c r="A36" s="244"/>
      <c r="B36" s="244"/>
      <c r="C36" s="244"/>
      <c r="D36" s="244"/>
      <c r="E36" s="244"/>
      <c r="F36" s="244"/>
      <c r="G36" s="244"/>
      <c r="H36" s="244"/>
      <c r="I36" s="244"/>
    </row>
    <row r="37" spans="1:9">
      <c r="A37" s="122"/>
      <c r="E37" s="32"/>
      <c r="F37" s="35"/>
      <c r="G37" s="224"/>
    </row>
    <row r="38" spans="1:9">
      <c r="E38" s="32"/>
      <c r="F38" s="35"/>
      <c r="G38" s="224"/>
    </row>
    <row r="39" spans="1:9">
      <c r="E39" s="32"/>
      <c r="F39" s="35"/>
      <c r="G39" s="224"/>
    </row>
    <row r="40" spans="1:9">
      <c r="E40" s="32"/>
      <c r="F40" s="36"/>
      <c r="G40" s="68"/>
    </row>
    <row r="41" spans="1:9">
      <c r="E41" s="32"/>
      <c r="F41" s="36"/>
      <c r="G41" s="68"/>
    </row>
    <row r="42" spans="1:9">
      <c r="F42" s="32"/>
      <c r="G42" s="33"/>
      <c r="H42" s="33"/>
    </row>
  </sheetData>
  <mergeCells count="3">
    <mergeCell ref="A33:I35"/>
    <mergeCell ref="A36:I36"/>
    <mergeCell ref="A29:K32"/>
  </mergeCells>
  <conditionalFormatting sqref="G42:H42">
    <cfRule type="cellIs" dxfId="11" priority="5" stopIfTrue="1" operator="greaterThanOrEqual">
      <formula>15</formula>
    </cfRule>
  </conditionalFormatting>
  <conditionalFormatting sqref="G42 M11:M28">
    <cfRule type="cellIs" dxfId="10" priority="3" operator="greaterThan">
      <formula>100</formula>
    </cfRule>
    <cfRule type="cellIs" dxfId="9" priority="4" operator="greaterThan">
      <formula>100</formula>
    </cfRule>
  </conditionalFormatting>
  <conditionalFormatting sqref="F37:F41">
    <cfRule type="cellIs" dxfId="8" priority="1" operator="greaterThan">
      <formula>100</formula>
    </cfRule>
    <cfRule type="cellIs" dxfId="7" priority="2" operator="greaterThan">
      <formula>100</formula>
    </cfRule>
  </conditionalFormatting>
  <hyperlinks>
    <hyperlink ref="A7" r:id="rId1" xr:uid="{B05EC423-2863-42FF-81C7-1526FDD37928}"/>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00B050"/>
    <pageSetUpPr fitToPage="1"/>
  </sheetPr>
  <dimension ref="A1:Y229"/>
  <sheetViews>
    <sheetView zoomScaleNormal="100" workbookViewId="0">
      <pane xSplit="1" ySplit="19" topLeftCell="B20" activePane="bottomRight" state="frozen"/>
      <selection activeCell="M1" sqref="M1:M3"/>
      <selection pane="topRight" activeCell="M1" sqref="M1:M3"/>
      <selection pane="bottomLeft" activeCell="M1" sqref="M1:M3"/>
      <selection pane="bottomRight" activeCell="B9" sqref="B9"/>
    </sheetView>
  </sheetViews>
  <sheetFormatPr defaultRowHeight="14.5"/>
  <cols>
    <col min="1" max="1" width="22.26953125" customWidth="1"/>
    <col min="2" max="2" width="16" style="2" customWidth="1"/>
    <col min="3" max="3" width="16.81640625" style="1" customWidth="1"/>
    <col min="4" max="4" width="22.7265625" style="1" customWidth="1"/>
    <col min="5" max="5" width="30.81640625" style="41" customWidth="1"/>
    <col min="6" max="6" width="26.1796875" style="24" customWidth="1"/>
    <col min="7" max="7" width="26.453125" style="20" customWidth="1"/>
    <col min="8" max="8" width="8.7265625" style="122"/>
  </cols>
  <sheetData>
    <row r="1" spans="1:25">
      <c r="A1" s="57" t="str">
        <f>Notes!A1</f>
        <v>2022-002</v>
      </c>
      <c r="B1" s="19"/>
      <c r="C1" s="18"/>
      <c r="D1" s="18"/>
      <c r="E1" s="39"/>
      <c r="F1" s="7"/>
      <c r="G1" s="69"/>
      <c r="H1" s="69"/>
      <c r="I1" s="4"/>
      <c r="J1" s="3"/>
      <c r="K1" s="121"/>
      <c r="L1" s="147"/>
      <c r="M1" s="121"/>
      <c r="N1" s="3"/>
      <c r="O1" s="3"/>
      <c r="P1" s="3"/>
      <c r="Q1" s="3"/>
      <c r="R1" s="3"/>
      <c r="S1" s="3"/>
      <c r="T1" s="3"/>
      <c r="U1" s="3"/>
      <c r="V1" s="3"/>
      <c r="W1" s="3"/>
      <c r="X1" s="3"/>
      <c r="Y1" s="3"/>
    </row>
    <row r="2" spans="1:25">
      <c r="A2" s="17"/>
      <c r="B2" s="19"/>
      <c r="C2" s="18"/>
      <c r="D2" s="18"/>
      <c r="E2" s="39"/>
      <c r="F2" s="7"/>
      <c r="G2" s="69"/>
      <c r="H2" s="69"/>
      <c r="I2" s="25"/>
      <c r="J2" s="3"/>
      <c r="K2" s="121"/>
      <c r="L2" s="93"/>
      <c r="M2" s="121"/>
      <c r="N2" s="3"/>
      <c r="O2" s="3"/>
      <c r="P2" s="3"/>
      <c r="Q2" s="3"/>
      <c r="R2" s="3"/>
      <c r="S2" s="3"/>
      <c r="T2" s="3"/>
      <c r="U2" s="3"/>
    </row>
    <row r="3" spans="1:25">
      <c r="A3" s="11" t="s">
        <v>10</v>
      </c>
      <c r="B3" s="12" t="s">
        <v>9</v>
      </c>
      <c r="C3" s="4"/>
      <c r="D3" s="4"/>
      <c r="E3" s="39"/>
      <c r="F3" s="7"/>
      <c r="G3" s="69"/>
      <c r="H3" s="69"/>
      <c r="I3" s="25"/>
      <c r="J3" s="3"/>
      <c r="K3" s="121"/>
      <c r="L3" s="93"/>
      <c r="M3" s="121"/>
      <c r="N3" s="3"/>
      <c r="O3" s="3"/>
      <c r="P3" s="3"/>
      <c r="Q3" s="3"/>
      <c r="R3" s="3"/>
      <c r="S3" s="3"/>
      <c r="T3" s="3"/>
      <c r="U3" s="3"/>
    </row>
    <row r="4" spans="1:25">
      <c r="A4" s="17" t="s">
        <v>8</v>
      </c>
      <c r="B4" s="256" t="s">
        <v>278</v>
      </c>
      <c r="C4" s="256" t="s">
        <v>278</v>
      </c>
      <c r="D4" s="256" t="s">
        <v>278</v>
      </c>
      <c r="E4" s="256" t="s">
        <v>278</v>
      </c>
      <c r="F4" s="256" t="s">
        <v>278</v>
      </c>
      <c r="G4" s="256" t="s">
        <v>278</v>
      </c>
      <c r="H4" s="69"/>
      <c r="I4" s="25"/>
      <c r="J4" s="3"/>
      <c r="K4" s="71"/>
      <c r="L4" s="137"/>
      <c r="M4" s="121"/>
      <c r="N4" s="3"/>
      <c r="O4" s="3"/>
      <c r="P4" s="3"/>
      <c r="Q4" s="3"/>
      <c r="R4" s="3"/>
      <c r="S4" s="3"/>
      <c r="T4" s="3"/>
      <c r="U4" s="3"/>
    </row>
    <row r="5" spans="1:25">
      <c r="A5" s="17"/>
      <c r="B5" s="12" t="s">
        <v>79</v>
      </c>
      <c r="C5" s="4"/>
      <c r="D5" s="4"/>
      <c r="E5" s="39"/>
      <c r="F5" s="7"/>
      <c r="G5" s="69"/>
      <c r="H5" s="69"/>
      <c r="I5" s="25"/>
      <c r="J5" s="3"/>
      <c r="K5" s="72"/>
      <c r="L5" s="72"/>
      <c r="M5" s="121"/>
      <c r="N5" s="3"/>
      <c r="O5" s="3"/>
      <c r="P5" s="3"/>
      <c r="Q5" s="3"/>
      <c r="R5" s="3"/>
      <c r="S5" s="3"/>
      <c r="T5" s="3"/>
      <c r="U5" s="3"/>
    </row>
    <row r="6" spans="1:25" ht="17.25" customHeight="1">
      <c r="A6" s="17"/>
      <c r="B6" s="12" t="s">
        <v>104</v>
      </c>
      <c r="C6" s="4"/>
      <c r="D6" s="4"/>
      <c r="E6" s="39"/>
      <c r="F6" s="7"/>
      <c r="G6" s="69"/>
      <c r="H6" s="69"/>
      <c r="I6" s="25"/>
      <c r="J6" s="3"/>
      <c r="K6" s="72"/>
      <c r="L6" s="72"/>
      <c r="M6" s="121"/>
      <c r="N6" s="3"/>
      <c r="O6" s="3"/>
      <c r="P6" s="3"/>
      <c r="Q6" s="3"/>
      <c r="R6" s="3"/>
      <c r="S6" s="3"/>
      <c r="T6" s="3"/>
      <c r="U6" s="3"/>
    </row>
    <row r="7" spans="1:25">
      <c r="A7" s="17"/>
      <c r="B7" s="12" t="s">
        <v>7</v>
      </c>
      <c r="C7" s="4"/>
      <c r="D7" s="4"/>
      <c r="E7" s="39"/>
      <c r="F7" s="7"/>
      <c r="G7" s="69"/>
      <c r="H7" s="69"/>
      <c r="I7" s="25"/>
      <c r="J7" s="3"/>
      <c r="K7" s="71"/>
      <c r="L7" s="72"/>
      <c r="M7" s="121"/>
      <c r="N7" s="3"/>
      <c r="O7" s="3"/>
      <c r="P7" s="3"/>
      <c r="Q7" s="3"/>
      <c r="R7" s="3"/>
      <c r="S7" s="3"/>
      <c r="T7" s="3"/>
      <c r="U7" s="3"/>
    </row>
    <row r="8" spans="1:25">
      <c r="A8" s="12"/>
      <c r="B8" s="12" t="s">
        <v>229</v>
      </c>
      <c r="C8" s="16"/>
      <c r="D8" s="16"/>
      <c r="E8" s="40"/>
      <c r="F8" s="75"/>
      <c r="G8" s="70"/>
      <c r="H8" s="69"/>
      <c r="I8" s="3"/>
      <c r="J8" s="3"/>
      <c r="K8" s="71"/>
      <c r="L8" s="72"/>
      <c r="M8" s="121"/>
      <c r="N8" s="3"/>
      <c r="O8" s="3"/>
      <c r="P8" s="3"/>
      <c r="Q8" s="3"/>
      <c r="R8" s="3"/>
      <c r="S8" s="3"/>
      <c r="T8" s="3"/>
      <c r="U8" s="3"/>
    </row>
    <row r="9" spans="1:25">
      <c r="A9" s="15"/>
      <c r="B9" s="14" t="s">
        <v>63</v>
      </c>
      <c r="C9" s="13"/>
      <c r="D9" s="13"/>
      <c r="E9" s="39"/>
      <c r="F9" s="7"/>
      <c r="G9" s="69"/>
      <c r="H9" s="69"/>
      <c r="I9" s="10"/>
      <c r="J9" s="3"/>
      <c r="K9" s="111"/>
      <c r="L9" s="64"/>
      <c r="M9" s="121"/>
      <c r="N9" s="3"/>
      <c r="O9" s="3"/>
      <c r="P9" s="3"/>
      <c r="Q9" s="3"/>
      <c r="R9" s="3"/>
      <c r="S9" s="3"/>
      <c r="T9" s="3"/>
      <c r="U9" s="3"/>
    </row>
    <row r="10" spans="1:25" ht="15" customHeight="1">
      <c r="A10" s="12"/>
      <c r="B10" s="245" t="s">
        <v>272</v>
      </c>
      <c r="C10" s="245"/>
      <c r="D10" s="245"/>
      <c r="E10" s="245"/>
      <c r="F10" s="245"/>
      <c r="G10" s="245"/>
      <c r="H10" s="217"/>
      <c r="I10" s="217"/>
      <c r="J10" s="217"/>
      <c r="K10" s="217"/>
      <c r="L10" s="217"/>
      <c r="M10" s="217"/>
      <c r="N10" s="217"/>
      <c r="O10" s="217"/>
      <c r="P10" s="3"/>
      <c r="Q10" s="3"/>
      <c r="R10" s="3"/>
      <c r="S10" s="3"/>
      <c r="T10" s="3"/>
      <c r="U10" s="3"/>
      <c r="V10" s="3"/>
      <c r="W10" s="3"/>
      <c r="X10" s="3"/>
      <c r="Y10" s="3"/>
    </row>
    <row r="11" spans="1:25" ht="14.5" customHeight="1">
      <c r="A11" s="12"/>
      <c r="B11" s="245"/>
      <c r="C11" s="245"/>
      <c r="D11" s="245"/>
      <c r="E11" s="245"/>
      <c r="F11" s="245"/>
      <c r="G11" s="245"/>
      <c r="H11" s="217"/>
      <c r="I11" s="217"/>
      <c r="J11" s="217"/>
      <c r="K11" s="217"/>
      <c r="L11" s="217"/>
      <c r="M11" s="217"/>
      <c r="N11" s="217"/>
      <c r="O11" s="217"/>
      <c r="P11" s="3"/>
      <c r="Q11" s="3"/>
      <c r="R11" s="3"/>
      <c r="S11" s="3"/>
      <c r="T11" s="3"/>
      <c r="U11" s="3"/>
      <c r="V11" s="3"/>
      <c r="W11" s="3"/>
      <c r="X11" s="3"/>
      <c r="Y11" s="3"/>
    </row>
    <row r="12" spans="1:25" s="119" customFormat="1" ht="14.5" customHeight="1">
      <c r="A12" s="12"/>
      <c r="B12" s="245"/>
      <c r="C12" s="245"/>
      <c r="D12" s="245"/>
      <c r="E12" s="245"/>
      <c r="F12" s="245"/>
      <c r="G12" s="245"/>
      <c r="H12" s="217"/>
      <c r="I12" s="217"/>
      <c r="J12" s="217"/>
      <c r="K12" s="217"/>
      <c r="L12" s="217"/>
      <c r="M12" s="217"/>
      <c r="N12" s="217"/>
      <c r="O12" s="217"/>
      <c r="P12" s="121"/>
      <c r="Q12" s="121"/>
      <c r="R12" s="121"/>
      <c r="S12" s="121"/>
      <c r="T12" s="121"/>
      <c r="U12" s="121"/>
      <c r="V12" s="121"/>
      <c r="W12" s="121"/>
      <c r="X12" s="121"/>
      <c r="Y12" s="121"/>
    </row>
    <row r="13" spans="1:25" s="119" customFormat="1" ht="14.5" customHeight="1">
      <c r="A13" s="12"/>
      <c r="B13" s="245"/>
      <c r="C13" s="245"/>
      <c r="D13" s="245"/>
      <c r="E13" s="245"/>
      <c r="F13" s="245"/>
      <c r="G13" s="245"/>
      <c r="H13" s="217"/>
      <c r="I13" s="217"/>
      <c r="J13" s="217"/>
      <c r="K13" s="217"/>
      <c r="L13" s="217"/>
      <c r="M13" s="217"/>
      <c r="N13" s="217"/>
      <c r="O13" s="217"/>
      <c r="P13" s="121"/>
      <c r="Q13" s="121"/>
      <c r="R13" s="121"/>
      <c r="S13" s="121"/>
      <c r="T13" s="121"/>
      <c r="U13" s="121"/>
      <c r="V13" s="121"/>
      <c r="W13" s="121"/>
      <c r="X13" s="121"/>
      <c r="Y13" s="121"/>
    </row>
    <row r="14" spans="1:25">
      <c r="A14" s="12"/>
      <c r="B14" s="245"/>
      <c r="C14" s="245"/>
      <c r="D14" s="245"/>
      <c r="E14" s="245"/>
      <c r="F14" s="245"/>
      <c r="G14" s="245"/>
      <c r="H14" s="217"/>
      <c r="I14" s="217"/>
      <c r="J14" s="217"/>
      <c r="K14" s="217"/>
      <c r="L14" s="217"/>
      <c r="M14" s="217"/>
      <c r="N14" s="217"/>
      <c r="O14" s="217"/>
      <c r="P14" s="3"/>
      <c r="Q14" s="3"/>
      <c r="R14" s="3"/>
      <c r="S14" s="3"/>
      <c r="T14" s="3"/>
      <c r="U14" s="3"/>
      <c r="V14" s="3"/>
      <c r="W14" s="3"/>
      <c r="X14" s="3"/>
      <c r="Y14" s="3"/>
    </row>
    <row r="15" spans="1:25" s="119" customFormat="1">
      <c r="A15" s="12"/>
      <c r="B15" s="245" t="str">
        <f>Notes!A33</f>
        <v>Minimum Limit of Detection (MLD): The stated MLD for the Turner Trilogy 7200-000 fluorometer is 0.025 ug/L for CHL-a. Samples below the MLD are reported as is and assigned Quality Flag 2 with an associated comment. Where samples are taken in duplicate and the average of the two is &lt;MLD, the average value is reported as is and assigned Quality Flag 2 with an associated comment. Samples &lt;MLD are excluded from precision (CV%) calculations.</v>
      </c>
      <c r="C15" s="245"/>
      <c r="D15" s="245"/>
      <c r="E15" s="245"/>
      <c r="F15" s="245"/>
      <c r="G15" s="245"/>
      <c r="H15" s="217"/>
      <c r="I15" s="217"/>
      <c r="J15" s="217"/>
      <c r="K15" s="217"/>
      <c r="L15" s="217"/>
      <c r="M15" s="217"/>
      <c r="N15" s="217"/>
      <c r="O15" s="217"/>
      <c r="P15" s="121"/>
      <c r="Q15" s="121"/>
      <c r="R15" s="121"/>
      <c r="S15" s="121"/>
      <c r="T15" s="121"/>
      <c r="U15" s="121"/>
      <c r="V15" s="121"/>
      <c r="W15" s="121"/>
      <c r="X15" s="121"/>
      <c r="Y15" s="121"/>
    </row>
    <row r="16" spans="1:25" s="119" customFormat="1">
      <c r="A16" s="12"/>
      <c r="B16" s="245"/>
      <c r="C16" s="245"/>
      <c r="D16" s="245"/>
      <c r="E16" s="245"/>
      <c r="F16" s="245"/>
      <c r="G16" s="245"/>
      <c r="H16" s="242"/>
      <c r="I16" s="242"/>
      <c r="J16" s="242"/>
      <c r="K16" s="242"/>
      <c r="L16" s="242"/>
      <c r="M16" s="242"/>
      <c r="N16" s="242"/>
      <c r="O16" s="242"/>
      <c r="P16" s="121"/>
      <c r="Q16" s="121"/>
      <c r="R16" s="121"/>
      <c r="S16" s="121"/>
      <c r="T16" s="121"/>
      <c r="U16" s="121"/>
      <c r="V16" s="121"/>
      <c r="W16" s="121"/>
      <c r="X16" s="121"/>
      <c r="Y16" s="121"/>
    </row>
    <row r="17" spans="1:25" s="119" customFormat="1">
      <c r="A17" s="12"/>
      <c r="B17" s="245"/>
      <c r="C17" s="245"/>
      <c r="D17" s="245"/>
      <c r="E17" s="245"/>
      <c r="F17" s="245"/>
      <c r="G17" s="245"/>
      <c r="H17" s="217"/>
      <c r="I17" s="217"/>
      <c r="J17" s="217"/>
      <c r="K17" s="217"/>
      <c r="L17" s="217"/>
      <c r="M17" s="217"/>
      <c r="N17" s="217"/>
      <c r="O17" s="217"/>
      <c r="P17" s="121"/>
      <c r="Q17" s="121"/>
      <c r="R17" s="121"/>
      <c r="S17" s="121"/>
      <c r="T17" s="121"/>
      <c r="U17" s="121"/>
      <c r="V17" s="121"/>
      <c r="W17" s="121"/>
      <c r="X17" s="121"/>
      <c r="Y17" s="121"/>
    </row>
    <row r="18" spans="1:25" ht="15" customHeight="1">
      <c r="A18" s="11"/>
      <c r="B18" s="6"/>
      <c r="C18" s="5"/>
      <c r="D18" s="5"/>
      <c r="E18" s="39"/>
      <c r="F18" s="7"/>
      <c r="G18" s="69"/>
      <c r="H18" s="69"/>
      <c r="I18" s="7"/>
      <c r="J18" s="3"/>
      <c r="K18" s="8"/>
      <c r="L18" s="11"/>
      <c r="M18" s="3"/>
      <c r="N18" s="3"/>
      <c r="O18" s="3"/>
      <c r="P18" s="3"/>
      <c r="Q18" s="3"/>
      <c r="R18" s="3"/>
      <c r="S18" s="3"/>
      <c r="T18" s="3"/>
      <c r="U18" s="3"/>
      <c r="V18" s="3"/>
      <c r="W18" s="3"/>
      <c r="X18" s="3"/>
      <c r="Y18" s="3"/>
    </row>
    <row r="19" spans="1:25" s="1" customFormat="1">
      <c r="A19" s="87" t="s">
        <v>6</v>
      </c>
      <c r="B19" s="87" t="s">
        <v>5</v>
      </c>
      <c r="C19" s="207" t="s">
        <v>16</v>
      </c>
      <c r="D19" s="89" t="s">
        <v>4</v>
      </c>
      <c r="E19" s="90" t="s">
        <v>3</v>
      </c>
      <c r="F19" s="87" t="s">
        <v>2</v>
      </c>
      <c r="G19" s="91" t="s">
        <v>1</v>
      </c>
      <c r="H19" s="239" t="s">
        <v>0</v>
      </c>
      <c r="I19" s="9"/>
      <c r="J19" s="8"/>
      <c r="K19" s="8"/>
      <c r="L19" s="11"/>
      <c r="M19" s="4"/>
      <c r="N19" s="4"/>
      <c r="O19" s="4"/>
      <c r="P19" s="4"/>
      <c r="Q19" s="4"/>
      <c r="R19" s="4"/>
      <c r="S19" s="4"/>
      <c r="T19" s="4"/>
      <c r="U19" s="4"/>
      <c r="V19" s="4"/>
      <c r="W19" s="4"/>
      <c r="X19" s="4"/>
      <c r="Y19" s="4"/>
    </row>
    <row r="20" spans="1:25">
      <c r="A20" s="83" t="str">
        <f>$A$1</f>
        <v>2022-002</v>
      </c>
      <c r="B20" s="88">
        <f>VLOOKUP(D20,'Master List'!A4:G1633,7,FALSE)</f>
        <v>8</v>
      </c>
      <c r="C20" s="81" t="str">
        <f>VLOOKUP(D20,'Master List'!$A$4:$G$1633,3,FALSE)</f>
        <v>50-135</v>
      </c>
      <c r="D20" s="235">
        <v>4</v>
      </c>
      <c r="E20" s="132">
        <v>1.5479292328920573E-2</v>
      </c>
      <c r="F20" s="226">
        <v>26</v>
      </c>
      <c r="G20" s="132">
        <v>5.3007683018283361E-2</v>
      </c>
      <c r="H20" s="65" t="s">
        <v>233</v>
      </c>
    </row>
    <row r="21" spans="1:25">
      <c r="A21" s="83" t="str">
        <f t="shared" ref="A21:A85" si="0">$A$1</f>
        <v>2022-002</v>
      </c>
      <c r="B21" s="88">
        <f>VLOOKUP(D21,'Master List'!A5:G1634,7,FALSE)</f>
        <v>8</v>
      </c>
      <c r="C21" s="81" t="str">
        <f>VLOOKUP(D21,'Master List'!$A$4:$G$1633,3,FALSE)</f>
        <v>50-135</v>
      </c>
      <c r="D21" s="235">
        <v>6</v>
      </c>
      <c r="E21" s="132">
        <v>0.34011650792544873</v>
      </c>
      <c r="F21" s="226">
        <v>6</v>
      </c>
      <c r="G21" s="132">
        <v>0.15867110317264332</v>
      </c>
      <c r="I21" s="68"/>
    </row>
    <row r="22" spans="1:25" s="119" customFormat="1">
      <c r="A22" s="83" t="str">
        <f t="shared" si="0"/>
        <v>2022-002</v>
      </c>
      <c r="B22" s="88">
        <f>VLOOKUP(D22,'Master List'!A6:G1635,7,FALSE)</f>
        <v>8</v>
      </c>
      <c r="C22" s="81" t="str">
        <f>VLOOKUP(D22,'Master List'!$A$4:$G$1633,3,FALSE)</f>
        <v>50-135</v>
      </c>
      <c r="D22" s="235">
        <v>9</v>
      </c>
      <c r="E22" s="132">
        <v>-99</v>
      </c>
      <c r="F22" s="226">
        <v>1</v>
      </c>
      <c r="G22" s="132">
        <v>-99</v>
      </c>
      <c r="H22" s="122" t="s">
        <v>268</v>
      </c>
      <c r="I22" s="68"/>
    </row>
    <row r="23" spans="1:25">
      <c r="A23" s="83" t="str">
        <f t="shared" si="0"/>
        <v>2022-002</v>
      </c>
      <c r="B23" s="88">
        <f>VLOOKUP(D23,'Master List'!A6:G1635,7,FALSE)</f>
        <v>8</v>
      </c>
      <c r="C23" s="81" t="str">
        <f>VLOOKUP(D23,'Master List'!$A$4:$G$1633,3,FALSE)</f>
        <v>50-135</v>
      </c>
      <c r="D23" s="235">
        <v>12</v>
      </c>
      <c r="E23" s="132">
        <v>0.38544877972989172</v>
      </c>
      <c r="F23" s="226">
        <v>6</v>
      </c>
      <c r="G23" s="132">
        <v>0.13023511768770685</v>
      </c>
      <c r="H23" s="240"/>
      <c r="I23" s="92"/>
      <c r="J23" s="68"/>
    </row>
    <row r="24" spans="1:25">
      <c r="A24" s="83" t="str">
        <f t="shared" si="0"/>
        <v>2022-002</v>
      </c>
      <c r="B24" s="88">
        <f>VLOOKUP(D24,'Master List'!A7:G1636,7,FALSE)</f>
        <v>8</v>
      </c>
      <c r="C24" s="81" t="str">
        <f>VLOOKUP(D24,'Master List'!$A$4:$G$1633,3,FALSE)</f>
        <v>50-135</v>
      </c>
      <c r="D24" s="235">
        <v>14</v>
      </c>
      <c r="E24" s="123">
        <v>0.35692629744485638</v>
      </c>
      <c r="F24" s="24">
        <v>2</v>
      </c>
      <c r="G24" s="123">
        <v>0.11681006110172244</v>
      </c>
      <c r="H24" s="122" t="s">
        <v>269</v>
      </c>
    </row>
    <row r="25" spans="1:25">
      <c r="A25" s="83" t="str">
        <f t="shared" si="0"/>
        <v>2022-002</v>
      </c>
      <c r="B25" s="88">
        <f>VLOOKUP(D25,'Master List'!A8:G1637,7,FALSE)</f>
        <v>8</v>
      </c>
      <c r="C25" s="81" t="str">
        <f>VLOOKUP(D25,'Master List'!$A$4:$G$1633,3,FALSE)</f>
        <v>50-135</v>
      </c>
      <c r="D25" s="120">
        <v>20</v>
      </c>
      <c r="E25" s="123">
        <v>0.37411782953462946</v>
      </c>
      <c r="F25" s="24">
        <v>6</v>
      </c>
      <c r="G25" s="123">
        <v>0.1109897564641205</v>
      </c>
      <c r="I25" s="92"/>
      <c r="J25" s="68"/>
    </row>
    <row r="26" spans="1:25">
      <c r="A26" s="83" t="str">
        <f t="shared" si="0"/>
        <v>2022-002</v>
      </c>
      <c r="B26" s="88">
        <f>VLOOKUP(D26,'Master List'!A9:G1638,7,FALSE)</f>
        <v>12</v>
      </c>
      <c r="C26" s="81" t="str">
        <f>VLOOKUP(D26,'Master List'!$A$4:$G$1633,3,FALSE)</f>
        <v>49-135</v>
      </c>
      <c r="D26" s="235">
        <v>24</v>
      </c>
      <c r="E26" s="132">
        <v>1.2908473358269256E-2</v>
      </c>
      <c r="F26" s="226">
        <v>26</v>
      </c>
      <c r="G26" s="132">
        <v>5.7730265717240603E-2</v>
      </c>
      <c r="H26" s="65" t="s">
        <v>233</v>
      </c>
      <c r="I26" s="92"/>
      <c r="J26" s="68"/>
    </row>
    <row r="27" spans="1:25">
      <c r="A27" s="83" t="str">
        <f t="shared" si="0"/>
        <v>2022-002</v>
      </c>
      <c r="B27" s="88">
        <f>VLOOKUP(D27,'Master List'!A10:G1639,7,FALSE)</f>
        <v>12</v>
      </c>
      <c r="C27" s="81" t="str">
        <f>VLOOKUP(D27,'Master List'!$A$4:$G$1633,3,FALSE)</f>
        <v>49-135</v>
      </c>
      <c r="D27" s="235">
        <v>28</v>
      </c>
      <c r="E27" s="132">
        <v>0.14639404022352337</v>
      </c>
      <c r="F27" s="226">
        <v>6</v>
      </c>
      <c r="G27" s="132">
        <v>0.1145120651024141</v>
      </c>
      <c r="H27" s="240"/>
    </row>
    <row r="28" spans="1:25">
      <c r="A28" s="83" t="str">
        <f t="shared" si="0"/>
        <v>2022-002</v>
      </c>
      <c r="B28" s="88">
        <f>VLOOKUP(D28,'Master List'!A11:G1640,7,FALSE)</f>
        <v>12</v>
      </c>
      <c r="C28" s="81" t="str">
        <f>VLOOKUP(D28,'Master List'!$A$4:$G$1633,3,FALSE)</f>
        <v>49-135</v>
      </c>
      <c r="D28" s="235">
        <v>29</v>
      </c>
      <c r="E28" s="132">
        <v>0.31284473125570578</v>
      </c>
      <c r="F28" s="226">
        <v>6</v>
      </c>
      <c r="G28" s="132">
        <v>0.12518718429437642</v>
      </c>
    </row>
    <row r="29" spans="1:25">
      <c r="A29" s="83" t="str">
        <f t="shared" si="0"/>
        <v>2022-002</v>
      </c>
      <c r="B29" s="88">
        <f>VLOOKUP(D29,'Master List'!A12:G1641,7,FALSE)</f>
        <v>12</v>
      </c>
      <c r="C29" s="81" t="str">
        <f>VLOOKUP(D29,'Master List'!$A$4:$G$1633,3,FALSE)</f>
        <v>49-135</v>
      </c>
      <c r="D29" s="235">
        <v>32</v>
      </c>
      <c r="E29" s="132">
        <v>0.31540216054421838</v>
      </c>
      <c r="F29" s="206">
        <v>36</v>
      </c>
      <c r="G29" s="132">
        <v>0.12403155853869272</v>
      </c>
      <c r="H29" s="65" t="s">
        <v>238</v>
      </c>
    </row>
    <row r="30" spans="1:25">
      <c r="A30" s="83" t="str">
        <f t="shared" si="0"/>
        <v>2022-002</v>
      </c>
      <c r="B30" s="88">
        <f>VLOOKUP(D30,'Master List'!A13:G1642,7,FALSE)</f>
        <v>12</v>
      </c>
      <c r="C30" s="81" t="str">
        <f>VLOOKUP(D30,'Master List'!$A$4:$G$1633,3,FALSE)</f>
        <v>49-135</v>
      </c>
      <c r="D30" s="235">
        <v>34</v>
      </c>
      <c r="E30" s="132">
        <v>0.33157361746206937</v>
      </c>
      <c r="F30" s="206">
        <v>6</v>
      </c>
      <c r="G30" s="132">
        <v>0.15157679541934505</v>
      </c>
    </row>
    <row r="31" spans="1:25">
      <c r="A31" s="83" t="str">
        <f t="shared" si="0"/>
        <v>2022-002</v>
      </c>
      <c r="B31" s="88">
        <f>VLOOKUP(D31,'Master List'!A14:G1643,7,FALSE)</f>
        <v>12</v>
      </c>
      <c r="C31" s="81" t="str">
        <f>VLOOKUP(D31,'Master List'!$A$4:$G$1633,3,FALSE)</f>
        <v>49-135</v>
      </c>
      <c r="D31" s="235">
        <v>40</v>
      </c>
      <c r="E31" s="132">
        <v>0.32681262905585584</v>
      </c>
      <c r="F31" s="206">
        <v>6</v>
      </c>
      <c r="G31" s="132">
        <v>0.1530715252590289</v>
      </c>
    </row>
    <row r="32" spans="1:25">
      <c r="A32" s="83" t="str">
        <f t="shared" si="0"/>
        <v>2022-002</v>
      </c>
      <c r="B32" s="88">
        <f>VLOOKUP(D32,'Master List'!A15:G1644,7,FALSE)</f>
        <v>16</v>
      </c>
      <c r="C32" s="81" t="str">
        <f>VLOOKUP(D32,'Master List'!$A$4:$G$1633,3,FALSE)</f>
        <v>48-135</v>
      </c>
      <c r="D32" s="235">
        <v>44</v>
      </c>
      <c r="E32" s="132">
        <v>1.0270159459285591E-2</v>
      </c>
      <c r="F32" s="226">
        <v>26</v>
      </c>
      <c r="G32" s="132">
        <v>7.3281274549990699E-2</v>
      </c>
      <c r="H32" s="65" t="s">
        <v>233</v>
      </c>
    </row>
    <row r="33" spans="1:8">
      <c r="A33" s="83" t="str">
        <f t="shared" si="0"/>
        <v>2022-002</v>
      </c>
      <c r="B33" s="88">
        <f>VLOOKUP(D33,'Master List'!A16:G1645,7,FALSE)</f>
        <v>16</v>
      </c>
      <c r="C33" s="81" t="str">
        <f>VLOOKUP(D33,'Master List'!$A$4:$G$1633,3,FALSE)</f>
        <v>48-135</v>
      </c>
      <c r="D33" s="235">
        <v>48</v>
      </c>
      <c r="E33" s="203">
        <v>0.22443566594016148</v>
      </c>
      <c r="F33" s="206">
        <v>2</v>
      </c>
      <c r="G33" s="132">
        <v>0.21602546340115419</v>
      </c>
      <c r="H33" s="31" t="s">
        <v>243</v>
      </c>
    </row>
    <row r="34" spans="1:8">
      <c r="A34" s="83" t="str">
        <f t="shared" si="0"/>
        <v>2022-002</v>
      </c>
      <c r="B34" s="88">
        <f>VLOOKUP(D34,'Master List'!A17:G1646,7,FALSE)</f>
        <v>16</v>
      </c>
      <c r="C34" s="81" t="str">
        <f>VLOOKUP(D34,'Master List'!$A$4:$G$1633,3,FALSE)</f>
        <v>48-135</v>
      </c>
      <c r="D34" s="235">
        <v>49</v>
      </c>
      <c r="E34" s="132">
        <v>0.3860933972842886</v>
      </c>
      <c r="F34" s="206">
        <v>6</v>
      </c>
      <c r="G34" s="132">
        <v>0.18665718959928035</v>
      </c>
    </row>
    <row r="35" spans="1:8">
      <c r="A35" s="83" t="str">
        <f t="shared" si="0"/>
        <v>2022-002</v>
      </c>
      <c r="B35" s="88">
        <f>VLOOKUP(D35,'Master List'!A18:G1647,7,FALSE)</f>
        <v>16</v>
      </c>
      <c r="C35" s="81" t="str">
        <f>VLOOKUP(D35,'Master List'!$A$4:$G$1633,3,FALSE)</f>
        <v>48-135</v>
      </c>
      <c r="D35" s="235">
        <v>52</v>
      </c>
      <c r="E35" s="132">
        <v>0.37287040302516705</v>
      </c>
      <c r="F35" s="206">
        <v>6</v>
      </c>
      <c r="G35" s="132">
        <v>0.15786997225743146</v>
      </c>
    </row>
    <row r="36" spans="1:8">
      <c r="A36" s="83" t="str">
        <f t="shared" si="0"/>
        <v>2022-002</v>
      </c>
      <c r="B36" s="88">
        <f>VLOOKUP(D36,'Master List'!A19:G1648,7,FALSE)</f>
        <v>16</v>
      </c>
      <c r="C36" s="81" t="str">
        <f>VLOOKUP(D36,'Master List'!$A$4:$G$1633,3,FALSE)</f>
        <v>48-135</v>
      </c>
      <c r="D36" s="235">
        <v>54</v>
      </c>
      <c r="E36" s="132">
        <v>0.37247117189037526</v>
      </c>
      <c r="F36" s="206">
        <v>6</v>
      </c>
      <c r="G36" s="132">
        <v>0.19025389076501928</v>
      </c>
    </row>
    <row r="37" spans="1:8">
      <c r="A37" s="83" t="str">
        <f t="shared" si="0"/>
        <v>2022-002</v>
      </c>
      <c r="B37" s="88">
        <f>VLOOKUP(D37,'Master List'!A20:G1649,7,FALSE)</f>
        <v>16</v>
      </c>
      <c r="C37" s="81" t="str">
        <f>VLOOKUP(D37,'Master List'!$A$4:$G$1633,3,FALSE)</f>
        <v>48-135</v>
      </c>
      <c r="D37" s="235">
        <v>60</v>
      </c>
      <c r="E37" s="132">
        <v>0.37163418012728999</v>
      </c>
      <c r="F37" s="206">
        <v>6</v>
      </c>
      <c r="G37" s="132">
        <v>0.14825418897149273</v>
      </c>
    </row>
    <row r="38" spans="1:8">
      <c r="A38" s="83" t="str">
        <f t="shared" si="0"/>
        <v>2022-002</v>
      </c>
      <c r="B38" s="88">
        <f>VLOOKUP(D38,'Master List'!A21:G1650,7,FALSE)</f>
        <v>20</v>
      </c>
      <c r="C38" s="81" t="str">
        <f>VLOOKUP(D38,'Master List'!$A$4:$G$1633,3,FALSE)</f>
        <v>47-135</v>
      </c>
      <c r="D38" s="235">
        <v>64</v>
      </c>
      <c r="E38" s="132">
        <v>1.6278574374961705E-2</v>
      </c>
      <c r="F38" s="226">
        <v>26</v>
      </c>
      <c r="G38" s="132">
        <v>5.6175326575860648E-2</v>
      </c>
      <c r="H38" s="65" t="s">
        <v>233</v>
      </c>
    </row>
    <row r="39" spans="1:8">
      <c r="A39" s="83" t="str">
        <f t="shared" si="0"/>
        <v>2022-002</v>
      </c>
      <c r="B39" s="88">
        <f>VLOOKUP(D39,'Master List'!A22:G1651,7,FALSE)</f>
        <v>20</v>
      </c>
      <c r="C39" s="81" t="str">
        <f>VLOOKUP(D39,'Master List'!$A$4:$G$1633,3,FALSE)</f>
        <v>47-135</v>
      </c>
      <c r="D39" s="235">
        <v>68</v>
      </c>
      <c r="E39" s="132">
        <v>0.1963419267423871</v>
      </c>
      <c r="F39" s="206">
        <v>6</v>
      </c>
      <c r="G39" s="132">
        <v>0.12595364331083655</v>
      </c>
    </row>
    <row r="40" spans="1:8">
      <c r="A40" s="83" t="str">
        <f t="shared" si="0"/>
        <v>2022-002</v>
      </c>
      <c r="B40" s="88">
        <f>VLOOKUP(D40,'Master List'!A23:G1652,7,FALSE)</f>
        <v>20</v>
      </c>
      <c r="C40" s="81" t="str">
        <f>VLOOKUP(D40,'Master List'!$A$4:$G$1633,3,FALSE)</f>
        <v>47-135</v>
      </c>
      <c r="D40" s="235">
        <v>69</v>
      </c>
      <c r="E40" s="132">
        <v>0.34756909570038219</v>
      </c>
      <c r="F40" s="206">
        <v>6</v>
      </c>
      <c r="G40" s="132">
        <v>0.26647671725820327</v>
      </c>
    </row>
    <row r="41" spans="1:8">
      <c r="A41" s="83" t="str">
        <f t="shared" si="0"/>
        <v>2022-002</v>
      </c>
      <c r="B41" s="88">
        <f>VLOOKUP(D41,'Master List'!A24:G1653,7,FALSE)</f>
        <v>20</v>
      </c>
      <c r="C41" s="81" t="str">
        <f>VLOOKUP(D41,'Master List'!$A$4:$G$1633,3,FALSE)</f>
        <v>47-135</v>
      </c>
      <c r="D41" s="235">
        <v>72</v>
      </c>
      <c r="E41" s="132">
        <v>0.37376368610499888</v>
      </c>
      <c r="F41" s="206">
        <v>6</v>
      </c>
      <c r="G41" s="132">
        <v>0.18459353325855368</v>
      </c>
    </row>
    <row r="42" spans="1:8">
      <c r="A42" s="83" t="str">
        <f t="shared" si="0"/>
        <v>2022-002</v>
      </c>
      <c r="B42" s="88">
        <f>VLOOKUP(D42,'Master List'!A25:G1654,7,FALSE)</f>
        <v>20</v>
      </c>
      <c r="C42" s="81" t="str">
        <f>VLOOKUP(D42,'Master List'!$A$4:$G$1633,3,FALSE)</f>
        <v>47-135</v>
      </c>
      <c r="D42" s="235">
        <v>74</v>
      </c>
      <c r="E42" s="132">
        <v>0.35813683401373231</v>
      </c>
      <c r="F42" s="206">
        <v>6</v>
      </c>
      <c r="G42" s="132">
        <v>0.16249750488199127</v>
      </c>
    </row>
    <row r="43" spans="1:8">
      <c r="A43" s="83" t="str">
        <f t="shared" si="0"/>
        <v>2022-002</v>
      </c>
      <c r="B43" s="88">
        <f>VLOOKUP(D43,'Master List'!A26:G1655,7,FALSE)</f>
        <v>20</v>
      </c>
      <c r="C43" s="81" t="str">
        <f>VLOOKUP(D43,'Master List'!$A$4:$G$1633,3,FALSE)</f>
        <v>47-135</v>
      </c>
      <c r="D43" s="235">
        <v>80</v>
      </c>
      <c r="E43" s="132">
        <v>0.3457314301415354</v>
      </c>
      <c r="F43" s="206">
        <v>6</v>
      </c>
      <c r="G43" s="132">
        <v>0.14327782670830003</v>
      </c>
    </row>
    <row r="44" spans="1:8">
      <c r="A44" s="83" t="str">
        <f t="shared" si="0"/>
        <v>2022-002</v>
      </c>
      <c r="B44" s="88">
        <f>VLOOKUP(D44,'Master List'!A27:G1656,7,FALSE)</f>
        <v>24</v>
      </c>
      <c r="C44" s="81" t="str">
        <f>VLOOKUP(D44,'Master List'!$A$4:$G$1633,3,FALSE)</f>
        <v>47-138</v>
      </c>
      <c r="D44" s="235">
        <v>84</v>
      </c>
      <c r="E44" s="132">
        <v>1.7767015162922766E-2</v>
      </c>
      <c r="F44" s="226">
        <v>26</v>
      </c>
      <c r="G44" s="132">
        <v>5.1381427423985118E-2</v>
      </c>
      <c r="H44" s="65" t="s">
        <v>233</v>
      </c>
    </row>
    <row r="45" spans="1:8">
      <c r="A45" s="83" t="str">
        <f t="shared" si="0"/>
        <v>2022-002</v>
      </c>
      <c r="B45" s="88">
        <f>VLOOKUP(D45,'Master List'!A28:G1657,7,FALSE)</f>
        <v>24</v>
      </c>
      <c r="C45" s="81" t="str">
        <f>VLOOKUP(D45,'Master List'!$A$4:$G$1633,3,FALSE)</f>
        <v>47-138</v>
      </c>
      <c r="D45" s="235">
        <v>88</v>
      </c>
      <c r="E45" s="132">
        <v>9.169937475704229E-2</v>
      </c>
      <c r="F45" s="206">
        <v>6</v>
      </c>
      <c r="G45" s="132">
        <v>9.0406922298911632E-2</v>
      </c>
    </row>
    <row r="46" spans="1:8">
      <c r="A46" s="83" t="str">
        <f t="shared" si="0"/>
        <v>2022-002</v>
      </c>
      <c r="B46" s="88">
        <f>VLOOKUP(D46,'Master List'!A29:G1658,7,FALSE)</f>
        <v>24</v>
      </c>
      <c r="C46" s="81" t="str">
        <f>VLOOKUP(D46,'Master List'!$A$4:$G$1633,3,FALSE)</f>
        <v>47-138</v>
      </c>
      <c r="D46" s="235">
        <v>89</v>
      </c>
      <c r="E46" s="133">
        <v>0.13118991952549625</v>
      </c>
      <c r="F46" s="120">
        <v>2</v>
      </c>
      <c r="G46" s="133">
        <v>0.12521337314634579</v>
      </c>
      <c r="H46" s="31" t="s">
        <v>242</v>
      </c>
    </row>
    <row r="47" spans="1:8">
      <c r="A47" s="83" t="str">
        <f t="shared" si="0"/>
        <v>2022-002</v>
      </c>
      <c r="B47" s="88">
        <f>VLOOKUP(D47,'Master List'!A30:G1659,7,FALSE)</f>
        <v>24</v>
      </c>
      <c r="C47" s="81" t="str">
        <f>VLOOKUP(D47,'Master List'!$A$4:$G$1633,3,FALSE)</f>
        <v>47-138</v>
      </c>
      <c r="D47" s="235">
        <v>92</v>
      </c>
      <c r="E47" s="132">
        <v>0.44670958136195327</v>
      </c>
      <c r="F47" s="206">
        <v>6</v>
      </c>
      <c r="G47" s="132">
        <v>0.19404490791661583</v>
      </c>
    </row>
    <row r="48" spans="1:8">
      <c r="A48" s="83" t="str">
        <f t="shared" si="0"/>
        <v>2022-002</v>
      </c>
      <c r="B48" s="88">
        <f>VLOOKUP(D48,'Master List'!A31:G1660,7,FALSE)</f>
        <v>24</v>
      </c>
      <c r="C48" s="81" t="str">
        <f>VLOOKUP(D48,'Master List'!$A$4:$G$1633,3,FALSE)</f>
        <v>47-138</v>
      </c>
      <c r="D48" s="235">
        <v>94</v>
      </c>
      <c r="E48" s="132">
        <v>0.42970905718677244</v>
      </c>
      <c r="F48" s="120">
        <v>36</v>
      </c>
      <c r="G48" s="132">
        <v>0.19233327970900047</v>
      </c>
      <c r="H48" s="122" t="s">
        <v>238</v>
      </c>
    </row>
    <row r="49" spans="1:8">
      <c r="A49" s="83" t="str">
        <f t="shared" si="0"/>
        <v>2022-002</v>
      </c>
      <c r="B49" s="88">
        <f>VLOOKUP(D49,'Master List'!A32:G1661,7,FALSE)</f>
        <v>24</v>
      </c>
      <c r="C49" s="81" t="str">
        <f>VLOOKUP(D49,'Master List'!$A$4:$G$1633,3,FALSE)</f>
        <v>47-138</v>
      </c>
      <c r="D49" s="235">
        <v>100</v>
      </c>
      <c r="E49" s="132">
        <v>0.48335058316421331</v>
      </c>
      <c r="F49" s="206">
        <v>6</v>
      </c>
      <c r="G49" s="132">
        <v>0.19969602763544114</v>
      </c>
    </row>
    <row r="50" spans="1:8">
      <c r="A50" s="83" t="str">
        <f t="shared" si="0"/>
        <v>2022-002</v>
      </c>
      <c r="B50" s="88">
        <f>VLOOKUP(D50,'Master List'!A33:G1662,7,FALSE)</f>
        <v>28</v>
      </c>
      <c r="C50" s="81" t="str">
        <f>VLOOKUP(D50,'Master List'!$A$4:$G$1633,3,FALSE)</f>
        <v>48-138</v>
      </c>
      <c r="D50" s="235">
        <v>104</v>
      </c>
      <c r="E50" s="132">
        <v>1.3977188600001534E-2</v>
      </c>
      <c r="F50" s="226">
        <v>26</v>
      </c>
      <c r="G50" s="132">
        <v>4.4293662306593838E-2</v>
      </c>
      <c r="H50" s="65" t="s">
        <v>233</v>
      </c>
    </row>
    <row r="51" spans="1:8">
      <c r="A51" s="83" t="str">
        <f t="shared" si="0"/>
        <v>2022-002</v>
      </c>
      <c r="B51" s="88">
        <f>VLOOKUP(D51,'Master List'!A34:G1663,7,FALSE)</f>
        <v>28</v>
      </c>
      <c r="C51" s="81" t="str">
        <f>VLOOKUP(D51,'Master List'!$A$4:$G$1633,3,FALSE)</f>
        <v>48-138</v>
      </c>
      <c r="D51" s="235">
        <v>108</v>
      </c>
      <c r="E51" s="132">
        <v>0.12865462420133567</v>
      </c>
      <c r="F51" s="206">
        <v>6</v>
      </c>
      <c r="G51" s="132">
        <v>0.11525660848831884</v>
      </c>
    </row>
    <row r="52" spans="1:8">
      <c r="A52" s="83" t="str">
        <f t="shared" si="0"/>
        <v>2022-002</v>
      </c>
      <c r="B52" s="88">
        <f>VLOOKUP(D52,'Master List'!A35:G1664,7,FALSE)</f>
        <v>28</v>
      </c>
      <c r="C52" s="81" t="str">
        <f>VLOOKUP(D52,'Master List'!$A$4:$G$1633,3,FALSE)</f>
        <v>48-138</v>
      </c>
      <c r="D52" s="235">
        <v>109</v>
      </c>
      <c r="E52" s="132">
        <v>0.19257696673200936</v>
      </c>
      <c r="F52" s="206">
        <v>6</v>
      </c>
      <c r="G52" s="132">
        <v>0.15059308225197082</v>
      </c>
    </row>
    <row r="53" spans="1:8">
      <c r="A53" s="83" t="str">
        <f t="shared" si="0"/>
        <v>2022-002</v>
      </c>
      <c r="B53" s="88">
        <f>VLOOKUP(D53,'Master List'!A36:G1665,7,FALSE)</f>
        <v>28</v>
      </c>
      <c r="C53" s="81" t="str">
        <f>VLOOKUP(D53,'Master List'!$A$4:$G$1633,3,FALSE)</f>
        <v>48-138</v>
      </c>
      <c r="D53" s="235">
        <v>112</v>
      </c>
      <c r="E53" s="132">
        <v>0.43934689573852326</v>
      </c>
      <c r="F53" s="206">
        <v>6</v>
      </c>
      <c r="G53" s="132">
        <v>0.16588483104160823</v>
      </c>
    </row>
    <row r="54" spans="1:8">
      <c r="A54" s="83" t="str">
        <f t="shared" si="0"/>
        <v>2022-002</v>
      </c>
      <c r="B54" s="88">
        <f>VLOOKUP(D54,'Master List'!A37:G1666,7,FALSE)</f>
        <v>28</v>
      </c>
      <c r="C54" s="81" t="str">
        <f>VLOOKUP(D54,'Master List'!$A$4:$G$1633,3,FALSE)</f>
        <v>48-138</v>
      </c>
      <c r="D54" s="235">
        <v>114</v>
      </c>
      <c r="E54" s="132">
        <v>0.47656911904913524</v>
      </c>
      <c r="F54" s="206">
        <v>6</v>
      </c>
      <c r="G54" s="132">
        <v>0.1578068355340061</v>
      </c>
    </row>
    <row r="55" spans="1:8">
      <c r="A55" s="83" t="str">
        <f t="shared" si="0"/>
        <v>2022-002</v>
      </c>
      <c r="B55" s="88">
        <f>VLOOKUP(D55,'Master List'!A38:G1667,7,FALSE)</f>
        <v>28</v>
      </c>
      <c r="C55" s="81" t="str">
        <f>VLOOKUP(D55,'Master List'!$A$4:$G$1633,3,FALSE)</f>
        <v>48-138</v>
      </c>
      <c r="D55" s="235">
        <v>120</v>
      </c>
      <c r="E55" s="132">
        <v>0.43433942787742785</v>
      </c>
      <c r="F55" s="120">
        <v>36</v>
      </c>
      <c r="G55" s="132">
        <v>0.18244450266495685</v>
      </c>
      <c r="H55" s="122" t="s">
        <v>238</v>
      </c>
    </row>
    <row r="56" spans="1:8">
      <c r="A56" s="83" t="str">
        <f t="shared" si="0"/>
        <v>2022-002</v>
      </c>
      <c r="B56" s="88">
        <f>VLOOKUP(D56,'Master List'!A39:G1668,7,FALSE)</f>
        <v>32</v>
      </c>
      <c r="C56" s="81" t="str">
        <f>VLOOKUP(D56,'Master List'!$A$4:$G$1633,3,FALSE)</f>
        <v>49-138</v>
      </c>
      <c r="D56" s="235">
        <v>124</v>
      </c>
      <c r="E56" s="132">
        <v>1.3136097954629E-2</v>
      </c>
      <c r="F56" s="226">
        <v>26</v>
      </c>
      <c r="G56" s="132">
        <v>5.0571318863528891E-2</v>
      </c>
      <c r="H56" s="65" t="s">
        <v>233</v>
      </c>
    </row>
    <row r="57" spans="1:8">
      <c r="A57" s="83" t="str">
        <f t="shared" si="0"/>
        <v>2022-002</v>
      </c>
      <c r="B57" s="88">
        <f>VLOOKUP(D57,'Master List'!A40:G1669,7,FALSE)</f>
        <v>32</v>
      </c>
      <c r="C57" s="81" t="str">
        <f>VLOOKUP(D57,'Master List'!$A$4:$G$1633,3,FALSE)</f>
        <v>49-138</v>
      </c>
      <c r="D57" s="235">
        <v>128</v>
      </c>
      <c r="E57" s="132">
        <v>6.2760992549246358E-2</v>
      </c>
      <c r="F57" s="120">
        <v>36</v>
      </c>
      <c r="G57" s="132">
        <v>7.6070136569766772E-2</v>
      </c>
      <c r="H57" s="122" t="s">
        <v>238</v>
      </c>
    </row>
    <row r="58" spans="1:8">
      <c r="A58" s="83" t="str">
        <f t="shared" si="0"/>
        <v>2022-002</v>
      </c>
      <c r="B58" s="88">
        <f>VLOOKUP(D58,'Master List'!A41:G1670,7,FALSE)</f>
        <v>32</v>
      </c>
      <c r="C58" s="81" t="str">
        <f>VLOOKUP(D58,'Master List'!$A$4:$G$1633,3,FALSE)</f>
        <v>49-138</v>
      </c>
      <c r="D58" s="235">
        <v>129</v>
      </c>
      <c r="E58" s="132">
        <v>0.2252655529739484</v>
      </c>
      <c r="F58" s="120">
        <v>36</v>
      </c>
      <c r="G58" s="132">
        <v>0.13924960723873245</v>
      </c>
      <c r="H58" s="122" t="s">
        <v>238</v>
      </c>
    </row>
    <row r="59" spans="1:8">
      <c r="A59" s="83" t="str">
        <f t="shared" si="0"/>
        <v>2022-002</v>
      </c>
      <c r="B59" s="88">
        <f>VLOOKUP(D59,'Master List'!A42:G1671,7,FALSE)</f>
        <v>32</v>
      </c>
      <c r="C59" s="81" t="str">
        <f>VLOOKUP(D59,'Master List'!$A$4:$G$1633,3,FALSE)</f>
        <v>49-138</v>
      </c>
      <c r="D59" s="235">
        <v>132</v>
      </c>
      <c r="E59" s="132">
        <v>0.34274279843638944</v>
      </c>
      <c r="F59" s="206">
        <v>6</v>
      </c>
      <c r="G59" s="132">
        <v>0.16123397386402147</v>
      </c>
    </row>
    <row r="60" spans="1:8">
      <c r="A60" s="83" t="str">
        <f t="shared" si="0"/>
        <v>2022-002</v>
      </c>
      <c r="B60" s="88">
        <f>VLOOKUP(D60,'Master List'!A43:G1672,7,FALSE)</f>
        <v>32</v>
      </c>
      <c r="C60" s="81" t="str">
        <f>VLOOKUP(D60,'Master List'!$A$4:$G$1633,3,FALSE)</f>
        <v>49-138</v>
      </c>
      <c r="D60" s="235">
        <v>134</v>
      </c>
      <c r="E60" s="132">
        <v>0.49405331133422814</v>
      </c>
      <c r="F60" s="206">
        <v>6</v>
      </c>
      <c r="G60" s="132">
        <v>0.20067249179286059</v>
      </c>
    </row>
    <row r="61" spans="1:8">
      <c r="A61" s="83" t="str">
        <f t="shared" si="0"/>
        <v>2022-002</v>
      </c>
      <c r="B61" s="88">
        <f>VLOOKUP(D61,'Master List'!A44:G1673,7,FALSE)</f>
        <v>32</v>
      </c>
      <c r="C61" s="81" t="str">
        <f>VLOOKUP(D61,'Master List'!$A$4:$G$1633,3,FALSE)</f>
        <v>49-138</v>
      </c>
      <c r="D61" s="235">
        <v>140</v>
      </c>
      <c r="E61" s="132">
        <v>0.46203967437561277</v>
      </c>
      <c r="F61" s="206">
        <v>6</v>
      </c>
      <c r="G61" s="132">
        <v>0.16320648308606467</v>
      </c>
    </row>
    <row r="62" spans="1:8">
      <c r="A62" s="83" t="str">
        <f t="shared" si="0"/>
        <v>2022-002</v>
      </c>
      <c r="B62" s="88">
        <f>VLOOKUP(D62,'Master List'!A45:G1674,7,FALSE)</f>
        <v>36</v>
      </c>
      <c r="C62" s="81" t="str">
        <f>VLOOKUP(D62,'Master List'!$A$4:$G$1633,3,FALSE)</f>
        <v>50-138</v>
      </c>
      <c r="D62" s="235">
        <v>144</v>
      </c>
      <c r="E62" s="132">
        <v>1.9564784934172224E-2</v>
      </c>
      <c r="F62" s="206">
        <v>26</v>
      </c>
      <c r="G62" s="132">
        <v>5.4147265202176442E-2</v>
      </c>
      <c r="H62" s="122" t="s">
        <v>233</v>
      </c>
    </row>
    <row r="63" spans="1:8">
      <c r="A63" s="83" t="str">
        <f t="shared" si="0"/>
        <v>2022-002</v>
      </c>
      <c r="B63" s="88">
        <f>VLOOKUP(D63,'Master List'!A46:G1675,7,FALSE)</f>
        <v>36</v>
      </c>
      <c r="C63" s="81" t="str">
        <f>VLOOKUP(D63,'Master List'!$A$4:$G$1633,3,FALSE)</f>
        <v>50-138</v>
      </c>
      <c r="D63" s="235">
        <v>148</v>
      </c>
      <c r="E63" s="132">
        <v>0.12174363540597616</v>
      </c>
      <c r="F63" s="206">
        <v>6</v>
      </c>
      <c r="G63" s="132">
        <v>0.11187729837616192</v>
      </c>
    </row>
    <row r="64" spans="1:8">
      <c r="A64" s="83" t="str">
        <f t="shared" si="0"/>
        <v>2022-002</v>
      </c>
      <c r="B64" s="88">
        <f>VLOOKUP(D64,'Master List'!A47:G1676,7,FALSE)</f>
        <v>36</v>
      </c>
      <c r="C64" s="81" t="str">
        <f>VLOOKUP(D64,'Master List'!$A$4:$G$1633,3,FALSE)</f>
        <v>50-138</v>
      </c>
      <c r="D64" s="235">
        <v>149</v>
      </c>
      <c r="E64" s="132">
        <v>0.28528712586112215</v>
      </c>
      <c r="F64" s="206">
        <v>6</v>
      </c>
      <c r="G64" s="132">
        <v>0.15366938850272652</v>
      </c>
    </row>
    <row r="65" spans="1:8">
      <c r="A65" s="83" t="str">
        <f t="shared" si="0"/>
        <v>2022-002</v>
      </c>
      <c r="B65" s="88">
        <f>VLOOKUP(D65,'Master List'!A48:G1677,7,FALSE)</f>
        <v>36</v>
      </c>
      <c r="C65" s="81" t="str">
        <f>VLOOKUP(D65,'Master List'!$A$4:$G$1633,3,FALSE)</f>
        <v>50-138</v>
      </c>
      <c r="D65" s="235">
        <v>152</v>
      </c>
      <c r="E65" s="132">
        <v>0.4072236819934249</v>
      </c>
      <c r="F65" s="206">
        <v>6</v>
      </c>
      <c r="G65" s="132">
        <v>0.19086217992570337</v>
      </c>
    </row>
    <row r="66" spans="1:8">
      <c r="A66" s="83" t="str">
        <f t="shared" si="0"/>
        <v>2022-002</v>
      </c>
      <c r="B66" s="88">
        <f>VLOOKUP(D66,'Master List'!A49:G1678,7,FALSE)</f>
        <v>36</v>
      </c>
      <c r="C66" s="81" t="str">
        <f>VLOOKUP(D66,'Master List'!$A$4:$G$1633,3,FALSE)</f>
        <v>50-138</v>
      </c>
      <c r="D66" s="235">
        <v>154</v>
      </c>
      <c r="E66" s="132">
        <v>0.40796639946390001</v>
      </c>
      <c r="F66" s="206">
        <v>6</v>
      </c>
      <c r="G66" s="132">
        <v>0.13937661575180721</v>
      </c>
    </row>
    <row r="67" spans="1:8">
      <c r="A67" s="83" t="str">
        <f t="shared" si="0"/>
        <v>2022-002</v>
      </c>
      <c r="B67" s="88">
        <f>VLOOKUP(D67,'Master List'!A50:G1679,7,FALSE)</f>
        <v>36</v>
      </c>
      <c r="C67" s="81" t="str">
        <f>VLOOKUP(D67,'Master List'!$A$4:$G$1633,3,FALSE)</f>
        <v>50-138</v>
      </c>
      <c r="D67" s="235">
        <v>160</v>
      </c>
      <c r="E67" s="132">
        <v>0.39393127999423672</v>
      </c>
      <c r="F67" s="206">
        <v>6</v>
      </c>
      <c r="G67" s="132">
        <v>0.32308981867181585</v>
      </c>
    </row>
    <row r="68" spans="1:8">
      <c r="A68" s="83" t="str">
        <f t="shared" si="0"/>
        <v>2022-002</v>
      </c>
      <c r="B68" s="88">
        <f>VLOOKUP(D68,'Master List'!A51:G1680,7,FALSE)</f>
        <v>40</v>
      </c>
      <c r="C68" s="81" t="str">
        <f>VLOOKUP(D68,'Master List'!$A$4:$G$1633,3,FALSE)</f>
        <v>50-141</v>
      </c>
      <c r="D68" s="235">
        <v>164</v>
      </c>
      <c r="E68" s="132">
        <v>1.6939040940869891E-2</v>
      </c>
      <c r="F68" s="226">
        <v>26</v>
      </c>
      <c r="G68" s="132">
        <v>5.6976284791498515E-2</v>
      </c>
      <c r="H68" s="65" t="s">
        <v>233</v>
      </c>
    </row>
    <row r="69" spans="1:8">
      <c r="A69" s="83" t="str">
        <f t="shared" si="0"/>
        <v>2022-002</v>
      </c>
      <c r="B69" s="88">
        <f>VLOOKUP(D69,'Master List'!A52:G1681,7,FALSE)</f>
        <v>40</v>
      </c>
      <c r="C69" s="81" t="str">
        <f>VLOOKUP(D69,'Master List'!$A$4:$G$1633,3,FALSE)</f>
        <v>50-141</v>
      </c>
      <c r="D69" s="235">
        <v>168</v>
      </c>
      <c r="E69" s="132">
        <v>8.083460410726595E-2</v>
      </c>
      <c r="F69" s="206">
        <v>36</v>
      </c>
      <c r="G69" s="132">
        <v>9.9039886520332687E-2</v>
      </c>
      <c r="H69" s="31" t="s">
        <v>238</v>
      </c>
    </row>
    <row r="70" spans="1:8">
      <c r="A70" s="83" t="str">
        <f t="shared" si="0"/>
        <v>2022-002</v>
      </c>
      <c r="B70" s="88">
        <f>VLOOKUP(D70,'Master List'!A53:G1682,7,FALSE)</f>
        <v>40</v>
      </c>
      <c r="C70" s="81" t="str">
        <f>VLOOKUP(D70,'Master List'!$A$4:$G$1633,3,FALSE)</f>
        <v>50-141</v>
      </c>
      <c r="D70" s="235">
        <v>169</v>
      </c>
      <c r="E70" s="132">
        <v>0.24772578835593317</v>
      </c>
      <c r="F70" s="206">
        <v>6</v>
      </c>
      <c r="G70" s="132">
        <v>0.14967166417085953</v>
      </c>
    </row>
    <row r="71" spans="1:8">
      <c r="A71" s="83" t="str">
        <f t="shared" si="0"/>
        <v>2022-002</v>
      </c>
      <c r="B71" s="88">
        <f>VLOOKUP(D71,'Master List'!A54:G1683,7,FALSE)</f>
        <v>40</v>
      </c>
      <c r="C71" s="81" t="str">
        <f>VLOOKUP(D71,'Master List'!$A$4:$G$1633,3,FALSE)</f>
        <v>50-141</v>
      </c>
      <c r="D71" s="235">
        <v>172</v>
      </c>
      <c r="E71" s="132">
        <v>0.44792039118964821</v>
      </c>
      <c r="F71" s="206">
        <v>6</v>
      </c>
      <c r="G71" s="132">
        <v>0.18781934077556539</v>
      </c>
    </row>
    <row r="72" spans="1:8">
      <c r="A72" s="83" t="str">
        <f t="shared" si="0"/>
        <v>2022-002</v>
      </c>
      <c r="B72" s="88">
        <f>VLOOKUP(D72,'Master List'!A55:G1684,7,FALSE)</f>
        <v>40</v>
      </c>
      <c r="C72" s="81" t="str">
        <f>VLOOKUP(D72,'Master List'!$A$4:$G$1633,3,FALSE)</f>
        <v>50-141</v>
      </c>
      <c r="D72" s="235">
        <v>174</v>
      </c>
      <c r="E72" s="132">
        <v>0.43537617183731847</v>
      </c>
      <c r="F72" s="206">
        <v>6</v>
      </c>
      <c r="G72" s="132">
        <v>0.18554650617506629</v>
      </c>
    </row>
    <row r="73" spans="1:8">
      <c r="A73" s="83" t="str">
        <f t="shared" si="0"/>
        <v>2022-002</v>
      </c>
      <c r="B73" s="88">
        <f>VLOOKUP(D73,'Master List'!A56:G1685,7,FALSE)</f>
        <v>40</v>
      </c>
      <c r="C73" s="81" t="str">
        <f>VLOOKUP(D73,'Master List'!$A$4:$G$1633,3,FALSE)</f>
        <v>50-141</v>
      </c>
      <c r="D73" s="235">
        <v>180</v>
      </c>
      <c r="E73" s="132">
        <v>0.46118136842463309</v>
      </c>
      <c r="F73" s="206">
        <v>6</v>
      </c>
      <c r="G73" s="132">
        <v>0.1414758471116826</v>
      </c>
    </row>
    <row r="74" spans="1:8">
      <c r="A74" s="83" t="str">
        <f t="shared" si="0"/>
        <v>2022-002</v>
      </c>
      <c r="B74" s="88">
        <f>VLOOKUP(D74,'Master List'!A57:G1686,7,FALSE)</f>
        <v>44</v>
      </c>
      <c r="C74" s="81" t="str">
        <f>VLOOKUP(D74,'Master List'!$A$4:$G$1633,3,FALSE)</f>
        <v>49-141</v>
      </c>
      <c r="D74" s="235">
        <v>184</v>
      </c>
      <c r="E74" s="203">
        <v>3.8897846389697309E-2</v>
      </c>
      <c r="F74" s="120">
        <v>2</v>
      </c>
      <c r="G74" s="133">
        <v>3.0990932490335587E-2</v>
      </c>
      <c r="H74" s="122" t="s">
        <v>244</v>
      </c>
    </row>
    <row r="75" spans="1:8">
      <c r="A75" s="83" t="str">
        <f t="shared" si="0"/>
        <v>2022-002</v>
      </c>
      <c r="B75" s="88">
        <f>VLOOKUP(D75,'Master List'!A58:G1687,7,FALSE)</f>
        <v>44</v>
      </c>
      <c r="C75" s="81" t="str">
        <f>VLOOKUP(D75,'Master List'!$A$4:$G$1633,3,FALSE)</f>
        <v>49-141</v>
      </c>
      <c r="D75" s="235">
        <v>188</v>
      </c>
      <c r="E75" s="132">
        <v>0.10670456303472137</v>
      </c>
      <c r="F75" s="206">
        <v>6</v>
      </c>
      <c r="G75" s="132">
        <v>0.1024226003443411</v>
      </c>
    </row>
    <row r="76" spans="1:8">
      <c r="A76" s="83" t="str">
        <f t="shared" si="0"/>
        <v>2022-002</v>
      </c>
      <c r="B76" s="88">
        <f>VLOOKUP(D76,'Master List'!A59:G1688,7,FALSE)</f>
        <v>44</v>
      </c>
      <c r="C76" s="81" t="str">
        <f>VLOOKUP(D76,'Master List'!$A$4:$G$1633,3,FALSE)</f>
        <v>49-141</v>
      </c>
      <c r="D76" s="235">
        <v>189</v>
      </c>
      <c r="E76" s="132">
        <v>0.39205535820070758</v>
      </c>
      <c r="F76" s="206">
        <v>6</v>
      </c>
      <c r="G76" s="132">
        <v>0.16050803721763116</v>
      </c>
    </row>
    <row r="77" spans="1:8">
      <c r="A77" s="83" t="str">
        <f t="shared" si="0"/>
        <v>2022-002</v>
      </c>
      <c r="B77" s="88">
        <f>VLOOKUP(D77,'Master List'!A60:G1689,7,FALSE)</f>
        <v>44</v>
      </c>
      <c r="C77" s="81" t="str">
        <f>VLOOKUP(D77,'Master List'!$A$4:$G$1633,3,FALSE)</f>
        <v>49-141</v>
      </c>
      <c r="D77" s="235">
        <v>192</v>
      </c>
      <c r="E77" s="132">
        <v>0.403722690002355</v>
      </c>
      <c r="F77" s="120">
        <v>36</v>
      </c>
      <c r="G77" s="132">
        <v>0.35125906993841782</v>
      </c>
      <c r="H77" s="31" t="s">
        <v>238</v>
      </c>
    </row>
    <row r="78" spans="1:8">
      <c r="A78" s="83" t="str">
        <f t="shared" si="0"/>
        <v>2022-002</v>
      </c>
      <c r="B78" s="88">
        <f>VLOOKUP(D78,'Master List'!A61:G1690,7,FALSE)</f>
        <v>44</v>
      </c>
      <c r="C78" s="81" t="str">
        <f>VLOOKUP(D78,'Master List'!$A$4:$G$1633,3,FALSE)</f>
        <v>49-141</v>
      </c>
      <c r="D78" s="235">
        <v>194</v>
      </c>
      <c r="E78" s="132">
        <v>0.52897141628168831</v>
      </c>
      <c r="F78" s="88">
        <v>6</v>
      </c>
      <c r="G78" s="132">
        <v>0.20182242556734115</v>
      </c>
    </row>
    <row r="79" spans="1:8">
      <c r="A79" s="83" t="str">
        <f t="shared" si="0"/>
        <v>2022-002</v>
      </c>
      <c r="B79" s="88">
        <f>VLOOKUP(D79,'Master List'!A62:G1691,7,FALSE)</f>
        <v>44</v>
      </c>
      <c r="C79" s="81" t="str">
        <f>VLOOKUP(D79,'Master List'!$A$4:$G$1633,3,FALSE)</f>
        <v>49-141</v>
      </c>
      <c r="D79" s="235">
        <v>200</v>
      </c>
      <c r="E79" s="132">
        <v>0.49697007596993514</v>
      </c>
      <c r="F79" s="120">
        <v>36</v>
      </c>
      <c r="G79" s="132">
        <v>0.17816662601369956</v>
      </c>
      <c r="H79" s="31" t="s">
        <v>238</v>
      </c>
    </row>
    <row r="80" spans="1:8">
      <c r="A80" s="83" t="str">
        <f t="shared" si="0"/>
        <v>2022-002</v>
      </c>
      <c r="B80" s="88">
        <f>VLOOKUP(D80,'Master List'!A63:G1692,7,FALSE)</f>
        <v>48</v>
      </c>
      <c r="C80" s="81" t="str">
        <f>VLOOKUP(D80,'Master List'!$A$4:$G$1633,3,FALSE)</f>
        <v>48-141</v>
      </c>
      <c r="D80" s="235">
        <v>204</v>
      </c>
      <c r="E80" s="241">
        <v>1.6627799145847371E-2</v>
      </c>
      <c r="F80" s="88">
        <v>2</v>
      </c>
      <c r="G80" s="82">
        <v>5.5991351250238144E-2</v>
      </c>
      <c r="H80" s="31" t="s">
        <v>277</v>
      </c>
    </row>
    <row r="81" spans="1:8">
      <c r="A81" s="83" t="str">
        <f t="shared" si="0"/>
        <v>2022-002</v>
      </c>
      <c r="B81" s="88">
        <f>VLOOKUP(D81,'Master List'!A64:G1693,7,FALSE)</f>
        <v>48</v>
      </c>
      <c r="C81" s="81" t="str">
        <f>VLOOKUP(D81,'Master List'!$A$4:$G$1633,3,FALSE)</f>
        <v>48-141</v>
      </c>
      <c r="D81" s="235">
        <v>208</v>
      </c>
      <c r="E81" s="132">
        <v>0.16191623418705198</v>
      </c>
      <c r="F81" s="120">
        <v>36</v>
      </c>
      <c r="G81" s="132">
        <v>0.16082602577289862</v>
      </c>
      <c r="H81" s="122" t="s">
        <v>238</v>
      </c>
    </row>
    <row r="82" spans="1:8">
      <c r="A82" s="83" t="str">
        <f t="shared" si="0"/>
        <v>2022-002</v>
      </c>
      <c r="B82" s="88">
        <f>VLOOKUP(D82,'Master List'!A65:G1694,7,FALSE)</f>
        <v>48</v>
      </c>
      <c r="C82" s="81" t="str">
        <f>VLOOKUP(D82,'Master List'!$A$4:$G$1633,3,FALSE)</f>
        <v>48-141</v>
      </c>
      <c r="D82" s="235">
        <v>209</v>
      </c>
      <c r="E82" s="132">
        <v>0.32276675897938234</v>
      </c>
      <c r="F82" s="88">
        <v>6</v>
      </c>
      <c r="G82" s="132">
        <v>0.18442486616523934</v>
      </c>
    </row>
    <row r="83" spans="1:8">
      <c r="A83" s="83" t="str">
        <f t="shared" si="0"/>
        <v>2022-002</v>
      </c>
      <c r="B83" s="88">
        <f>VLOOKUP(D83,'Master List'!A66:G1695,7,FALSE)</f>
        <v>48</v>
      </c>
      <c r="C83" s="81" t="str">
        <f>VLOOKUP(D83,'Master List'!$A$4:$G$1633,3,FALSE)</f>
        <v>48-141</v>
      </c>
      <c r="D83" s="235">
        <v>212</v>
      </c>
      <c r="E83" s="241">
        <v>0.47129276450998703</v>
      </c>
      <c r="F83" s="120">
        <v>2</v>
      </c>
      <c r="G83" s="82">
        <v>0.22319291051695356</v>
      </c>
      <c r="H83" s="122" t="s">
        <v>245</v>
      </c>
    </row>
    <row r="84" spans="1:8">
      <c r="A84" s="83" t="str">
        <f t="shared" si="0"/>
        <v>2022-002</v>
      </c>
      <c r="B84" s="88">
        <f>VLOOKUP(D84,'Master List'!A67:G1696,7,FALSE)</f>
        <v>48</v>
      </c>
      <c r="C84" s="81" t="str">
        <f>VLOOKUP(D84,'Master List'!$A$4:$G$1633,3,FALSE)</f>
        <v>48-141</v>
      </c>
      <c r="D84" s="235">
        <v>214</v>
      </c>
      <c r="E84" s="132">
        <v>0.58928455632890508</v>
      </c>
      <c r="F84" s="88">
        <v>6</v>
      </c>
      <c r="G84" s="132">
        <v>0.27199320508941716</v>
      </c>
    </row>
    <row r="85" spans="1:8">
      <c r="A85" s="83" t="str">
        <f t="shared" si="0"/>
        <v>2022-002</v>
      </c>
      <c r="B85" s="88">
        <f>VLOOKUP(D85,'Master List'!A68:G1697,7,FALSE)</f>
        <v>48</v>
      </c>
      <c r="C85" s="81" t="str">
        <f>VLOOKUP(D85,'Master List'!$A$4:$G$1633,3,FALSE)</f>
        <v>48-141</v>
      </c>
      <c r="D85" s="235">
        <v>220</v>
      </c>
      <c r="E85" s="132">
        <v>0.46964255450108366</v>
      </c>
      <c r="F85" s="88">
        <v>6</v>
      </c>
      <c r="G85" s="132">
        <v>0.19905575680908072</v>
      </c>
    </row>
    <row r="86" spans="1:8">
      <c r="A86" s="83" t="str">
        <f t="shared" ref="A86:A149" si="1">$A$1</f>
        <v>2022-002</v>
      </c>
      <c r="B86" s="88">
        <f>VLOOKUP(D86,'Master List'!A69:G1698,7,FALSE)</f>
        <v>53</v>
      </c>
      <c r="C86" s="81" t="str">
        <f>VLOOKUP(D86,'Master List'!$A$4:$G$1633,3,FALSE)</f>
        <v>46-144</v>
      </c>
      <c r="D86" s="235">
        <v>224</v>
      </c>
      <c r="E86" s="132">
        <v>1.313500491935235E-2</v>
      </c>
      <c r="F86" s="226">
        <v>26</v>
      </c>
      <c r="G86" s="132">
        <v>7.6549202181387777E-2</v>
      </c>
      <c r="H86" s="65" t="s">
        <v>233</v>
      </c>
    </row>
    <row r="87" spans="1:8">
      <c r="A87" s="83" t="str">
        <f t="shared" si="1"/>
        <v>2022-002</v>
      </c>
      <c r="B87" s="88">
        <f>VLOOKUP(D87,'Master List'!A70:G1699,7,FALSE)</f>
        <v>53</v>
      </c>
      <c r="C87" s="81" t="str">
        <f>VLOOKUP(D87,'Master List'!$A$4:$G$1633,3,FALSE)</f>
        <v>46-144</v>
      </c>
      <c r="D87" s="235">
        <v>228</v>
      </c>
      <c r="E87" s="132">
        <v>7.662559851575422E-2</v>
      </c>
      <c r="F87" s="88">
        <v>6</v>
      </c>
      <c r="G87" s="132">
        <v>0.10600555331237074</v>
      </c>
    </row>
    <row r="88" spans="1:8">
      <c r="A88" s="83" t="str">
        <f t="shared" si="1"/>
        <v>2022-002</v>
      </c>
      <c r="B88" s="88">
        <f>VLOOKUP(D88,'Master List'!A71:G1700,7,FALSE)</f>
        <v>53</v>
      </c>
      <c r="C88" s="81" t="str">
        <f>VLOOKUP(D88,'Master List'!$A$4:$G$1633,3,FALSE)</f>
        <v>46-144</v>
      </c>
      <c r="D88" s="235">
        <v>229</v>
      </c>
      <c r="E88" s="132">
        <v>0.10750493811603914</v>
      </c>
      <c r="F88" s="88">
        <v>6</v>
      </c>
      <c r="G88" s="132">
        <v>0.1232426739907207</v>
      </c>
    </row>
    <row r="89" spans="1:8">
      <c r="A89" s="83" t="str">
        <f t="shared" si="1"/>
        <v>2022-002</v>
      </c>
      <c r="B89" s="88">
        <f>VLOOKUP(D89,'Master List'!A72:G1701,7,FALSE)</f>
        <v>53</v>
      </c>
      <c r="C89" s="81" t="str">
        <f>VLOOKUP(D89,'Master List'!$A$4:$G$1633,3,FALSE)</f>
        <v>46-144</v>
      </c>
      <c r="D89" s="235">
        <v>232</v>
      </c>
      <c r="E89" s="132">
        <v>0.49392542620686147</v>
      </c>
      <c r="F89" s="88">
        <v>6</v>
      </c>
      <c r="G89" s="132">
        <v>0.21113245764771091</v>
      </c>
    </row>
    <row r="90" spans="1:8">
      <c r="A90" s="83" t="str">
        <f t="shared" si="1"/>
        <v>2022-002</v>
      </c>
      <c r="B90" s="88">
        <f>VLOOKUP(D90,'Master List'!A73:G1702,7,FALSE)</f>
        <v>53</v>
      </c>
      <c r="C90" s="81" t="str">
        <f>VLOOKUP(D90,'Master List'!$A$4:$G$1633,3,FALSE)</f>
        <v>46-144</v>
      </c>
      <c r="D90" s="235">
        <v>234</v>
      </c>
      <c r="E90" s="132">
        <v>0.48797384912557051</v>
      </c>
      <c r="F90" s="88">
        <v>6</v>
      </c>
      <c r="G90" s="132">
        <v>0.20706484819262019</v>
      </c>
    </row>
    <row r="91" spans="1:8">
      <c r="A91" s="83" t="str">
        <f t="shared" si="1"/>
        <v>2022-002</v>
      </c>
      <c r="B91" s="88">
        <f>VLOOKUP(D91,'Master List'!A74:G1703,7,FALSE)</f>
        <v>53</v>
      </c>
      <c r="C91" s="81" t="str">
        <f>VLOOKUP(D91,'Master List'!$A$4:$G$1633,3,FALSE)</f>
        <v>46-144</v>
      </c>
      <c r="D91" s="235">
        <v>240</v>
      </c>
      <c r="E91" s="132">
        <v>0.48350388136176164</v>
      </c>
      <c r="F91" s="88">
        <v>6</v>
      </c>
      <c r="G91" s="132">
        <v>0.1616055410957383</v>
      </c>
    </row>
    <row r="92" spans="1:8">
      <c r="A92" s="83" t="str">
        <f t="shared" si="1"/>
        <v>2022-002</v>
      </c>
      <c r="B92" s="88">
        <f>VLOOKUP(D92,'Master List'!A75:G1704,7,FALSE)</f>
        <v>58</v>
      </c>
      <c r="C92" s="81" t="str">
        <f>VLOOKUP(D92,'Master List'!$A$4:$G$1633,3,FALSE)</f>
        <v>47-144</v>
      </c>
      <c r="D92" s="235">
        <v>252</v>
      </c>
      <c r="E92" s="132">
        <v>0</v>
      </c>
      <c r="F92" s="226">
        <v>26</v>
      </c>
      <c r="G92" s="132">
        <v>6.9393703034197368E-2</v>
      </c>
      <c r="H92" s="65" t="s">
        <v>233</v>
      </c>
    </row>
    <row r="93" spans="1:8">
      <c r="A93" s="83" t="str">
        <f t="shared" si="1"/>
        <v>2022-002</v>
      </c>
      <c r="B93" s="88">
        <f>VLOOKUP(D93,'Master List'!A76:G1705,7,FALSE)</f>
        <v>58</v>
      </c>
      <c r="C93" s="81" t="str">
        <f>VLOOKUP(D93,'Master List'!$A$4:$G$1633,3,FALSE)</f>
        <v>47-144</v>
      </c>
      <c r="D93" s="235">
        <v>254</v>
      </c>
      <c r="E93" s="132">
        <v>7.1450896257333307E-2</v>
      </c>
      <c r="F93" s="88">
        <v>6</v>
      </c>
      <c r="G93" s="132">
        <v>0.10293656165368639</v>
      </c>
    </row>
    <row r="94" spans="1:8">
      <c r="A94" s="83" t="str">
        <f t="shared" si="1"/>
        <v>2022-002</v>
      </c>
      <c r="B94" s="88">
        <f>VLOOKUP(D94,'Master List'!A77:G1706,7,FALSE)</f>
        <v>58</v>
      </c>
      <c r="C94" s="81" t="str">
        <f>VLOOKUP(D94,'Master List'!$A$4:$G$1633,3,FALSE)</f>
        <v>47-144</v>
      </c>
      <c r="D94" s="235">
        <v>255</v>
      </c>
      <c r="E94" s="132">
        <v>0.156691798823544</v>
      </c>
      <c r="F94" s="88">
        <v>6</v>
      </c>
      <c r="G94" s="132">
        <v>0.1412583497604197</v>
      </c>
    </row>
    <row r="95" spans="1:8">
      <c r="A95" s="83" t="str">
        <f t="shared" si="1"/>
        <v>2022-002</v>
      </c>
      <c r="B95" s="88">
        <f>VLOOKUP(D95,'Master List'!A78:G1707,7,FALSE)</f>
        <v>58</v>
      </c>
      <c r="C95" s="81" t="str">
        <f>VLOOKUP(D95,'Master List'!$A$4:$G$1633,3,FALSE)</f>
        <v>47-144</v>
      </c>
      <c r="D95" s="235">
        <v>257</v>
      </c>
      <c r="E95" s="132">
        <v>0.50161219678981439</v>
      </c>
      <c r="F95" s="88">
        <v>6</v>
      </c>
      <c r="G95" s="132">
        <v>0.1948219663694124</v>
      </c>
    </row>
    <row r="96" spans="1:8">
      <c r="A96" s="83" t="str">
        <f t="shared" si="1"/>
        <v>2022-002</v>
      </c>
      <c r="B96" s="88">
        <f>VLOOKUP(D96,'Master List'!A79:G1708,7,FALSE)</f>
        <v>58</v>
      </c>
      <c r="C96" s="81" t="str">
        <f>VLOOKUP(D96,'Master List'!$A$4:$G$1633,3,FALSE)</f>
        <v>47-144</v>
      </c>
      <c r="D96" s="235">
        <v>258</v>
      </c>
      <c r="E96" s="132">
        <v>0.52963762128279901</v>
      </c>
      <c r="F96" s="120">
        <v>36</v>
      </c>
      <c r="G96" s="132">
        <v>0.19888098921262848</v>
      </c>
      <c r="H96" s="31" t="s">
        <v>238</v>
      </c>
    </row>
    <row r="97" spans="1:8">
      <c r="A97" s="83" t="str">
        <f t="shared" si="1"/>
        <v>2022-002</v>
      </c>
      <c r="B97" s="88">
        <f>VLOOKUP(D97,'Master List'!A80:G1709,7,FALSE)</f>
        <v>58</v>
      </c>
      <c r="C97" s="81" t="str">
        <f>VLOOKUP(D97,'Master List'!$A$4:$G$1633,3,FALSE)</f>
        <v>47-144</v>
      </c>
      <c r="D97" s="235">
        <v>261</v>
      </c>
      <c r="E97" s="132">
        <v>0.5037436155792574</v>
      </c>
      <c r="F97" s="88">
        <v>6</v>
      </c>
      <c r="G97" s="132">
        <v>0.20020845842214052</v>
      </c>
    </row>
    <row r="98" spans="1:8">
      <c r="A98" s="83" t="str">
        <f t="shared" si="1"/>
        <v>2022-002</v>
      </c>
      <c r="B98" s="88">
        <f>VLOOKUP(D98,'Master List'!A81:G1710,7,FALSE)</f>
        <v>62</v>
      </c>
      <c r="C98" s="81" t="str">
        <f>VLOOKUP(D98,'Master List'!$A$4:$G$1633,3,FALSE)</f>
        <v>48-144</v>
      </c>
      <c r="D98" s="235">
        <v>268</v>
      </c>
      <c r="E98" s="132">
        <v>2.0735425715450936E-2</v>
      </c>
      <c r="F98" s="226">
        <v>26</v>
      </c>
      <c r="G98" s="132">
        <v>4.7867975377279312E-2</v>
      </c>
      <c r="H98" s="65" t="s">
        <v>233</v>
      </c>
    </row>
    <row r="99" spans="1:8">
      <c r="A99" s="83" t="str">
        <f t="shared" si="1"/>
        <v>2022-002</v>
      </c>
      <c r="B99" s="88">
        <f>VLOOKUP(D99,'Master List'!A82:G1711,7,FALSE)</f>
        <v>62</v>
      </c>
      <c r="C99" s="81" t="str">
        <f>VLOOKUP(D99,'Master List'!$A$4:$G$1633,3,FALSE)</f>
        <v>48-144</v>
      </c>
      <c r="D99" s="235">
        <v>272</v>
      </c>
      <c r="E99" s="132">
        <v>6.9952618151882529E-2</v>
      </c>
      <c r="F99" s="88">
        <v>6</v>
      </c>
      <c r="G99" s="132">
        <v>0.10576786759954838</v>
      </c>
    </row>
    <row r="100" spans="1:8">
      <c r="A100" s="83" t="str">
        <f t="shared" si="1"/>
        <v>2022-002</v>
      </c>
      <c r="B100" s="88">
        <f>VLOOKUP(D100,'Master List'!A83:G1712,7,FALSE)</f>
        <v>62</v>
      </c>
      <c r="C100" s="81" t="str">
        <f>VLOOKUP(D100,'Master List'!$A$4:$G$1633,3,FALSE)</f>
        <v>48-144</v>
      </c>
      <c r="D100" s="235">
        <v>273</v>
      </c>
      <c r="E100" s="241">
        <v>0.42044804254664242</v>
      </c>
      <c r="F100" s="120">
        <v>2</v>
      </c>
      <c r="G100" s="82">
        <v>0.23765036187546265</v>
      </c>
      <c r="H100" s="122" t="s">
        <v>246</v>
      </c>
    </row>
    <row r="101" spans="1:8">
      <c r="A101" s="83" t="str">
        <f t="shared" si="1"/>
        <v>2022-002</v>
      </c>
      <c r="B101" s="88">
        <f>VLOOKUP(D101,'Master List'!A84:G1713,7,FALSE)</f>
        <v>62</v>
      </c>
      <c r="C101" s="81" t="str">
        <f>VLOOKUP(D101,'Master List'!$A$4:$G$1633,3,FALSE)</f>
        <v>48-144</v>
      </c>
      <c r="D101" s="235">
        <v>276</v>
      </c>
      <c r="E101" s="132">
        <v>0.4182439369113029</v>
      </c>
      <c r="F101" s="88">
        <v>6</v>
      </c>
      <c r="G101" s="132">
        <v>0.19273138173835153</v>
      </c>
    </row>
    <row r="102" spans="1:8">
      <c r="A102" s="83" t="str">
        <f t="shared" si="1"/>
        <v>2022-002</v>
      </c>
      <c r="B102" s="88">
        <f>VLOOKUP(D102,'Master List'!A85:G1714,7,FALSE)</f>
        <v>62</v>
      </c>
      <c r="C102" s="81" t="str">
        <f>VLOOKUP(D102,'Master List'!$A$4:$G$1633,3,FALSE)</f>
        <v>48-144</v>
      </c>
      <c r="D102" s="235">
        <v>278</v>
      </c>
      <c r="E102" s="132">
        <v>0.4025785553265348</v>
      </c>
      <c r="F102" s="88">
        <v>6</v>
      </c>
      <c r="G102" s="132">
        <v>0.18281549195427102</v>
      </c>
    </row>
    <row r="103" spans="1:8">
      <c r="A103" s="83" t="str">
        <f t="shared" si="1"/>
        <v>2022-002</v>
      </c>
      <c r="B103" s="88">
        <f>VLOOKUP(D103,'Master List'!A86:G1715,7,FALSE)</f>
        <v>62</v>
      </c>
      <c r="C103" s="81" t="str">
        <f>VLOOKUP(D103,'Master List'!$A$4:$G$1633,3,FALSE)</f>
        <v>48-144</v>
      </c>
      <c r="D103" s="235">
        <v>284</v>
      </c>
      <c r="E103" s="132">
        <v>0.36287678149087066</v>
      </c>
      <c r="F103" s="88">
        <v>6</v>
      </c>
      <c r="G103" s="132">
        <v>0.25589624535713912</v>
      </c>
    </row>
    <row r="104" spans="1:8">
      <c r="A104" s="83" t="str">
        <f t="shared" si="1"/>
        <v>2022-002</v>
      </c>
      <c r="B104" s="88">
        <f>VLOOKUP(D104,'Master List'!A87:G1716,7,FALSE)</f>
        <v>65</v>
      </c>
      <c r="C104" s="81" t="str">
        <f>VLOOKUP(D104,'Master List'!$A$4:$G$1633,3,FALSE)</f>
        <v>49-144</v>
      </c>
      <c r="D104" s="235">
        <v>296</v>
      </c>
      <c r="E104" s="132">
        <v>1.549459482279349E-2</v>
      </c>
      <c r="F104" s="226">
        <v>26</v>
      </c>
      <c r="G104" s="132">
        <v>4.8050389302009132E-2</v>
      </c>
      <c r="H104" s="65" t="s">
        <v>233</v>
      </c>
    </row>
    <row r="105" spans="1:8">
      <c r="A105" s="83" t="str">
        <f t="shared" si="1"/>
        <v>2022-002</v>
      </c>
      <c r="B105" s="88">
        <f>VLOOKUP(D105,'Master List'!A88:G1717,7,FALSE)</f>
        <v>65</v>
      </c>
      <c r="C105" s="81" t="str">
        <f>VLOOKUP(D105,'Master List'!$A$4:$G$1633,3,FALSE)</f>
        <v>49-144</v>
      </c>
      <c r="D105" s="235">
        <v>298</v>
      </c>
      <c r="E105" s="132">
        <v>5.0471177157553899E-2</v>
      </c>
      <c r="F105" s="120">
        <v>36</v>
      </c>
      <c r="G105" s="132">
        <v>6.2132236029748725E-2</v>
      </c>
      <c r="H105" s="31" t="s">
        <v>238</v>
      </c>
    </row>
    <row r="106" spans="1:8">
      <c r="A106" s="83" t="str">
        <f t="shared" si="1"/>
        <v>2022-002</v>
      </c>
      <c r="B106" s="88">
        <f>VLOOKUP(D106,'Master List'!A89:G1718,7,FALSE)</f>
        <v>65</v>
      </c>
      <c r="C106" s="81" t="str">
        <f>VLOOKUP(D106,'Master List'!$A$4:$G$1633,3,FALSE)</f>
        <v>49-144</v>
      </c>
      <c r="D106" s="235">
        <v>299</v>
      </c>
      <c r="E106" s="132">
        <v>0.15670682805859781</v>
      </c>
      <c r="F106" s="88">
        <v>6</v>
      </c>
      <c r="G106" s="132">
        <v>0.12624881120233961</v>
      </c>
    </row>
    <row r="107" spans="1:8">
      <c r="A107" s="83" t="str">
        <f t="shared" si="1"/>
        <v>2022-002</v>
      </c>
      <c r="B107" s="88">
        <f>VLOOKUP(D107,'Master List'!A90:G1719,7,FALSE)</f>
        <v>65</v>
      </c>
      <c r="C107" s="81" t="str">
        <f>VLOOKUP(D107,'Master List'!$A$4:$G$1633,3,FALSE)</f>
        <v>49-144</v>
      </c>
      <c r="D107" s="235">
        <v>301</v>
      </c>
      <c r="E107" s="132">
        <v>0.39808235471608655</v>
      </c>
      <c r="F107" s="88">
        <v>6</v>
      </c>
      <c r="G107" s="132">
        <v>0.1254060580503113</v>
      </c>
    </row>
    <row r="108" spans="1:8">
      <c r="A108" s="83" t="str">
        <f t="shared" si="1"/>
        <v>2022-002</v>
      </c>
      <c r="B108" s="88">
        <f>VLOOKUP(D108,'Master List'!A91:G1720,7,FALSE)</f>
        <v>65</v>
      </c>
      <c r="C108" s="81" t="str">
        <f>VLOOKUP(D108,'Master List'!$A$4:$G$1633,3,FALSE)</f>
        <v>49-144</v>
      </c>
      <c r="D108" s="235">
        <v>302</v>
      </c>
      <c r="E108" s="132">
        <v>0.37411810279344859</v>
      </c>
      <c r="F108" s="88">
        <v>6</v>
      </c>
      <c r="G108" s="132">
        <v>0.17797958964278487</v>
      </c>
    </row>
    <row r="109" spans="1:8">
      <c r="A109" s="83" t="str">
        <f t="shared" si="1"/>
        <v>2022-002</v>
      </c>
      <c r="B109" s="88">
        <f>VLOOKUP(D109,'Master List'!A92:G1721,7,FALSE)</f>
        <v>65</v>
      </c>
      <c r="C109" s="81" t="str">
        <f>VLOOKUP(D109,'Master List'!$A$4:$G$1633,3,FALSE)</f>
        <v>49-144</v>
      </c>
      <c r="D109" s="235">
        <v>305</v>
      </c>
      <c r="E109" s="132">
        <v>0.39227560480895007</v>
      </c>
      <c r="F109" s="88">
        <v>6</v>
      </c>
      <c r="G109" s="132">
        <v>0.14954634193795777</v>
      </c>
    </row>
    <row r="110" spans="1:8">
      <c r="A110" s="83" t="str">
        <f t="shared" si="1"/>
        <v>2022-002</v>
      </c>
      <c r="B110" s="88">
        <f>VLOOKUP(D110,'Master List'!A93:G1722,7,FALSE)</f>
        <v>68</v>
      </c>
      <c r="C110" s="81" t="str">
        <f>VLOOKUP(D110,'Master List'!$A$4:$G$1633,3,FALSE)</f>
        <v>51-141</v>
      </c>
      <c r="D110" s="235">
        <v>312</v>
      </c>
      <c r="E110" s="132">
        <v>2.1810152651204728E-2</v>
      </c>
      <c r="F110" s="226">
        <v>26</v>
      </c>
      <c r="G110" s="132">
        <v>4.9659762966459742E-2</v>
      </c>
      <c r="H110" s="65" t="s">
        <v>233</v>
      </c>
    </row>
    <row r="111" spans="1:8">
      <c r="A111" s="83" t="str">
        <f t="shared" si="1"/>
        <v>2022-002</v>
      </c>
      <c r="B111" s="88">
        <f>VLOOKUP(D111,'Master List'!A94:G1723,7,FALSE)</f>
        <v>68</v>
      </c>
      <c r="C111" s="81" t="str">
        <f>VLOOKUP(D111,'Master List'!$A$4:$G$1633,3,FALSE)</f>
        <v>51-141</v>
      </c>
      <c r="D111" s="235">
        <v>316</v>
      </c>
      <c r="E111" s="132">
        <v>7.9563130821717384E-2</v>
      </c>
      <c r="F111" s="237">
        <v>46</v>
      </c>
      <c r="G111" s="132">
        <v>0.11140513719512467</v>
      </c>
      <c r="H111" s="238" t="s">
        <v>239</v>
      </c>
    </row>
    <row r="112" spans="1:8">
      <c r="A112" s="83" t="str">
        <f t="shared" si="1"/>
        <v>2022-002</v>
      </c>
      <c r="B112" s="88">
        <f>VLOOKUP(D112,'Master List'!A95:G1724,7,FALSE)</f>
        <v>68</v>
      </c>
      <c r="C112" s="81" t="str">
        <f>VLOOKUP(D112,'Master List'!$A$4:$G$1633,3,FALSE)</f>
        <v>51-141</v>
      </c>
      <c r="D112" s="235">
        <v>317</v>
      </c>
      <c r="E112" s="132">
        <v>0.376762974904092</v>
      </c>
      <c r="F112" s="88">
        <v>6</v>
      </c>
      <c r="G112" s="132">
        <v>0.15780818297324339</v>
      </c>
    </row>
    <row r="113" spans="1:8">
      <c r="A113" s="83" t="str">
        <f t="shared" si="1"/>
        <v>2022-002</v>
      </c>
      <c r="B113" s="88">
        <f>VLOOKUP(D113,'Master List'!A96:G1725,7,FALSE)</f>
        <v>68</v>
      </c>
      <c r="C113" s="81" t="str">
        <f>VLOOKUP(D113,'Master List'!$A$4:$G$1633,3,FALSE)</f>
        <v>51-141</v>
      </c>
      <c r="D113" s="235">
        <v>320</v>
      </c>
      <c r="E113" s="132">
        <v>0.36406381780129893</v>
      </c>
      <c r="F113" s="88">
        <v>6</v>
      </c>
      <c r="G113" s="132">
        <v>0.19807770775051023</v>
      </c>
    </row>
    <row r="114" spans="1:8">
      <c r="A114" s="83" t="str">
        <f t="shared" si="1"/>
        <v>2022-002</v>
      </c>
      <c r="B114" s="88">
        <f>VLOOKUP(D114,'Master List'!A97:G1726,7,FALSE)</f>
        <v>68</v>
      </c>
      <c r="C114" s="81" t="str">
        <f>VLOOKUP(D114,'Master List'!$A$4:$G$1633,3,FALSE)</f>
        <v>51-141</v>
      </c>
      <c r="D114" s="235">
        <v>322</v>
      </c>
      <c r="E114" s="132">
        <v>0.38997859117509653</v>
      </c>
      <c r="F114" s="88">
        <v>6</v>
      </c>
      <c r="G114" s="132">
        <v>0.12536307088569287</v>
      </c>
    </row>
    <row r="115" spans="1:8">
      <c r="A115" s="83" t="str">
        <f t="shared" si="1"/>
        <v>2022-002</v>
      </c>
      <c r="B115" s="88">
        <f>VLOOKUP(D115,'Master List'!A98:G1727,7,FALSE)</f>
        <v>68</v>
      </c>
      <c r="C115" s="81" t="str">
        <f>VLOOKUP(D115,'Master List'!$A$4:$G$1633,3,FALSE)</f>
        <v>51-141</v>
      </c>
      <c r="D115" s="235">
        <v>328</v>
      </c>
      <c r="E115" s="132">
        <v>0.4669504086147257</v>
      </c>
      <c r="F115" s="88">
        <v>46</v>
      </c>
      <c r="G115" s="132">
        <v>0.10132741096843223</v>
      </c>
      <c r="H115" s="238" t="s">
        <v>239</v>
      </c>
    </row>
    <row r="116" spans="1:8">
      <c r="A116" s="83" t="str">
        <f t="shared" si="1"/>
        <v>2022-002</v>
      </c>
      <c r="B116" s="88">
        <f>VLOOKUP(D116,'Master List'!A99:G1728,7,FALSE)</f>
        <v>72</v>
      </c>
      <c r="C116" s="81" t="str">
        <f>VLOOKUP(D116,'Master List'!$A$4:$G$1633,3,FALSE)</f>
        <v>52-141</v>
      </c>
      <c r="D116" s="235">
        <v>332</v>
      </c>
      <c r="E116" s="132">
        <v>1.4877849667950785E-2</v>
      </c>
      <c r="F116" s="226">
        <v>26</v>
      </c>
      <c r="G116" s="132">
        <v>5.0929220968216976E-2</v>
      </c>
      <c r="H116" s="65" t="s">
        <v>233</v>
      </c>
    </row>
    <row r="117" spans="1:8">
      <c r="A117" s="83" t="str">
        <f t="shared" si="1"/>
        <v>2022-002</v>
      </c>
      <c r="B117" s="88">
        <f>VLOOKUP(D117,'Master List'!A100:G1729,7,FALSE)</f>
        <v>72</v>
      </c>
      <c r="C117" s="81" t="str">
        <f>VLOOKUP(D117,'Master List'!$A$4:$G$1633,3,FALSE)</f>
        <v>52-141</v>
      </c>
      <c r="D117" s="235">
        <v>336</v>
      </c>
      <c r="E117" s="132">
        <v>0.11147784808779714</v>
      </c>
      <c r="F117" s="88">
        <v>6</v>
      </c>
      <c r="G117" s="132">
        <v>0.11868974785526203</v>
      </c>
    </row>
    <row r="118" spans="1:8">
      <c r="A118" s="83" t="str">
        <f t="shared" si="1"/>
        <v>2022-002</v>
      </c>
      <c r="B118" s="88">
        <f>VLOOKUP(D118,'Master List'!A101:G1730,7,FALSE)</f>
        <v>72</v>
      </c>
      <c r="C118" s="81" t="str">
        <f>VLOOKUP(D118,'Master List'!$A$4:$G$1633,3,FALSE)</f>
        <v>52-141</v>
      </c>
      <c r="D118" s="235">
        <v>337</v>
      </c>
      <c r="E118" s="241">
        <v>5.5822404613151765E-2</v>
      </c>
      <c r="F118" s="120">
        <v>2</v>
      </c>
      <c r="G118" s="82">
        <v>0.39388283503122323</v>
      </c>
      <c r="H118" s="122" t="s">
        <v>247</v>
      </c>
    </row>
    <row r="119" spans="1:8">
      <c r="A119" s="83" t="str">
        <f t="shared" si="1"/>
        <v>2022-002</v>
      </c>
      <c r="B119" s="88">
        <f>VLOOKUP(D119,'Master List'!A102:G1731,7,FALSE)</f>
        <v>72</v>
      </c>
      <c r="C119" s="81" t="str">
        <f>VLOOKUP(D119,'Master List'!$A$4:$G$1633,3,FALSE)</f>
        <v>52-141</v>
      </c>
      <c r="D119" s="235">
        <v>340</v>
      </c>
      <c r="E119" s="132">
        <v>0.2027911081333672</v>
      </c>
      <c r="F119" s="88">
        <v>6</v>
      </c>
      <c r="G119" s="132">
        <v>0.14091107223187949</v>
      </c>
    </row>
    <row r="120" spans="1:8">
      <c r="A120" s="83" t="str">
        <f t="shared" si="1"/>
        <v>2022-002</v>
      </c>
      <c r="B120" s="88">
        <f>VLOOKUP(D120,'Master List'!A103:G1732,7,FALSE)</f>
        <v>72</v>
      </c>
      <c r="C120" s="81" t="str">
        <f>VLOOKUP(D120,'Master List'!$A$4:$G$1633,3,FALSE)</f>
        <v>52-141</v>
      </c>
      <c r="D120" s="235">
        <v>342</v>
      </c>
      <c r="E120" s="132">
        <v>0.39136674597642607</v>
      </c>
      <c r="F120" s="88">
        <v>6</v>
      </c>
      <c r="G120" s="132">
        <v>0.13519356947485678</v>
      </c>
    </row>
    <row r="121" spans="1:8">
      <c r="A121" s="83" t="str">
        <f t="shared" si="1"/>
        <v>2022-002</v>
      </c>
      <c r="B121" s="88">
        <f>VLOOKUP(D121,'Master List'!A104:G1733,7,FALSE)</f>
        <v>72</v>
      </c>
      <c r="C121" s="81" t="str">
        <f>VLOOKUP(D121,'Master List'!$A$4:$G$1633,3,FALSE)</f>
        <v>52-141</v>
      </c>
      <c r="D121" s="235">
        <v>348</v>
      </c>
      <c r="E121" s="132">
        <v>0.39327791815762664</v>
      </c>
      <c r="F121" s="120">
        <v>36</v>
      </c>
      <c r="G121" s="132">
        <v>0.18043036437462651</v>
      </c>
      <c r="H121" s="31" t="s">
        <v>238</v>
      </c>
    </row>
    <row r="122" spans="1:8">
      <c r="A122" s="83" t="str">
        <f t="shared" si="1"/>
        <v>2022-002</v>
      </c>
      <c r="B122" s="88">
        <f>VLOOKUP(D122,'Master List'!A105:G1734,7,FALSE)</f>
        <v>76</v>
      </c>
      <c r="C122" s="81" t="str">
        <f>VLOOKUP(D122,'Master List'!$A$4:$G$1633,3,FALSE)</f>
        <v>53-141</v>
      </c>
      <c r="D122" s="235">
        <v>352</v>
      </c>
      <c r="E122" s="132">
        <v>1.5602532056361433E-2</v>
      </c>
      <c r="F122" s="226">
        <v>26</v>
      </c>
      <c r="G122" s="132">
        <v>4.4510709327322776E-2</v>
      </c>
      <c r="H122" s="65" t="s">
        <v>233</v>
      </c>
    </row>
    <row r="123" spans="1:8">
      <c r="A123" s="83" t="str">
        <f t="shared" si="1"/>
        <v>2022-002</v>
      </c>
      <c r="B123" s="88">
        <f>VLOOKUP(D123,'Master List'!A106:G1735,7,FALSE)</f>
        <v>76</v>
      </c>
      <c r="C123" s="81" t="str">
        <f>VLOOKUP(D123,'Master List'!$A$4:$G$1633,3,FALSE)</f>
        <v>53-141</v>
      </c>
      <c r="D123" s="235">
        <v>356</v>
      </c>
      <c r="E123" s="132">
        <v>0.14167595345191769</v>
      </c>
      <c r="F123" s="88">
        <v>6</v>
      </c>
      <c r="G123" s="132">
        <v>0.1528532499399079</v>
      </c>
    </row>
    <row r="124" spans="1:8">
      <c r="A124" s="83" t="str">
        <f t="shared" si="1"/>
        <v>2022-002</v>
      </c>
      <c r="B124" s="88">
        <f>VLOOKUP(D124,'Master List'!A107:G1736,7,FALSE)</f>
        <v>76</v>
      </c>
      <c r="C124" s="81" t="str">
        <f>VLOOKUP(D124,'Master List'!$A$4:$G$1633,3,FALSE)</f>
        <v>53-141</v>
      </c>
      <c r="D124" s="235">
        <v>357</v>
      </c>
      <c r="E124" s="132">
        <v>0.3065540399798381</v>
      </c>
      <c r="F124" s="88">
        <v>6</v>
      </c>
      <c r="G124" s="132">
        <v>0.15794360703817156</v>
      </c>
    </row>
    <row r="125" spans="1:8">
      <c r="A125" s="83" t="str">
        <f t="shared" si="1"/>
        <v>2022-002</v>
      </c>
      <c r="B125" s="88">
        <f>VLOOKUP(D125,'Master List'!A108:G1737,7,FALSE)</f>
        <v>76</v>
      </c>
      <c r="C125" s="81" t="str">
        <f>VLOOKUP(D125,'Master List'!$A$4:$G$1633,3,FALSE)</f>
        <v>53-141</v>
      </c>
      <c r="D125" s="235">
        <v>360</v>
      </c>
      <c r="E125" s="132">
        <v>0.30483770133669807</v>
      </c>
      <c r="F125" s="88">
        <v>6</v>
      </c>
      <c r="G125" s="132">
        <v>0.21749443477150904</v>
      </c>
    </row>
    <row r="126" spans="1:8">
      <c r="A126" s="83" t="str">
        <f t="shared" si="1"/>
        <v>2022-002</v>
      </c>
      <c r="B126" s="88">
        <f>VLOOKUP(D126,'Master List'!A109:G1738,7,FALSE)</f>
        <v>76</v>
      </c>
      <c r="C126" s="81" t="str">
        <f>VLOOKUP(D126,'Master List'!$A$4:$G$1633,3,FALSE)</f>
        <v>53-141</v>
      </c>
      <c r="D126" s="235">
        <v>362</v>
      </c>
      <c r="E126" s="132">
        <v>0.32518018087019779</v>
      </c>
      <c r="F126" s="88">
        <v>6</v>
      </c>
      <c r="G126" s="132">
        <v>0.24393538767623302</v>
      </c>
    </row>
    <row r="127" spans="1:8">
      <c r="A127" s="83" t="str">
        <f t="shared" si="1"/>
        <v>2022-002</v>
      </c>
      <c r="B127" s="88">
        <f>VLOOKUP(D127,'Master List'!A110:G1739,7,FALSE)</f>
        <v>76</v>
      </c>
      <c r="C127" s="81" t="str">
        <f>VLOOKUP(D127,'Master List'!$A$4:$G$1633,3,FALSE)</f>
        <v>53-141</v>
      </c>
      <c r="D127" s="235">
        <v>368</v>
      </c>
      <c r="E127" s="132">
        <v>0.34123960167219369</v>
      </c>
      <c r="F127" s="88">
        <v>6</v>
      </c>
      <c r="G127" s="132">
        <v>0.16858944217552002</v>
      </c>
    </row>
    <row r="128" spans="1:8">
      <c r="A128" s="83" t="str">
        <f t="shared" si="1"/>
        <v>2022-002</v>
      </c>
      <c r="B128" s="88">
        <f>VLOOKUP(D128,'Master List'!A111:G1740,7,FALSE)</f>
        <v>80</v>
      </c>
      <c r="C128" s="81" t="str">
        <f>VLOOKUP(D128,'Master List'!$A$4:$G$1633,3,FALSE)</f>
        <v>53-138</v>
      </c>
      <c r="D128" s="235">
        <v>372</v>
      </c>
      <c r="E128" s="132">
        <v>9.8640968540147644E-3</v>
      </c>
      <c r="F128" s="226">
        <v>26</v>
      </c>
      <c r="G128" s="132">
        <v>4.4671506293386537E-2</v>
      </c>
      <c r="H128" s="65" t="s">
        <v>233</v>
      </c>
    </row>
    <row r="129" spans="1:8">
      <c r="A129" s="83" t="str">
        <f t="shared" si="1"/>
        <v>2022-002</v>
      </c>
      <c r="B129" s="88">
        <f>VLOOKUP(D129,'Master List'!A112:G1741,7,FALSE)</f>
        <v>80</v>
      </c>
      <c r="C129" s="81" t="str">
        <f>VLOOKUP(D129,'Master List'!$A$4:$G$1633,3,FALSE)</f>
        <v>53-138</v>
      </c>
      <c r="D129" s="235">
        <v>376</v>
      </c>
      <c r="E129" s="132">
        <v>4.6266816965967919E-2</v>
      </c>
      <c r="F129" s="88">
        <v>36</v>
      </c>
      <c r="G129" s="132">
        <v>6.7779242656828109E-2</v>
      </c>
      <c r="H129" s="31" t="s">
        <v>238</v>
      </c>
    </row>
    <row r="130" spans="1:8">
      <c r="A130" s="83" t="str">
        <f t="shared" si="1"/>
        <v>2022-002</v>
      </c>
      <c r="B130" s="88">
        <f>VLOOKUP(D130,'Master List'!A113:G1742,7,FALSE)</f>
        <v>80</v>
      </c>
      <c r="C130" s="81" t="str">
        <f>VLOOKUP(D130,'Master List'!$A$4:$G$1633,3,FALSE)</f>
        <v>53-138</v>
      </c>
      <c r="D130" s="235">
        <v>377</v>
      </c>
      <c r="E130" s="132">
        <v>0.31183449340127356</v>
      </c>
      <c r="F130" s="88">
        <v>6</v>
      </c>
      <c r="G130" s="132">
        <v>0.1872324455943512</v>
      </c>
    </row>
    <row r="131" spans="1:8">
      <c r="A131" s="83" t="str">
        <f t="shared" si="1"/>
        <v>2022-002</v>
      </c>
      <c r="B131" s="88">
        <f>VLOOKUP(D131,'Master List'!A114:G1743,7,FALSE)</f>
        <v>80</v>
      </c>
      <c r="C131" s="81" t="str">
        <f>VLOOKUP(D131,'Master List'!$A$4:$G$1633,3,FALSE)</f>
        <v>53-138</v>
      </c>
      <c r="D131" s="235">
        <v>380</v>
      </c>
      <c r="E131" s="132">
        <v>0.33492650317315492</v>
      </c>
      <c r="F131" s="88">
        <v>6</v>
      </c>
      <c r="G131" s="132">
        <v>0.21015794647107192</v>
      </c>
    </row>
    <row r="132" spans="1:8">
      <c r="A132" s="83" t="str">
        <f t="shared" si="1"/>
        <v>2022-002</v>
      </c>
      <c r="B132" s="88">
        <f>VLOOKUP(D132,'Master List'!A115:G1744,7,FALSE)</f>
        <v>80</v>
      </c>
      <c r="C132" s="81" t="str">
        <f>VLOOKUP(D132,'Master List'!$A$4:$G$1633,3,FALSE)</f>
        <v>53-138</v>
      </c>
      <c r="D132" s="235">
        <v>382</v>
      </c>
      <c r="E132" s="132">
        <v>0.35973430507053794</v>
      </c>
      <c r="F132" s="88">
        <v>6</v>
      </c>
      <c r="G132" s="132">
        <v>0.23737390920722512</v>
      </c>
    </row>
    <row r="133" spans="1:8">
      <c r="A133" s="83" t="str">
        <f t="shared" si="1"/>
        <v>2022-002</v>
      </c>
      <c r="B133" s="88">
        <f>VLOOKUP(D133,'Master List'!A116:G1745,7,FALSE)</f>
        <v>80</v>
      </c>
      <c r="C133" s="81" t="str">
        <f>VLOOKUP(D133,'Master List'!$A$4:$G$1633,3,FALSE)</f>
        <v>53-138</v>
      </c>
      <c r="D133" s="235">
        <v>388</v>
      </c>
      <c r="E133" s="132">
        <v>0.37202220765049632</v>
      </c>
      <c r="F133" s="88">
        <v>6</v>
      </c>
      <c r="G133" s="132">
        <v>0.23819939513447067</v>
      </c>
    </row>
    <row r="134" spans="1:8">
      <c r="A134" s="83" t="str">
        <f t="shared" si="1"/>
        <v>2022-002</v>
      </c>
      <c r="B134" s="88">
        <f>VLOOKUP(D134,'Master List'!A117:G1746,7,FALSE)</f>
        <v>84</v>
      </c>
      <c r="C134" s="81" t="str">
        <f>VLOOKUP(D134,'Master List'!$A$4:$G$1633,3,FALSE)</f>
        <v>52-138</v>
      </c>
      <c r="D134" s="235">
        <v>392</v>
      </c>
      <c r="E134" s="132">
        <v>1.1331769971719717E-2</v>
      </c>
      <c r="F134" s="226">
        <v>26</v>
      </c>
      <c r="G134" s="132">
        <v>5.4615668801191453E-2</v>
      </c>
      <c r="H134" s="65" t="s">
        <v>233</v>
      </c>
    </row>
    <row r="135" spans="1:8">
      <c r="A135" s="83" t="str">
        <f t="shared" si="1"/>
        <v>2022-002</v>
      </c>
      <c r="B135" s="88">
        <f>VLOOKUP(D135,'Master List'!A118:G1747,7,FALSE)</f>
        <v>84</v>
      </c>
      <c r="C135" s="81" t="str">
        <f>VLOOKUP(D135,'Master List'!$A$4:$G$1633,3,FALSE)</f>
        <v>52-138</v>
      </c>
      <c r="D135" s="235">
        <v>396</v>
      </c>
      <c r="E135" s="132">
        <v>3.1087836079303512E-2</v>
      </c>
      <c r="F135" s="88">
        <v>36</v>
      </c>
      <c r="G135" s="132">
        <v>7.8144159803574725E-2</v>
      </c>
      <c r="H135" s="31" t="s">
        <v>238</v>
      </c>
    </row>
    <row r="136" spans="1:8">
      <c r="A136" s="83" t="str">
        <f t="shared" si="1"/>
        <v>2022-002</v>
      </c>
      <c r="B136" s="88">
        <f>VLOOKUP(D136,'Master List'!A119:G1748,7,FALSE)</f>
        <v>84</v>
      </c>
      <c r="C136" s="81" t="str">
        <f>VLOOKUP(D136,'Master List'!$A$4:$G$1633,3,FALSE)</f>
        <v>52-138</v>
      </c>
      <c r="D136" s="235">
        <v>397</v>
      </c>
      <c r="E136" s="132">
        <v>0.24038004477929123</v>
      </c>
      <c r="F136" s="120">
        <v>36</v>
      </c>
      <c r="G136" s="132">
        <v>0.31687582458827446</v>
      </c>
      <c r="H136" s="31" t="s">
        <v>238</v>
      </c>
    </row>
    <row r="137" spans="1:8">
      <c r="A137" s="83" t="str">
        <f t="shared" si="1"/>
        <v>2022-002</v>
      </c>
      <c r="B137" s="88">
        <f>VLOOKUP(D137,'Master List'!A120:G1749,7,FALSE)</f>
        <v>84</v>
      </c>
      <c r="C137" s="81" t="str">
        <f>VLOOKUP(D137,'Master List'!$A$4:$G$1633,3,FALSE)</f>
        <v>52-138</v>
      </c>
      <c r="D137" s="235">
        <v>400</v>
      </c>
      <c r="E137" s="132">
        <v>0.54722920428382138</v>
      </c>
      <c r="F137" s="88">
        <v>36</v>
      </c>
      <c r="G137" s="132">
        <v>0.384831889474616</v>
      </c>
      <c r="H137" s="31" t="s">
        <v>238</v>
      </c>
    </row>
    <row r="138" spans="1:8">
      <c r="A138" s="83" t="str">
        <f t="shared" si="1"/>
        <v>2022-002</v>
      </c>
      <c r="B138" s="88">
        <f>VLOOKUP(D138,'Master List'!A121:G1750,7,FALSE)</f>
        <v>84</v>
      </c>
      <c r="C138" s="81" t="str">
        <f>VLOOKUP(D138,'Master List'!$A$4:$G$1633,3,FALSE)</f>
        <v>52-138</v>
      </c>
      <c r="D138" s="235">
        <v>402</v>
      </c>
      <c r="E138" s="132">
        <v>0.55700695135098166</v>
      </c>
      <c r="F138" s="88">
        <v>6</v>
      </c>
      <c r="G138" s="132">
        <v>0.43598353765645226</v>
      </c>
    </row>
    <row r="139" spans="1:8">
      <c r="A139" s="83" t="str">
        <f t="shared" si="1"/>
        <v>2022-002</v>
      </c>
      <c r="B139" s="88">
        <f>VLOOKUP(D139,'Master List'!A122:G1751,7,FALSE)</f>
        <v>84</v>
      </c>
      <c r="C139" s="81" t="str">
        <f>VLOOKUP(D139,'Master List'!$A$4:$G$1633,3,FALSE)</f>
        <v>52-138</v>
      </c>
      <c r="D139" s="235">
        <v>408</v>
      </c>
      <c r="E139" s="241">
        <v>0.51863813403517711</v>
      </c>
      <c r="F139" s="237">
        <v>2</v>
      </c>
      <c r="G139" s="82">
        <v>0.41559444071492141</v>
      </c>
      <c r="H139" s="122" t="s">
        <v>248</v>
      </c>
    </row>
    <row r="140" spans="1:8">
      <c r="A140" s="83" t="str">
        <f t="shared" si="1"/>
        <v>2022-002</v>
      </c>
      <c r="B140" s="88">
        <f>VLOOKUP(D140,'Master List'!A123:G1752,7,FALSE)</f>
        <v>88</v>
      </c>
      <c r="C140" s="81" t="str">
        <f>VLOOKUP(D140,'Master List'!$A$4:$G$1633,3,FALSE)</f>
        <v>52-135</v>
      </c>
      <c r="D140" s="235">
        <v>412</v>
      </c>
      <c r="E140" s="132">
        <v>8.7478345777487546E-3</v>
      </c>
      <c r="F140" s="226">
        <v>26</v>
      </c>
      <c r="G140" s="132">
        <v>5.8246731716922281E-2</v>
      </c>
      <c r="H140" s="65" t="s">
        <v>233</v>
      </c>
    </row>
    <row r="141" spans="1:8">
      <c r="A141" s="83" t="str">
        <f t="shared" si="1"/>
        <v>2022-002</v>
      </c>
      <c r="B141" s="88">
        <f>VLOOKUP(D141,'Master List'!A124:G1753,7,FALSE)</f>
        <v>88</v>
      </c>
      <c r="C141" s="81" t="str">
        <f>VLOOKUP(D141,'Master List'!$A$4:$G$1633,3,FALSE)</f>
        <v>52-135</v>
      </c>
      <c r="D141" s="235">
        <v>416</v>
      </c>
      <c r="E141" s="132">
        <v>3.6990499831964944E-2</v>
      </c>
      <c r="F141" s="88">
        <v>36</v>
      </c>
      <c r="G141" s="132">
        <v>0.10316192066117648</v>
      </c>
      <c r="H141" s="31" t="s">
        <v>238</v>
      </c>
    </row>
    <row r="142" spans="1:8">
      <c r="A142" s="83" t="str">
        <f t="shared" si="1"/>
        <v>2022-002</v>
      </c>
      <c r="B142" s="88">
        <f>VLOOKUP(D142,'Master List'!A125:G1754,7,FALSE)</f>
        <v>88</v>
      </c>
      <c r="C142" s="81" t="str">
        <f>VLOOKUP(D142,'Master List'!$A$4:$G$1633,3,FALSE)</f>
        <v>52-135</v>
      </c>
      <c r="D142" s="235">
        <v>417</v>
      </c>
      <c r="E142" s="132">
        <v>0.14203118991682484</v>
      </c>
      <c r="F142" s="88">
        <v>6</v>
      </c>
      <c r="G142" s="132">
        <v>0.14276895238513235</v>
      </c>
    </row>
    <row r="143" spans="1:8">
      <c r="A143" s="83" t="str">
        <f t="shared" si="1"/>
        <v>2022-002</v>
      </c>
      <c r="B143" s="88">
        <f>VLOOKUP(D143,'Master List'!A126:G1755,7,FALSE)</f>
        <v>88</v>
      </c>
      <c r="C143" s="81" t="str">
        <f>VLOOKUP(D143,'Master List'!$A$4:$G$1633,3,FALSE)</f>
        <v>52-135</v>
      </c>
      <c r="D143" s="235">
        <v>420</v>
      </c>
      <c r="E143" s="132">
        <v>0.41727058899745717</v>
      </c>
      <c r="F143" s="88">
        <v>6</v>
      </c>
      <c r="G143" s="132">
        <v>0.31385633376468081</v>
      </c>
    </row>
    <row r="144" spans="1:8">
      <c r="A144" s="83" t="str">
        <f t="shared" si="1"/>
        <v>2022-002</v>
      </c>
      <c r="B144" s="88">
        <f>VLOOKUP(D144,'Master List'!A127:G1756,7,FALSE)</f>
        <v>88</v>
      </c>
      <c r="C144" s="81" t="str">
        <f>VLOOKUP(D144,'Master List'!$A$4:$G$1633,3,FALSE)</f>
        <v>52-135</v>
      </c>
      <c r="D144" s="235">
        <v>422</v>
      </c>
      <c r="E144" s="132">
        <v>0.81262964632180146</v>
      </c>
      <c r="F144" s="88">
        <v>6</v>
      </c>
      <c r="G144" s="132">
        <v>0.37482164833893838</v>
      </c>
    </row>
    <row r="145" spans="1:8">
      <c r="A145" s="83" t="str">
        <f t="shared" si="1"/>
        <v>2022-002</v>
      </c>
      <c r="B145" s="88">
        <f>VLOOKUP(D145,'Master List'!A128:G1757,7,FALSE)</f>
        <v>88</v>
      </c>
      <c r="C145" s="81" t="str">
        <f>VLOOKUP(D145,'Master List'!$A$4:$G$1633,3,FALSE)</f>
        <v>52-135</v>
      </c>
      <c r="D145" s="235">
        <v>428</v>
      </c>
      <c r="E145" s="241">
        <v>0.66065784708159714</v>
      </c>
      <c r="F145" s="88">
        <v>2</v>
      </c>
      <c r="G145" s="82">
        <v>0.31796392098501447</v>
      </c>
      <c r="H145" s="122" t="s">
        <v>249</v>
      </c>
    </row>
    <row r="146" spans="1:8">
      <c r="A146" s="83" t="str">
        <f t="shared" si="1"/>
        <v>2022-002</v>
      </c>
      <c r="B146" s="88">
        <f>VLOOKUP(D146,'Master List'!A129:G1758,7,FALSE)</f>
        <v>92</v>
      </c>
      <c r="C146" s="81" t="str">
        <f>VLOOKUP(D146,'Master List'!$A$4:$G$1633,3,FALSE)</f>
        <v>51-135</v>
      </c>
      <c r="D146" s="235">
        <v>432</v>
      </c>
      <c r="E146" s="132">
        <v>1.3761860650503947E-2</v>
      </c>
      <c r="F146" s="226">
        <v>26</v>
      </c>
      <c r="G146" s="132">
        <v>5.0525102872703287E-2</v>
      </c>
      <c r="H146" s="65" t="s">
        <v>233</v>
      </c>
    </row>
    <row r="147" spans="1:8">
      <c r="A147" s="83" t="str">
        <f t="shared" si="1"/>
        <v>2022-002</v>
      </c>
      <c r="B147" s="88">
        <f>VLOOKUP(D147,'Master List'!A130:G1759,7,FALSE)</f>
        <v>92</v>
      </c>
      <c r="C147" s="81" t="str">
        <f>VLOOKUP(D147,'Master List'!$A$4:$G$1633,3,FALSE)</f>
        <v>51-135</v>
      </c>
      <c r="D147" s="235">
        <v>436</v>
      </c>
      <c r="E147" s="132">
        <v>9.8802464502270829E-2</v>
      </c>
      <c r="F147" s="88">
        <v>6</v>
      </c>
      <c r="G147" s="132">
        <v>0.12127223989615014</v>
      </c>
    </row>
    <row r="148" spans="1:8">
      <c r="A148" s="83" t="str">
        <f t="shared" si="1"/>
        <v>2022-002</v>
      </c>
      <c r="B148" s="88">
        <f>VLOOKUP(D148,'Master List'!A131:G1760,7,FALSE)</f>
        <v>92</v>
      </c>
      <c r="C148" s="81" t="str">
        <f>VLOOKUP(D148,'Master List'!$A$4:$G$1633,3,FALSE)</f>
        <v>51-135</v>
      </c>
      <c r="D148" s="235">
        <v>437</v>
      </c>
      <c r="E148" s="132">
        <v>0.24105526732143406</v>
      </c>
      <c r="F148" s="88">
        <v>6</v>
      </c>
      <c r="G148" s="132">
        <v>0.21014637177400994</v>
      </c>
    </row>
    <row r="149" spans="1:8">
      <c r="A149" s="83" t="str">
        <f t="shared" si="1"/>
        <v>2022-002</v>
      </c>
      <c r="B149" s="88">
        <f>VLOOKUP(D149,'Master List'!A132:G1761,7,FALSE)</f>
        <v>92</v>
      </c>
      <c r="C149" s="81" t="str">
        <f>VLOOKUP(D149,'Master List'!$A$4:$G$1633,3,FALSE)</f>
        <v>51-135</v>
      </c>
      <c r="D149" s="235">
        <v>440</v>
      </c>
      <c r="E149" s="241">
        <v>0.42571319347420511</v>
      </c>
      <c r="F149" s="88">
        <v>2</v>
      </c>
      <c r="G149" s="82">
        <v>0.28612883735053157</v>
      </c>
      <c r="H149" s="122" t="s">
        <v>250</v>
      </c>
    </row>
    <row r="150" spans="1:8">
      <c r="A150" s="83" t="str">
        <f t="shared" ref="A150:A213" si="2">$A$1</f>
        <v>2022-002</v>
      </c>
      <c r="B150" s="88">
        <f>VLOOKUP(D150,'Master List'!A133:G1762,7,FALSE)</f>
        <v>92</v>
      </c>
      <c r="C150" s="81" t="str">
        <f>VLOOKUP(D150,'Master List'!$A$4:$G$1633,3,FALSE)</f>
        <v>51-135</v>
      </c>
      <c r="D150" s="235">
        <v>442</v>
      </c>
      <c r="E150" s="132">
        <v>0.61496050149475756</v>
      </c>
      <c r="F150" s="88">
        <v>6</v>
      </c>
      <c r="G150" s="132">
        <v>0.36721272126905802</v>
      </c>
    </row>
    <row r="151" spans="1:8">
      <c r="A151" s="83" t="str">
        <f t="shared" si="2"/>
        <v>2022-002</v>
      </c>
      <c r="B151" s="88">
        <f>VLOOKUP(D151,'Master List'!A134:G1763,7,FALSE)</f>
        <v>92</v>
      </c>
      <c r="C151" s="81" t="str">
        <f>VLOOKUP(D151,'Master List'!$A$4:$G$1633,3,FALSE)</f>
        <v>51-135</v>
      </c>
      <c r="D151" s="235">
        <v>448</v>
      </c>
      <c r="E151" s="132">
        <v>0.6362230434723668</v>
      </c>
      <c r="F151" s="88">
        <v>6</v>
      </c>
      <c r="G151" s="132">
        <v>0.28552310479936016</v>
      </c>
    </row>
    <row r="152" spans="1:8">
      <c r="A152" s="83" t="str">
        <f t="shared" si="2"/>
        <v>2022-002</v>
      </c>
      <c r="B152" s="88">
        <f>VLOOKUP(D152,'Master List'!A135:G1764,7,FALSE)</f>
        <v>96</v>
      </c>
      <c r="C152" s="81" t="str">
        <f>VLOOKUP(D152,'Master List'!$A$4:$G$1633,3,FALSE)</f>
        <v>53-135</v>
      </c>
      <c r="D152" s="235">
        <v>452</v>
      </c>
      <c r="E152" s="132">
        <v>9.2208455937136148E-3</v>
      </c>
      <c r="F152" s="88">
        <v>26</v>
      </c>
      <c r="G152" s="132">
        <v>6.9365828448572558E-2</v>
      </c>
      <c r="H152" s="65" t="s">
        <v>233</v>
      </c>
    </row>
    <row r="153" spans="1:8">
      <c r="A153" s="83" t="str">
        <f t="shared" si="2"/>
        <v>2022-002</v>
      </c>
      <c r="B153" s="88">
        <f>VLOOKUP(D153,'Master List'!A136:G1765,7,FALSE)</f>
        <v>96</v>
      </c>
      <c r="C153" s="81" t="str">
        <f>VLOOKUP(D153,'Master List'!$A$4:$G$1633,3,FALSE)</f>
        <v>53-135</v>
      </c>
      <c r="D153" s="235">
        <v>456</v>
      </c>
      <c r="E153" s="132">
        <v>3.5075775286115267E-2</v>
      </c>
      <c r="F153" s="88">
        <v>36</v>
      </c>
      <c r="G153" s="132">
        <v>0.1051517585912367</v>
      </c>
      <c r="H153" s="31" t="s">
        <v>238</v>
      </c>
    </row>
    <row r="154" spans="1:8">
      <c r="A154" s="83" t="str">
        <f t="shared" si="2"/>
        <v>2022-002</v>
      </c>
      <c r="B154" s="88">
        <f>VLOOKUP(D154,'Master List'!A137:G1766,7,FALSE)</f>
        <v>96</v>
      </c>
      <c r="C154" s="81" t="str">
        <f>VLOOKUP(D154,'Master List'!$A$4:$G$1633,3,FALSE)</f>
        <v>53-135</v>
      </c>
      <c r="D154" s="235">
        <v>457</v>
      </c>
      <c r="E154" s="132">
        <v>0.19600636491245937</v>
      </c>
      <c r="F154" s="88">
        <v>6</v>
      </c>
      <c r="G154" s="132">
        <v>0.29310781594594515</v>
      </c>
    </row>
    <row r="155" spans="1:8">
      <c r="A155" s="83" t="str">
        <f t="shared" si="2"/>
        <v>2022-002</v>
      </c>
      <c r="B155" s="88">
        <f>VLOOKUP(D155,'Master List'!A138:G1767,7,FALSE)</f>
        <v>96</v>
      </c>
      <c r="C155" s="81" t="str">
        <f>VLOOKUP(D155,'Master List'!$A$4:$G$1633,3,FALSE)</f>
        <v>53-135</v>
      </c>
      <c r="D155" s="235">
        <v>460</v>
      </c>
      <c r="E155" s="132">
        <v>0.42606433105682479</v>
      </c>
      <c r="F155" s="120">
        <v>36</v>
      </c>
      <c r="G155" s="132">
        <v>0.36427353356116843</v>
      </c>
      <c r="H155" s="31" t="s">
        <v>238</v>
      </c>
    </row>
    <row r="156" spans="1:8">
      <c r="A156" s="83" t="str">
        <f t="shared" si="2"/>
        <v>2022-002</v>
      </c>
      <c r="B156" s="88">
        <f>VLOOKUP(D156,'Master List'!A139:G1768,7,FALSE)</f>
        <v>96</v>
      </c>
      <c r="C156" s="81" t="str">
        <f>VLOOKUP(D156,'Master List'!$A$4:$G$1633,3,FALSE)</f>
        <v>53-135</v>
      </c>
      <c r="D156" s="235">
        <v>462</v>
      </c>
      <c r="E156" s="241">
        <v>0.30246690782167157</v>
      </c>
      <c r="F156" s="24">
        <v>2</v>
      </c>
      <c r="G156" s="82">
        <v>0.19159325465767038</v>
      </c>
      <c r="H156" s="122" t="s">
        <v>251</v>
      </c>
    </row>
    <row r="157" spans="1:8">
      <c r="A157" s="83" t="str">
        <f t="shared" si="2"/>
        <v>2022-002</v>
      </c>
      <c r="B157" s="88">
        <f>VLOOKUP(D157,'Master List'!A140:G1769,7,FALSE)</f>
        <v>96</v>
      </c>
      <c r="C157" s="81" t="str">
        <f>VLOOKUP(D157,'Master List'!$A$4:$G$1633,3,FALSE)</f>
        <v>53-135</v>
      </c>
      <c r="D157" s="235">
        <v>468</v>
      </c>
      <c r="E157" s="132">
        <v>0.31556830190626711</v>
      </c>
      <c r="F157" s="120">
        <v>36</v>
      </c>
      <c r="G157" s="132">
        <v>0.13113357601631498</v>
      </c>
      <c r="H157" s="31" t="s">
        <v>238</v>
      </c>
    </row>
    <row r="158" spans="1:8">
      <c r="A158" s="83" t="str">
        <f t="shared" si="2"/>
        <v>2022-002</v>
      </c>
      <c r="B158" s="88">
        <f>VLOOKUP(D158,'Master List'!A141:G1770,7,FALSE)</f>
        <v>100</v>
      </c>
      <c r="C158" s="81" t="str">
        <f>VLOOKUP(D158,'Master List'!$A$4:$G$1633,3,FALSE)</f>
        <v>55-138</v>
      </c>
      <c r="D158" s="235">
        <v>472</v>
      </c>
      <c r="E158" s="132">
        <v>5.5509796524033529E-3</v>
      </c>
      <c r="F158" s="226">
        <v>26</v>
      </c>
      <c r="G158" s="132">
        <v>6.3091621237711767E-2</v>
      </c>
      <c r="H158" s="65" t="s">
        <v>233</v>
      </c>
    </row>
    <row r="159" spans="1:8">
      <c r="A159" s="83" t="str">
        <f t="shared" si="2"/>
        <v>2022-002</v>
      </c>
      <c r="B159" s="88">
        <f>VLOOKUP(D159,'Master List'!A142:G1771,7,FALSE)</f>
        <v>100</v>
      </c>
      <c r="C159" s="81" t="str">
        <f>VLOOKUP(D159,'Master List'!$A$4:$G$1633,3,FALSE)</f>
        <v>55-138</v>
      </c>
      <c r="D159" s="235">
        <v>476</v>
      </c>
      <c r="E159" s="132">
        <v>1.868243220710664E-2</v>
      </c>
      <c r="F159" s="226">
        <v>26</v>
      </c>
      <c r="G159" s="132">
        <v>0.10385613441799202</v>
      </c>
      <c r="H159" s="65" t="s">
        <v>233</v>
      </c>
    </row>
    <row r="160" spans="1:8">
      <c r="A160" s="83" t="str">
        <f t="shared" si="2"/>
        <v>2022-002</v>
      </c>
      <c r="B160" s="88">
        <f>VLOOKUP(D160,'Master List'!A143:G1772,7,FALSE)</f>
        <v>100</v>
      </c>
      <c r="C160" s="81" t="str">
        <f>VLOOKUP(D160,'Master List'!$A$4:$G$1633,3,FALSE)</f>
        <v>55-138</v>
      </c>
      <c r="D160" s="235">
        <v>477</v>
      </c>
      <c r="E160" s="132">
        <v>6.2602502434133928E-2</v>
      </c>
      <c r="F160" s="120">
        <v>46</v>
      </c>
      <c r="G160" s="132">
        <v>0.18598641625723117</v>
      </c>
      <c r="H160" s="122" t="s">
        <v>239</v>
      </c>
    </row>
    <row r="161" spans="1:8">
      <c r="A161" s="83" t="str">
        <f t="shared" si="2"/>
        <v>2022-002</v>
      </c>
      <c r="B161" s="88">
        <f>VLOOKUP(D161,'Master List'!A144:G1773,7,FALSE)</f>
        <v>100</v>
      </c>
      <c r="C161" s="81" t="str">
        <f>VLOOKUP(D161,'Master List'!$A$4:$G$1633,3,FALSE)</f>
        <v>55-138</v>
      </c>
      <c r="D161" s="235">
        <v>480</v>
      </c>
      <c r="E161" s="132">
        <v>0.14580871983288399</v>
      </c>
      <c r="F161" s="88">
        <v>6</v>
      </c>
      <c r="G161" s="132">
        <v>0.26180955172103038</v>
      </c>
    </row>
    <row r="162" spans="1:8">
      <c r="A162" s="83" t="str">
        <f t="shared" si="2"/>
        <v>2022-002</v>
      </c>
      <c r="B162" s="88">
        <f>VLOOKUP(D162,'Master List'!A145:G1774,7,FALSE)</f>
        <v>100</v>
      </c>
      <c r="C162" s="81" t="str">
        <f>VLOOKUP(D162,'Master List'!$A$4:$G$1633,3,FALSE)</f>
        <v>55-138</v>
      </c>
      <c r="D162" s="235">
        <v>482</v>
      </c>
      <c r="E162" s="132">
        <v>0.60196704464372963</v>
      </c>
      <c r="F162" s="88">
        <v>6</v>
      </c>
      <c r="G162" s="132">
        <v>0.31371440204097417</v>
      </c>
    </row>
    <row r="163" spans="1:8">
      <c r="A163" s="83" t="str">
        <f t="shared" si="2"/>
        <v>2022-002</v>
      </c>
      <c r="B163" s="88">
        <f>VLOOKUP(D163,'Master List'!A146:G1775,7,FALSE)</f>
        <v>100</v>
      </c>
      <c r="C163" s="81" t="str">
        <f>VLOOKUP(D163,'Master List'!$A$4:$G$1633,3,FALSE)</f>
        <v>55-138</v>
      </c>
      <c r="D163" s="235">
        <v>488</v>
      </c>
      <c r="E163" s="132">
        <v>0.72559097398434125</v>
      </c>
      <c r="F163" s="88">
        <v>6</v>
      </c>
      <c r="G163" s="132">
        <v>0.31547536712838886</v>
      </c>
    </row>
    <row r="164" spans="1:8">
      <c r="A164" s="83" t="str">
        <f t="shared" si="2"/>
        <v>2022-002</v>
      </c>
      <c r="B164" s="88">
        <f>VLOOKUP(D164,'Master List'!A147:G1776,7,FALSE)</f>
        <v>105</v>
      </c>
      <c r="C164" s="81" t="str">
        <f>VLOOKUP(D164,'Master List'!$A$4:$G$1633,3,FALSE)</f>
        <v>54-138</v>
      </c>
      <c r="D164" s="235">
        <v>493</v>
      </c>
      <c r="E164" s="132">
        <v>9.3940916850606543E-3</v>
      </c>
      <c r="F164" s="226">
        <v>26</v>
      </c>
      <c r="G164" s="132">
        <v>5.8164059720514992E-2</v>
      </c>
      <c r="H164" s="65" t="s">
        <v>233</v>
      </c>
    </row>
    <row r="165" spans="1:8">
      <c r="A165" s="83" t="str">
        <f t="shared" si="2"/>
        <v>2022-002</v>
      </c>
      <c r="B165" s="88">
        <f>VLOOKUP(D165,'Master List'!A148:G1777,7,FALSE)</f>
        <v>105</v>
      </c>
      <c r="C165" s="81" t="str">
        <f>VLOOKUP(D165,'Master List'!$A$4:$G$1633,3,FALSE)</f>
        <v>54-138</v>
      </c>
      <c r="D165" s="235">
        <v>497</v>
      </c>
      <c r="E165" s="132">
        <v>0.12200295802535835</v>
      </c>
      <c r="F165" s="88">
        <v>6</v>
      </c>
      <c r="G165" s="132">
        <v>0.23232753147635207</v>
      </c>
    </row>
    <row r="166" spans="1:8">
      <c r="A166" s="83" t="str">
        <f t="shared" si="2"/>
        <v>2022-002</v>
      </c>
      <c r="B166" s="88">
        <f>VLOOKUP(D166,'Master List'!A149:G1778,7,FALSE)</f>
        <v>105</v>
      </c>
      <c r="C166" s="81" t="str">
        <f>VLOOKUP(D166,'Master List'!$A$4:$G$1633,3,FALSE)</f>
        <v>54-138</v>
      </c>
      <c r="D166" s="235">
        <v>498</v>
      </c>
      <c r="E166" s="132">
        <v>0.23194809739649067</v>
      </c>
      <c r="F166" s="88">
        <v>6</v>
      </c>
      <c r="G166" s="132">
        <v>0.37585368077026909</v>
      </c>
    </row>
    <row r="167" spans="1:8">
      <c r="A167" s="83" t="str">
        <f t="shared" si="2"/>
        <v>2022-002</v>
      </c>
      <c r="B167" s="88">
        <f>VLOOKUP(D167,'Master List'!A150:G1779,7,FALSE)</f>
        <v>105</v>
      </c>
      <c r="C167" s="81" t="str">
        <f>VLOOKUP(D167,'Master List'!$A$4:$G$1633,3,FALSE)</f>
        <v>54-138</v>
      </c>
      <c r="D167" s="235">
        <v>501</v>
      </c>
      <c r="E167" s="132">
        <v>0.4074573182838061</v>
      </c>
      <c r="F167" s="88">
        <v>6</v>
      </c>
      <c r="G167" s="132">
        <v>0.35297180511750958</v>
      </c>
    </row>
    <row r="168" spans="1:8">
      <c r="A168" s="83" t="str">
        <f t="shared" si="2"/>
        <v>2022-002</v>
      </c>
      <c r="B168" s="88">
        <f>VLOOKUP(D168,'Master List'!A151:G1780,7,FALSE)</f>
        <v>105</v>
      </c>
      <c r="C168" s="81" t="str">
        <f>VLOOKUP(D168,'Master List'!$A$4:$G$1633,3,FALSE)</f>
        <v>54-138</v>
      </c>
      <c r="D168" s="235">
        <v>503</v>
      </c>
      <c r="E168" s="132">
        <v>0.5913922016010813</v>
      </c>
      <c r="F168" s="88">
        <v>6</v>
      </c>
      <c r="G168" s="132">
        <v>0.37051190916284948</v>
      </c>
    </row>
    <row r="169" spans="1:8">
      <c r="A169" s="83" t="str">
        <f t="shared" si="2"/>
        <v>2022-002</v>
      </c>
      <c r="B169" s="88">
        <f>VLOOKUP(D169,'Master List'!A152:G1781,7,FALSE)</f>
        <v>105</v>
      </c>
      <c r="C169" s="81" t="str">
        <f>VLOOKUP(D169,'Master List'!$A$4:$G$1633,3,FALSE)</f>
        <v>54-138</v>
      </c>
      <c r="D169" s="235">
        <v>509</v>
      </c>
      <c r="E169" s="132">
        <v>0.54268982877994598</v>
      </c>
      <c r="F169" s="88">
        <v>6</v>
      </c>
      <c r="G169" s="132">
        <v>0.37691652695908356</v>
      </c>
    </row>
    <row r="170" spans="1:8">
      <c r="A170" s="83" t="str">
        <f t="shared" si="2"/>
        <v>2022-002</v>
      </c>
      <c r="B170" s="88">
        <f>VLOOKUP(D170,'Master List'!A153:G1782,7,FALSE)</f>
        <v>109</v>
      </c>
      <c r="C170" s="81" t="str">
        <f>VLOOKUP(D170,'Master List'!$A$4:$G$1633,3,FALSE)</f>
        <v>54-141</v>
      </c>
      <c r="D170" s="235">
        <v>514</v>
      </c>
      <c r="E170" s="132">
        <v>9.2328689817566343E-3</v>
      </c>
      <c r="F170" s="226">
        <v>26</v>
      </c>
      <c r="G170" s="132">
        <v>3.6635823274378226E-2</v>
      </c>
      <c r="H170" s="65" t="s">
        <v>233</v>
      </c>
    </row>
    <row r="171" spans="1:8">
      <c r="A171" s="83" t="str">
        <f t="shared" si="2"/>
        <v>2022-002</v>
      </c>
      <c r="B171" s="88">
        <f>VLOOKUP(D171,'Master List'!A154:G1783,7,FALSE)</f>
        <v>109</v>
      </c>
      <c r="C171" s="81" t="str">
        <f>VLOOKUP(D171,'Master List'!$A$4:$G$1633,3,FALSE)</f>
        <v>54-141</v>
      </c>
      <c r="D171" s="235">
        <v>518</v>
      </c>
      <c r="E171" s="132">
        <v>2.696244768645456E-2</v>
      </c>
      <c r="F171" s="88">
        <v>6</v>
      </c>
      <c r="G171" s="132">
        <v>4.3903274646966486E-2</v>
      </c>
    </row>
    <row r="172" spans="1:8">
      <c r="A172" s="83" t="str">
        <f t="shared" si="2"/>
        <v>2022-002</v>
      </c>
      <c r="B172" s="88">
        <f>VLOOKUP(D172,'Master List'!A155:G1784,7,FALSE)</f>
        <v>109</v>
      </c>
      <c r="C172" s="81" t="str">
        <f>VLOOKUP(D172,'Master List'!$A$4:$G$1633,3,FALSE)</f>
        <v>54-141</v>
      </c>
      <c r="D172" s="235">
        <v>519</v>
      </c>
      <c r="E172" s="132">
        <v>0.12538863479474291</v>
      </c>
      <c r="F172" s="88">
        <v>6</v>
      </c>
      <c r="G172" s="132">
        <v>0.10407477317134259</v>
      </c>
    </row>
    <row r="173" spans="1:8">
      <c r="A173" s="83" t="str">
        <f t="shared" si="2"/>
        <v>2022-002</v>
      </c>
      <c r="B173" s="88">
        <f>VLOOKUP(D173,'Master List'!A156:G1785,7,FALSE)</f>
        <v>109</v>
      </c>
      <c r="C173" s="81" t="str">
        <f>VLOOKUP(D173,'Master List'!$A$4:$G$1633,3,FALSE)</f>
        <v>54-141</v>
      </c>
      <c r="D173" s="235">
        <v>522</v>
      </c>
      <c r="E173" s="241">
        <v>0.18315937478850094</v>
      </c>
      <c r="F173" s="24">
        <v>2</v>
      </c>
      <c r="G173" s="82">
        <v>0.14641327381876873</v>
      </c>
      <c r="H173" s="122" t="s">
        <v>270</v>
      </c>
    </row>
    <row r="174" spans="1:8">
      <c r="A174" s="83" t="str">
        <f t="shared" si="2"/>
        <v>2022-002</v>
      </c>
      <c r="B174" s="88">
        <f>VLOOKUP(D174,'Master List'!A157:G1786,7,FALSE)</f>
        <v>109</v>
      </c>
      <c r="C174" s="81" t="str">
        <f>VLOOKUP(D174,'Master List'!$A$4:$G$1633,3,FALSE)</f>
        <v>54-141</v>
      </c>
      <c r="D174" s="235">
        <v>524</v>
      </c>
      <c r="E174" s="132">
        <v>0.28716905934867265</v>
      </c>
      <c r="F174" s="88">
        <v>6</v>
      </c>
      <c r="G174" s="132">
        <v>0.14335996803608053</v>
      </c>
    </row>
    <row r="175" spans="1:8">
      <c r="A175" s="83" t="str">
        <f t="shared" si="2"/>
        <v>2022-002</v>
      </c>
      <c r="B175" s="88">
        <f>VLOOKUP(D175,'Master List'!A158:G1787,7,FALSE)</f>
        <v>109</v>
      </c>
      <c r="C175" s="81" t="str">
        <f>VLOOKUP(D175,'Master List'!$A$4:$G$1633,3,FALSE)</f>
        <v>54-141</v>
      </c>
      <c r="D175" s="235">
        <v>530</v>
      </c>
      <c r="E175" s="132">
        <v>0.30813511550749417</v>
      </c>
      <c r="F175" s="88">
        <v>6</v>
      </c>
      <c r="G175" s="132">
        <v>0.13869351625094328</v>
      </c>
    </row>
    <row r="176" spans="1:8">
      <c r="A176" s="83" t="str">
        <f t="shared" si="2"/>
        <v>2022-002</v>
      </c>
      <c r="B176" s="88">
        <f>VLOOKUP(D176,'Master List'!A159:G1788,7,FALSE)</f>
        <v>113</v>
      </c>
      <c r="C176" s="81" t="str">
        <f>VLOOKUP(D176,'Master List'!$A$4:$G$1633,3,FALSE)</f>
        <v>55-141</v>
      </c>
      <c r="D176" s="235">
        <v>535</v>
      </c>
      <c r="E176" s="132">
        <v>8.2636199501983573E-3</v>
      </c>
      <c r="F176" s="226">
        <v>26</v>
      </c>
      <c r="G176" s="132">
        <v>4.6009790540443088E-2</v>
      </c>
      <c r="H176" s="65" t="s">
        <v>233</v>
      </c>
    </row>
    <row r="177" spans="1:8">
      <c r="A177" s="83" t="str">
        <f t="shared" si="2"/>
        <v>2022-002</v>
      </c>
      <c r="B177" s="88">
        <f>VLOOKUP(D177,'Master List'!A160:G1789,7,FALSE)</f>
        <v>113</v>
      </c>
      <c r="C177" s="81" t="str">
        <f>VLOOKUP(D177,'Master List'!$A$4:$G$1633,3,FALSE)</f>
        <v>55-141</v>
      </c>
      <c r="D177" s="235">
        <v>539</v>
      </c>
      <c r="E177" s="132">
        <v>5.2519525265972505E-2</v>
      </c>
      <c r="F177" s="88">
        <v>6</v>
      </c>
      <c r="G177" s="132">
        <v>7.1651818548402468E-2</v>
      </c>
    </row>
    <row r="178" spans="1:8">
      <c r="A178" s="83" t="str">
        <f t="shared" si="2"/>
        <v>2022-002</v>
      </c>
      <c r="B178" s="88">
        <f>VLOOKUP(D178,'Master List'!A161:G1790,7,FALSE)</f>
        <v>113</v>
      </c>
      <c r="C178" s="81" t="str">
        <f>VLOOKUP(D178,'Master List'!$A$4:$G$1633,3,FALSE)</f>
        <v>55-141</v>
      </c>
      <c r="D178" s="235">
        <v>540</v>
      </c>
      <c r="E178" s="132">
        <v>0.27449804790425292</v>
      </c>
      <c r="F178" s="88">
        <v>6</v>
      </c>
      <c r="G178" s="132">
        <v>0.23087606807179967</v>
      </c>
    </row>
    <row r="179" spans="1:8">
      <c r="A179" s="83" t="str">
        <f t="shared" si="2"/>
        <v>2022-002</v>
      </c>
      <c r="B179" s="88">
        <f>VLOOKUP(D179,'Master List'!A162:G1791,7,FALSE)</f>
        <v>113</v>
      </c>
      <c r="C179" s="81" t="str">
        <f>VLOOKUP(D179,'Master List'!$A$4:$G$1633,3,FALSE)</f>
        <v>55-141</v>
      </c>
      <c r="D179" s="235">
        <v>543</v>
      </c>
      <c r="E179" s="132">
        <v>0.26570758495071534</v>
      </c>
      <c r="F179" s="88">
        <v>6</v>
      </c>
      <c r="G179" s="132">
        <v>0.18392254130944899</v>
      </c>
    </row>
    <row r="180" spans="1:8">
      <c r="A180" s="83" t="str">
        <f t="shared" si="2"/>
        <v>2022-002</v>
      </c>
      <c r="B180" s="88">
        <f>VLOOKUP(D180,'Master List'!A163:G1792,7,FALSE)</f>
        <v>113</v>
      </c>
      <c r="C180" s="81" t="str">
        <f>VLOOKUP(D180,'Master List'!$A$4:$G$1633,3,FALSE)</f>
        <v>55-141</v>
      </c>
      <c r="D180" s="235">
        <v>545</v>
      </c>
      <c r="E180" s="132">
        <v>0.22635175678010683</v>
      </c>
      <c r="F180" s="88">
        <v>6</v>
      </c>
      <c r="G180" s="132">
        <v>0.13168440458576483</v>
      </c>
    </row>
    <row r="181" spans="1:8">
      <c r="A181" s="83" t="str">
        <f t="shared" si="2"/>
        <v>2022-002</v>
      </c>
      <c r="B181" s="88">
        <f>VLOOKUP(D181,'Master List'!A164:G1793,7,FALSE)</f>
        <v>113</v>
      </c>
      <c r="C181" s="81" t="str">
        <f>VLOOKUP(D181,'Master List'!$A$4:$G$1633,3,FALSE)</f>
        <v>55-141</v>
      </c>
      <c r="D181" s="235">
        <v>551</v>
      </c>
      <c r="E181" s="132">
        <v>0.23602183987251851</v>
      </c>
      <c r="F181" s="88">
        <v>6</v>
      </c>
      <c r="G181" s="132">
        <v>0.11970857532741561</v>
      </c>
    </row>
    <row r="182" spans="1:8">
      <c r="A182" s="83" t="str">
        <f t="shared" si="2"/>
        <v>2022-002</v>
      </c>
      <c r="B182" s="88">
        <f>VLOOKUP(D182,'Master List'!A165:G1794,7,FALSE)</f>
        <v>117</v>
      </c>
      <c r="C182" s="81" t="str">
        <f>VLOOKUP(D182,'Master List'!$A$4:$G$1633,3,FALSE)</f>
        <v>56-141</v>
      </c>
      <c r="D182" s="235">
        <v>556</v>
      </c>
      <c r="E182" s="132">
        <v>4.235784955789316E-3</v>
      </c>
      <c r="F182" s="226">
        <v>26</v>
      </c>
      <c r="G182" s="132">
        <v>3.3313395811052783E-2</v>
      </c>
      <c r="H182" s="65" t="s">
        <v>233</v>
      </c>
    </row>
    <row r="183" spans="1:8">
      <c r="A183" s="83" t="str">
        <f t="shared" si="2"/>
        <v>2022-002</v>
      </c>
      <c r="B183" s="88">
        <f>VLOOKUP(D183,'Master List'!A166:G1795,7,FALSE)</f>
        <v>117</v>
      </c>
      <c r="C183" s="81" t="str">
        <f>VLOOKUP(D183,'Master List'!$A$4:$G$1633,3,FALSE)</f>
        <v>56-141</v>
      </c>
      <c r="D183" s="235">
        <v>560</v>
      </c>
      <c r="E183" s="132">
        <v>1.3633155746679886E-2</v>
      </c>
      <c r="F183" s="226">
        <v>26</v>
      </c>
      <c r="G183" s="132">
        <v>4.5214190383731284E-2</v>
      </c>
      <c r="H183" s="65" t="s">
        <v>233</v>
      </c>
    </row>
    <row r="184" spans="1:8">
      <c r="A184" s="83" t="str">
        <f t="shared" si="2"/>
        <v>2022-002</v>
      </c>
      <c r="B184" s="88">
        <f>VLOOKUP(D184,'Master List'!A167:G1796,7,FALSE)</f>
        <v>117</v>
      </c>
      <c r="C184" s="81" t="str">
        <f>VLOOKUP(D184,'Master List'!$A$4:$G$1633,3,FALSE)</f>
        <v>56-141</v>
      </c>
      <c r="D184" s="235">
        <v>561</v>
      </c>
      <c r="E184" s="132">
        <v>6.0993554506923564E-2</v>
      </c>
      <c r="F184" s="88">
        <v>6</v>
      </c>
      <c r="G184" s="132">
        <v>8.6541338007484328E-2</v>
      </c>
    </row>
    <row r="185" spans="1:8">
      <c r="A185" s="83" t="str">
        <f t="shared" si="2"/>
        <v>2022-002</v>
      </c>
      <c r="B185" s="88">
        <f>VLOOKUP(D185,'Master List'!A168:G1797,7,FALSE)</f>
        <v>117</v>
      </c>
      <c r="C185" s="81" t="str">
        <f>VLOOKUP(D185,'Master List'!$A$4:$G$1633,3,FALSE)</f>
        <v>56-141</v>
      </c>
      <c r="D185" s="235">
        <v>564</v>
      </c>
      <c r="E185" s="132">
        <v>0.2226832571328925</v>
      </c>
      <c r="F185" s="88">
        <v>6</v>
      </c>
      <c r="G185" s="132">
        <v>0.26978027647332442</v>
      </c>
    </row>
    <row r="186" spans="1:8">
      <c r="A186" s="83" t="str">
        <f t="shared" si="2"/>
        <v>2022-002</v>
      </c>
      <c r="B186" s="88">
        <f>VLOOKUP(D186,'Master List'!A169:G1798,7,FALSE)</f>
        <v>117</v>
      </c>
      <c r="C186" s="81" t="str">
        <f>VLOOKUP(D186,'Master List'!$A$4:$G$1633,3,FALSE)</f>
        <v>56-141</v>
      </c>
      <c r="D186" s="235">
        <v>566</v>
      </c>
      <c r="E186" s="132">
        <v>0.31617958188472661</v>
      </c>
      <c r="F186" s="88">
        <v>6</v>
      </c>
      <c r="G186" s="132">
        <v>0.21838805505272391</v>
      </c>
    </row>
    <row r="187" spans="1:8">
      <c r="A187" s="83" t="str">
        <f t="shared" si="2"/>
        <v>2022-002</v>
      </c>
      <c r="B187" s="88">
        <f>VLOOKUP(D187,'Master List'!A170:G1799,7,FALSE)</f>
        <v>117</v>
      </c>
      <c r="C187" s="81" t="str">
        <f>VLOOKUP(D187,'Master List'!$A$4:$G$1633,3,FALSE)</f>
        <v>56-141</v>
      </c>
      <c r="D187" s="235">
        <v>572</v>
      </c>
      <c r="E187" s="132">
        <v>0.2798755082064901</v>
      </c>
      <c r="F187" s="88">
        <v>6</v>
      </c>
      <c r="G187" s="132">
        <v>0.14945968582796701</v>
      </c>
    </row>
    <row r="188" spans="1:8">
      <c r="A188" s="83" t="str">
        <f t="shared" si="2"/>
        <v>2022-002</v>
      </c>
      <c r="B188" s="88">
        <f>VLOOKUP(D188,'Master List'!A171:G1800,7,FALSE)</f>
        <v>121</v>
      </c>
      <c r="C188" s="81" t="str">
        <f>VLOOKUP(D188,'Master List'!$A$4:$G$1633,3,FALSE)</f>
        <v>57-141</v>
      </c>
      <c r="D188" s="235">
        <v>577</v>
      </c>
      <c r="E188" s="132">
        <v>3.0993015269055214E-3</v>
      </c>
      <c r="F188" s="226">
        <v>26</v>
      </c>
      <c r="G188" s="132">
        <v>4.5610085028341171E-2</v>
      </c>
      <c r="H188" s="65" t="s">
        <v>233</v>
      </c>
    </row>
    <row r="189" spans="1:8">
      <c r="A189" s="83" t="str">
        <f t="shared" si="2"/>
        <v>2022-002</v>
      </c>
      <c r="B189" s="88">
        <f>VLOOKUP(D189,'Master List'!A172:G1801,7,FALSE)</f>
        <v>121</v>
      </c>
      <c r="C189" s="81" t="str">
        <f>VLOOKUP(D189,'Master List'!$A$4:$G$1633,3,FALSE)</f>
        <v>57-141</v>
      </c>
      <c r="D189" s="235">
        <v>581</v>
      </c>
      <c r="E189" s="132">
        <v>1.2884153323364064E-2</v>
      </c>
      <c r="F189" s="226">
        <v>26</v>
      </c>
      <c r="G189" s="132">
        <v>5.5196740290451712E-2</v>
      </c>
      <c r="H189" s="65" t="s">
        <v>233</v>
      </c>
    </row>
    <row r="190" spans="1:8">
      <c r="A190" s="83" t="str">
        <f t="shared" si="2"/>
        <v>2022-002</v>
      </c>
      <c r="B190" s="88">
        <f>VLOOKUP(D190,'Master List'!A173:G1802,7,FALSE)</f>
        <v>121</v>
      </c>
      <c r="C190" s="81" t="str">
        <f>VLOOKUP(D190,'Master List'!$A$4:$G$1633,3,FALSE)</f>
        <v>57-141</v>
      </c>
      <c r="D190" s="235">
        <v>582</v>
      </c>
      <c r="E190" s="132">
        <v>0.12556406695664329</v>
      </c>
      <c r="F190" s="88">
        <v>6</v>
      </c>
      <c r="G190" s="132">
        <v>0.15510765596564283</v>
      </c>
    </row>
    <row r="191" spans="1:8">
      <c r="A191" s="83" t="str">
        <f t="shared" si="2"/>
        <v>2022-002</v>
      </c>
      <c r="B191" s="88">
        <f>VLOOKUP(D191,'Master List'!A174:G1803,7,FALSE)</f>
        <v>121</v>
      </c>
      <c r="C191" s="81" t="str">
        <f>VLOOKUP(D191,'Master List'!$A$4:$G$1633,3,FALSE)</f>
        <v>57-141</v>
      </c>
      <c r="D191" s="235">
        <v>585</v>
      </c>
      <c r="E191" s="132">
        <v>0.37360027733114165</v>
      </c>
      <c r="F191" s="88">
        <v>6</v>
      </c>
      <c r="G191" s="132">
        <v>0.25701719128956546</v>
      </c>
    </row>
    <row r="192" spans="1:8">
      <c r="A192" s="83" t="str">
        <f t="shared" si="2"/>
        <v>2022-002</v>
      </c>
      <c r="B192" s="88">
        <f>VLOOKUP(D192,'Master List'!A175:G1804,7,FALSE)</f>
        <v>121</v>
      </c>
      <c r="C192" s="81" t="str">
        <f>VLOOKUP(D192,'Master List'!$A$4:$G$1633,3,FALSE)</f>
        <v>57-141</v>
      </c>
      <c r="D192" s="235">
        <v>587</v>
      </c>
      <c r="E192" s="132">
        <v>0.4422502706920915</v>
      </c>
      <c r="F192" s="88">
        <v>6</v>
      </c>
      <c r="G192" s="132">
        <v>0.23362089935152672</v>
      </c>
    </row>
    <row r="193" spans="1:8">
      <c r="A193" s="83" t="str">
        <f t="shared" si="2"/>
        <v>2022-002</v>
      </c>
      <c r="B193" s="88">
        <f>VLOOKUP(D193,'Master List'!A176:G1805,7,FALSE)</f>
        <v>121</v>
      </c>
      <c r="C193" s="81" t="str">
        <f>VLOOKUP(D193,'Master List'!$A$4:$G$1633,3,FALSE)</f>
        <v>57-141</v>
      </c>
      <c r="D193" s="235">
        <v>593</v>
      </c>
      <c r="E193" s="132">
        <v>0.50513805533342782</v>
      </c>
      <c r="F193" s="88">
        <v>6</v>
      </c>
      <c r="G193" s="132">
        <v>0.23781054045681885</v>
      </c>
    </row>
    <row r="194" spans="1:8">
      <c r="A194" s="83" t="str">
        <f t="shared" si="2"/>
        <v>2022-002</v>
      </c>
      <c r="B194" s="88">
        <f>VLOOKUP(D194,'Master List'!A177:G1806,7,FALSE)</f>
        <v>124</v>
      </c>
      <c r="C194" s="81" t="str">
        <f>VLOOKUP(D194,'Master List'!$A$4:$G$1633,3,FALSE)</f>
        <v>57-144</v>
      </c>
      <c r="D194" s="235">
        <v>606</v>
      </c>
      <c r="E194" s="132">
        <v>5.6706670151951454E-3</v>
      </c>
      <c r="F194" s="226">
        <v>26</v>
      </c>
      <c r="G194" s="132">
        <v>2.8627512591285112E-2</v>
      </c>
      <c r="H194" s="65" t="s">
        <v>233</v>
      </c>
    </row>
    <row r="195" spans="1:8">
      <c r="A195" s="83" t="str">
        <f t="shared" si="2"/>
        <v>2022-002</v>
      </c>
      <c r="B195" s="88">
        <f>VLOOKUP(D195,'Master List'!A178:G1807,7,FALSE)</f>
        <v>124</v>
      </c>
      <c r="C195" s="81" t="str">
        <f>VLOOKUP(D195,'Master List'!$A$4:$G$1633,3,FALSE)</f>
        <v>57-144</v>
      </c>
      <c r="D195" s="235">
        <v>608</v>
      </c>
      <c r="E195" s="132">
        <v>4.1497630795179513E-2</v>
      </c>
      <c r="F195" s="88">
        <v>6</v>
      </c>
      <c r="G195" s="132">
        <v>7.3446737956909286E-2</v>
      </c>
    </row>
    <row r="196" spans="1:8">
      <c r="A196" s="83" t="str">
        <f t="shared" si="2"/>
        <v>2022-002</v>
      </c>
      <c r="B196" s="88">
        <f>VLOOKUP(D196,'Master List'!A179:G1808,7,FALSE)</f>
        <v>124</v>
      </c>
      <c r="C196" s="81" t="str">
        <f>VLOOKUP(D196,'Master List'!$A$4:$G$1633,3,FALSE)</f>
        <v>57-144</v>
      </c>
      <c r="D196" s="235">
        <v>609</v>
      </c>
      <c r="E196" s="132">
        <v>0.15030027504340648</v>
      </c>
      <c r="F196" s="88">
        <v>6</v>
      </c>
      <c r="G196" s="132">
        <v>0.20244461786348489</v>
      </c>
    </row>
    <row r="197" spans="1:8">
      <c r="A197" s="83" t="str">
        <f t="shared" si="2"/>
        <v>2022-002</v>
      </c>
      <c r="B197" s="88">
        <f>VLOOKUP(D197,'Master List'!A180:G1809,7,FALSE)</f>
        <v>124</v>
      </c>
      <c r="C197" s="81" t="str">
        <f>VLOOKUP(D197,'Master List'!$A$4:$G$1633,3,FALSE)</f>
        <v>57-144</v>
      </c>
      <c r="D197" s="235">
        <v>611</v>
      </c>
      <c r="E197" s="132">
        <v>0.29924409330850588</v>
      </c>
      <c r="F197" s="88">
        <v>6</v>
      </c>
      <c r="G197" s="132">
        <v>0.16681168697322091</v>
      </c>
    </row>
    <row r="198" spans="1:8">
      <c r="A198" s="83" t="str">
        <f t="shared" si="2"/>
        <v>2022-002</v>
      </c>
      <c r="B198" s="88">
        <f>VLOOKUP(D198,'Master List'!A181:G1810,7,FALSE)</f>
        <v>124</v>
      </c>
      <c r="C198" s="81" t="str">
        <f>VLOOKUP(D198,'Master List'!$A$4:$G$1633,3,FALSE)</f>
        <v>57-144</v>
      </c>
      <c r="D198" s="235">
        <v>612</v>
      </c>
      <c r="E198" s="132">
        <v>0.29325781235718168</v>
      </c>
      <c r="F198" s="88">
        <v>6</v>
      </c>
      <c r="G198" s="132">
        <v>0.18818236265748919</v>
      </c>
    </row>
    <row r="199" spans="1:8">
      <c r="A199" s="83" t="str">
        <f t="shared" si="2"/>
        <v>2022-002</v>
      </c>
      <c r="B199" s="88">
        <f>VLOOKUP(D199,'Master List'!A182:G1811,7,FALSE)</f>
        <v>124</v>
      </c>
      <c r="C199" s="81" t="str">
        <f>VLOOKUP(D199,'Master List'!$A$4:$G$1633,3,FALSE)</f>
        <v>57-144</v>
      </c>
      <c r="D199" s="235">
        <v>615</v>
      </c>
      <c r="E199" s="132">
        <v>0.2968159154414558</v>
      </c>
      <c r="F199" s="88">
        <v>6</v>
      </c>
      <c r="G199" s="132">
        <v>0.19779304420127436</v>
      </c>
    </row>
    <row r="200" spans="1:8">
      <c r="A200" s="83" t="str">
        <f t="shared" si="2"/>
        <v>2022-002</v>
      </c>
      <c r="B200" s="88">
        <f>VLOOKUP(D200,'Master List'!A183:G1812,7,FALSE)</f>
        <v>130</v>
      </c>
      <c r="C200" s="81" t="str">
        <f>VLOOKUP(D200,'Master List'!$A$4:$G$1633,3,FALSE)</f>
        <v>56-144</v>
      </c>
      <c r="D200" s="235">
        <v>622</v>
      </c>
      <c r="E200" s="132">
        <v>3.8712576910307317E-3</v>
      </c>
      <c r="F200" s="226">
        <v>26</v>
      </c>
      <c r="G200" s="132">
        <v>3.8926001338870572E-2</v>
      </c>
      <c r="H200" s="65" t="s">
        <v>233</v>
      </c>
    </row>
    <row r="201" spans="1:8">
      <c r="A201" s="83" t="str">
        <f t="shared" si="2"/>
        <v>2022-002</v>
      </c>
      <c r="B201" s="88">
        <f>VLOOKUP(D201,'Master List'!A184:G1813,7,FALSE)</f>
        <v>130</v>
      </c>
      <c r="C201" s="81" t="str">
        <f>VLOOKUP(D201,'Master List'!$A$4:$G$1633,3,FALSE)</f>
        <v>56-144</v>
      </c>
      <c r="D201" s="235">
        <v>626</v>
      </c>
      <c r="E201" s="132">
        <v>3.5871231708688195E-2</v>
      </c>
      <c r="F201" s="88">
        <v>6</v>
      </c>
      <c r="G201" s="132">
        <v>5.7696572085061792E-2</v>
      </c>
    </row>
    <row r="202" spans="1:8">
      <c r="A202" s="83" t="str">
        <f t="shared" si="2"/>
        <v>2022-002</v>
      </c>
      <c r="B202" s="88">
        <f>VLOOKUP(D202,'Master List'!A185:G1814,7,FALSE)</f>
        <v>130</v>
      </c>
      <c r="C202" s="81" t="str">
        <f>VLOOKUP(D202,'Master List'!$A$4:$G$1633,3,FALSE)</f>
        <v>56-144</v>
      </c>
      <c r="D202" s="235">
        <v>627</v>
      </c>
      <c r="E202" s="132">
        <v>0.17655470912941912</v>
      </c>
      <c r="F202" s="88">
        <v>6</v>
      </c>
      <c r="G202" s="132">
        <v>0.17534820968633741</v>
      </c>
    </row>
    <row r="203" spans="1:8">
      <c r="A203" s="83" t="str">
        <f t="shared" si="2"/>
        <v>2022-002</v>
      </c>
      <c r="B203" s="88">
        <f>VLOOKUP(D203,'Master List'!A186:G1815,7,FALSE)</f>
        <v>130</v>
      </c>
      <c r="C203" s="81" t="str">
        <f>VLOOKUP(D203,'Master List'!$A$4:$G$1633,3,FALSE)</f>
        <v>56-144</v>
      </c>
      <c r="D203" s="235">
        <v>630</v>
      </c>
      <c r="E203" s="132">
        <v>0.28021598869516268</v>
      </c>
      <c r="F203" s="88">
        <v>6</v>
      </c>
      <c r="G203" s="132">
        <v>0.2032383986629786</v>
      </c>
    </row>
    <row r="204" spans="1:8">
      <c r="A204" s="83" t="str">
        <f t="shared" si="2"/>
        <v>2022-002</v>
      </c>
      <c r="B204" s="88">
        <f>VLOOKUP(D204,'Master List'!A187:G1816,7,FALSE)</f>
        <v>130</v>
      </c>
      <c r="C204" s="81" t="str">
        <f>VLOOKUP(D204,'Master List'!$A$4:$G$1633,3,FALSE)</f>
        <v>56-144</v>
      </c>
      <c r="D204" s="235">
        <v>632</v>
      </c>
      <c r="E204" s="132">
        <v>0.25701877427790498</v>
      </c>
      <c r="F204" s="237">
        <v>46</v>
      </c>
      <c r="G204" s="132">
        <v>0.15838898994796666</v>
      </c>
      <c r="H204" s="238" t="s">
        <v>239</v>
      </c>
    </row>
    <row r="205" spans="1:8">
      <c r="A205" s="83" t="str">
        <f t="shared" si="2"/>
        <v>2022-002</v>
      </c>
      <c r="B205" s="88">
        <f>VLOOKUP(D205,'Master List'!A188:G1817,7,FALSE)</f>
        <v>130</v>
      </c>
      <c r="C205" s="81" t="str">
        <f>VLOOKUP(D205,'Master List'!$A$4:$G$1633,3,FALSE)</f>
        <v>56-144</v>
      </c>
      <c r="D205" s="235">
        <v>638</v>
      </c>
      <c r="E205" s="132">
        <v>0.3155182955423611</v>
      </c>
      <c r="F205" s="88">
        <v>6</v>
      </c>
      <c r="G205" s="132">
        <v>0.17507022021050059</v>
      </c>
    </row>
    <row r="206" spans="1:8">
      <c r="A206" s="83" t="str">
        <f t="shared" si="2"/>
        <v>2022-002</v>
      </c>
      <c r="B206" s="88">
        <f>VLOOKUP(D206,'Master List'!A189:G1818,7,FALSE)</f>
        <v>133</v>
      </c>
      <c r="C206" s="81" t="str">
        <f>VLOOKUP(D206,'Master List'!$A$4:$G$1633,3,FALSE)</f>
        <v>55-144</v>
      </c>
      <c r="D206" s="235">
        <v>651</v>
      </c>
      <c r="E206" s="132">
        <v>4.4606769639574714E-3</v>
      </c>
      <c r="F206" s="226">
        <v>26</v>
      </c>
      <c r="G206" s="132">
        <v>3.5928024455368177E-2</v>
      </c>
      <c r="H206" s="65" t="s">
        <v>233</v>
      </c>
    </row>
    <row r="207" spans="1:8">
      <c r="A207" s="83" t="str">
        <f t="shared" si="2"/>
        <v>2022-002</v>
      </c>
      <c r="B207" s="88">
        <f>VLOOKUP(D207,'Master List'!A190:G1819,7,FALSE)</f>
        <v>133</v>
      </c>
      <c r="C207" s="81" t="str">
        <f>VLOOKUP(D207,'Master List'!$A$4:$G$1633,3,FALSE)</f>
        <v>55-144</v>
      </c>
      <c r="D207" s="235">
        <v>653</v>
      </c>
      <c r="E207" s="132">
        <v>5.4735381030535789E-2</v>
      </c>
      <c r="F207" s="88">
        <v>6</v>
      </c>
      <c r="G207" s="132">
        <v>7.6449205575845752E-2</v>
      </c>
    </row>
    <row r="208" spans="1:8">
      <c r="A208" s="83" t="str">
        <f t="shared" si="2"/>
        <v>2022-002</v>
      </c>
      <c r="B208" s="88">
        <f>VLOOKUP(D208,'Master List'!A191:G1820,7,FALSE)</f>
        <v>133</v>
      </c>
      <c r="C208" s="81" t="str">
        <f>VLOOKUP(D208,'Master List'!$A$4:$G$1633,3,FALSE)</f>
        <v>55-144</v>
      </c>
      <c r="D208" s="235">
        <v>654</v>
      </c>
      <c r="E208" s="132">
        <v>0.17764091293557766</v>
      </c>
      <c r="F208" s="88">
        <v>6</v>
      </c>
      <c r="G208" s="132">
        <v>0.16015054828027753</v>
      </c>
    </row>
    <row r="209" spans="1:8">
      <c r="A209" s="83" t="str">
        <f t="shared" si="2"/>
        <v>2022-002</v>
      </c>
      <c r="B209" s="88">
        <f>VLOOKUP(D209,'Master List'!A192:G1821,7,FALSE)</f>
        <v>133</v>
      </c>
      <c r="C209" s="81" t="str">
        <f>VLOOKUP(D209,'Master List'!$A$4:$G$1633,3,FALSE)</f>
        <v>55-144</v>
      </c>
      <c r="D209" s="235">
        <v>656</v>
      </c>
      <c r="E209" s="132">
        <v>0.24569574858839838</v>
      </c>
      <c r="F209" s="88">
        <v>6</v>
      </c>
      <c r="G209" s="132">
        <v>0.20207156574334489</v>
      </c>
    </row>
    <row r="210" spans="1:8">
      <c r="A210" s="83" t="str">
        <f t="shared" si="2"/>
        <v>2022-002</v>
      </c>
      <c r="B210" s="88">
        <f>VLOOKUP(D210,'Master List'!A193:G1822,7,FALSE)</f>
        <v>133</v>
      </c>
      <c r="C210" s="81" t="str">
        <f>VLOOKUP(D210,'Master List'!$A$4:$G$1633,3,FALSE)</f>
        <v>55-144</v>
      </c>
      <c r="D210" s="235">
        <v>657</v>
      </c>
      <c r="E210" s="132">
        <v>0.2700215219287842</v>
      </c>
      <c r="F210" s="88">
        <v>6</v>
      </c>
      <c r="G210" s="132">
        <v>0.15600704009513008</v>
      </c>
    </row>
    <row r="211" spans="1:8">
      <c r="A211" s="83" t="str">
        <f t="shared" si="2"/>
        <v>2022-002</v>
      </c>
      <c r="B211" s="88">
        <f>VLOOKUP(D211,'Master List'!A194:G1823,7,FALSE)</f>
        <v>133</v>
      </c>
      <c r="C211" s="81" t="str">
        <f>VLOOKUP(D211,'Master List'!$A$4:$G$1633,3,FALSE)</f>
        <v>55-144</v>
      </c>
      <c r="D211" s="235">
        <v>660</v>
      </c>
      <c r="E211" s="132">
        <v>0.27097929408993782</v>
      </c>
      <c r="F211" s="88">
        <v>6</v>
      </c>
      <c r="G211" s="132">
        <v>0.17739409136065426</v>
      </c>
    </row>
    <row r="212" spans="1:8">
      <c r="A212" s="83" t="str">
        <f t="shared" si="2"/>
        <v>2022-002</v>
      </c>
      <c r="B212" s="88">
        <f>VLOOKUP(D212,'Master List'!A195:G1824,7,FALSE)</f>
        <v>138</v>
      </c>
      <c r="C212" s="81" t="str">
        <f>VLOOKUP(D212,'Master List'!$A$4:$G$1633,3,FALSE)</f>
        <v>54-144</v>
      </c>
      <c r="D212" s="235">
        <v>667</v>
      </c>
      <c r="E212" s="132">
        <v>1.0202118013314897E-2</v>
      </c>
      <c r="F212" s="226">
        <v>26</v>
      </c>
      <c r="G212" s="132">
        <v>2.6948492358560099E-2</v>
      </c>
      <c r="H212" s="65" t="s">
        <v>233</v>
      </c>
    </row>
    <row r="213" spans="1:8">
      <c r="A213" s="83" t="str">
        <f t="shared" si="2"/>
        <v>2022-002</v>
      </c>
      <c r="B213" s="88">
        <f>VLOOKUP(D213,'Master List'!A196:G1825,7,FALSE)</f>
        <v>138</v>
      </c>
      <c r="C213" s="81" t="str">
        <f>VLOOKUP(D213,'Master List'!$A$4:$G$1633,3,FALSE)</f>
        <v>54-144</v>
      </c>
      <c r="D213" s="235">
        <v>671</v>
      </c>
      <c r="E213" s="132">
        <v>5.99874155347788E-2</v>
      </c>
      <c r="F213" s="88">
        <v>6</v>
      </c>
      <c r="G213" s="132">
        <v>9.2146293927918552E-2</v>
      </c>
    </row>
    <row r="214" spans="1:8">
      <c r="A214" s="83" t="str">
        <f t="shared" ref="A214:A229" si="3">$A$1</f>
        <v>2022-002</v>
      </c>
      <c r="B214" s="88">
        <f>VLOOKUP(D214,'Master List'!A197:G1826,7,FALSE)</f>
        <v>138</v>
      </c>
      <c r="C214" s="81" t="str">
        <f>VLOOKUP(D214,'Master List'!$A$4:$G$1633,3,FALSE)</f>
        <v>54-144</v>
      </c>
      <c r="D214" s="235">
        <v>672</v>
      </c>
      <c r="E214" s="132">
        <v>0.20853910739438447</v>
      </c>
      <c r="F214" s="88">
        <v>6</v>
      </c>
      <c r="G214" s="132">
        <v>0.18114983407780297</v>
      </c>
    </row>
    <row r="215" spans="1:8">
      <c r="A215" s="83" t="str">
        <f t="shared" si="3"/>
        <v>2022-002</v>
      </c>
      <c r="B215" s="88">
        <f>VLOOKUP(D215,'Master List'!A198:G1827,7,FALSE)</f>
        <v>138</v>
      </c>
      <c r="C215" s="81" t="str">
        <f>VLOOKUP(D215,'Master List'!$A$4:$G$1633,3,FALSE)</f>
        <v>54-144</v>
      </c>
      <c r="D215" s="235">
        <v>675</v>
      </c>
      <c r="E215" s="132">
        <v>0.25922124036032951</v>
      </c>
      <c r="F215" s="88">
        <v>6</v>
      </c>
      <c r="G215" s="132">
        <v>0.14540399756212102</v>
      </c>
    </row>
    <row r="216" spans="1:8">
      <c r="A216" s="83" t="str">
        <f t="shared" si="3"/>
        <v>2022-002</v>
      </c>
      <c r="B216" s="88">
        <f>VLOOKUP(D216,'Master List'!A199:G1828,7,FALSE)</f>
        <v>138</v>
      </c>
      <c r="C216" s="81" t="str">
        <f>VLOOKUP(D216,'Master List'!$A$4:$G$1633,3,FALSE)</f>
        <v>54-144</v>
      </c>
      <c r="D216" s="235">
        <v>677</v>
      </c>
      <c r="E216" s="132">
        <v>0.2712060989098401</v>
      </c>
      <c r="F216" s="88">
        <v>6</v>
      </c>
      <c r="G216" s="132">
        <v>0.1362154694691729</v>
      </c>
    </row>
    <row r="217" spans="1:8">
      <c r="A217" s="83" t="str">
        <f t="shared" si="3"/>
        <v>2022-002</v>
      </c>
      <c r="B217" s="88">
        <f>VLOOKUP(D217,'Master List'!A200:G1829,7,FALSE)</f>
        <v>138</v>
      </c>
      <c r="C217" s="81" t="str">
        <f>VLOOKUP(D217,'Master List'!$A$4:$G$1633,3,FALSE)</f>
        <v>54-144</v>
      </c>
      <c r="D217" s="235">
        <v>683</v>
      </c>
      <c r="E217" s="132">
        <v>0.26438856463063309</v>
      </c>
      <c r="F217" s="88">
        <v>6</v>
      </c>
      <c r="G217" s="132">
        <v>0.1374609990159128</v>
      </c>
    </row>
    <row r="218" spans="1:8">
      <c r="A218" s="83" t="str">
        <f t="shared" si="3"/>
        <v>2022-002</v>
      </c>
      <c r="B218" s="88">
        <f>VLOOKUP(D218,'Master List'!A201:G1830,7,FALSE)</f>
        <v>142</v>
      </c>
      <c r="C218" s="81" t="str">
        <f>VLOOKUP(D218,'Master List'!$A$4:$G$1633,3,FALSE)</f>
        <v>53-144</v>
      </c>
      <c r="D218" s="235">
        <v>696</v>
      </c>
      <c r="E218" s="241">
        <v>2.7864748307318769E-2</v>
      </c>
      <c r="F218" s="120">
        <v>2</v>
      </c>
      <c r="G218" s="82">
        <v>5.2547885159260177E-2</v>
      </c>
      <c r="H218" s="122" t="s">
        <v>271</v>
      </c>
    </row>
    <row r="219" spans="1:8">
      <c r="A219" s="83" t="str">
        <f t="shared" si="3"/>
        <v>2022-002</v>
      </c>
      <c r="B219" s="88">
        <f>VLOOKUP(D219,'Master List'!A202:G1831,7,FALSE)</f>
        <v>142</v>
      </c>
      <c r="C219" s="81" t="str">
        <f>VLOOKUP(D219,'Master List'!$A$4:$G$1633,3,FALSE)</f>
        <v>53-144</v>
      </c>
      <c r="D219" s="235">
        <v>698</v>
      </c>
      <c r="E219" s="132">
        <v>0.12343647379066847</v>
      </c>
      <c r="F219" s="88">
        <v>6</v>
      </c>
      <c r="G219" s="132">
        <v>0.16594816697071307</v>
      </c>
    </row>
    <row r="220" spans="1:8">
      <c r="A220" s="83" t="str">
        <f t="shared" si="3"/>
        <v>2022-002</v>
      </c>
      <c r="B220" s="88">
        <f>VLOOKUP(D220,'Master List'!A203:G1832,7,FALSE)</f>
        <v>142</v>
      </c>
      <c r="C220" s="81" t="str">
        <f>VLOOKUP(D220,'Master List'!$A$4:$G$1633,3,FALSE)</f>
        <v>53-144</v>
      </c>
      <c r="D220" s="235">
        <v>699</v>
      </c>
      <c r="E220" s="132">
        <v>0.18326102706922831</v>
      </c>
      <c r="F220" s="88">
        <v>6</v>
      </c>
      <c r="G220" s="132">
        <v>0.16834308131496573</v>
      </c>
    </row>
    <row r="221" spans="1:8">
      <c r="A221" s="83" t="str">
        <f t="shared" si="3"/>
        <v>2022-002</v>
      </c>
      <c r="B221" s="88">
        <f>VLOOKUP(D221,'Master List'!A204:G1833,7,FALSE)</f>
        <v>142</v>
      </c>
      <c r="C221" s="81" t="str">
        <f>VLOOKUP(D221,'Master List'!$A$4:$G$1633,3,FALSE)</f>
        <v>53-144</v>
      </c>
      <c r="D221" s="235">
        <v>701</v>
      </c>
      <c r="E221" s="132">
        <v>0.2769456271474634</v>
      </c>
      <c r="F221" s="88">
        <v>6</v>
      </c>
      <c r="G221" s="132">
        <v>0.14041273777462535</v>
      </c>
    </row>
    <row r="222" spans="1:8">
      <c r="A222" s="83" t="str">
        <f t="shared" si="3"/>
        <v>2022-002</v>
      </c>
      <c r="B222" s="88">
        <f>VLOOKUP(D222,'Master List'!A205:G1834,7,FALSE)</f>
        <v>142</v>
      </c>
      <c r="C222" s="81" t="str">
        <f>VLOOKUP(D222,'Master List'!$A$4:$G$1633,3,FALSE)</f>
        <v>53-144</v>
      </c>
      <c r="D222" s="235">
        <v>702</v>
      </c>
      <c r="E222" s="132">
        <v>0.28341612272633798</v>
      </c>
      <c r="F222" s="88">
        <v>6</v>
      </c>
      <c r="G222" s="132">
        <v>0.11434703808982974</v>
      </c>
    </row>
    <row r="223" spans="1:8">
      <c r="A223" s="83" t="str">
        <f t="shared" si="3"/>
        <v>2022-002</v>
      </c>
      <c r="B223" s="88">
        <f>VLOOKUP(D223,'Master List'!A206:G1835,7,FALSE)</f>
        <v>142</v>
      </c>
      <c r="C223" s="81" t="str">
        <f>VLOOKUP(D223,'Master List'!$A$4:$G$1633,3,FALSE)</f>
        <v>53-144</v>
      </c>
      <c r="D223" s="235">
        <v>705</v>
      </c>
      <c r="E223" s="132">
        <v>0.29767968656881849</v>
      </c>
      <c r="F223" s="88">
        <v>6</v>
      </c>
      <c r="G223" s="132">
        <v>0.11219949784983271</v>
      </c>
    </row>
    <row r="224" spans="1:8">
      <c r="A224" s="83" t="str">
        <f t="shared" si="3"/>
        <v>2022-002</v>
      </c>
      <c r="B224" s="88">
        <f>VLOOKUP(D224,'Master List'!A207:G1836,7,FALSE)</f>
        <v>147</v>
      </c>
      <c r="C224" s="81" t="str">
        <f>VLOOKUP(D224,'Master List'!$A$4:$G$1633,3,FALSE)</f>
        <v>51-132</v>
      </c>
      <c r="D224" s="235">
        <v>712</v>
      </c>
      <c r="E224" s="132">
        <v>1.3946583612255665E-2</v>
      </c>
      <c r="F224" s="226">
        <v>26</v>
      </c>
      <c r="G224" s="132">
        <v>6.4650653249685122E-2</v>
      </c>
      <c r="H224" s="65" t="s">
        <v>233</v>
      </c>
    </row>
    <row r="225" spans="1:8">
      <c r="A225" s="83" t="str">
        <f t="shared" si="3"/>
        <v>2022-002</v>
      </c>
      <c r="B225" s="88">
        <f>VLOOKUP(D225,'Master List'!A208:G1837,7,FALSE)</f>
        <v>147</v>
      </c>
      <c r="C225" s="81" t="str">
        <f>VLOOKUP(D225,'Master List'!$A$4:$G$1633,3,FALSE)</f>
        <v>51-132</v>
      </c>
      <c r="D225" s="235">
        <v>716</v>
      </c>
      <c r="E225" s="132">
        <v>0.11293213152336329</v>
      </c>
      <c r="F225" s="88">
        <v>36</v>
      </c>
      <c r="G225" s="132">
        <v>0.12730300519716298</v>
      </c>
      <c r="H225" s="31" t="s">
        <v>238</v>
      </c>
    </row>
    <row r="226" spans="1:8">
      <c r="A226" s="83" t="str">
        <f t="shared" si="3"/>
        <v>2022-002</v>
      </c>
      <c r="B226" s="88">
        <f>VLOOKUP(D226,'Master List'!A209:G1838,7,FALSE)</f>
        <v>147</v>
      </c>
      <c r="C226" s="81" t="str">
        <f>VLOOKUP(D226,'Master List'!$A$4:$G$1633,3,FALSE)</f>
        <v>51-132</v>
      </c>
      <c r="D226" s="235">
        <v>717</v>
      </c>
      <c r="E226" s="132">
        <v>0.22706332274519783</v>
      </c>
      <c r="F226" s="88">
        <v>36</v>
      </c>
      <c r="G226" s="132">
        <v>0.15711393943121649</v>
      </c>
      <c r="H226" s="31" t="s">
        <v>238</v>
      </c>
    </row>
    <row r="227" spans="1:8">
      <c r="A227" s="83" t="str">
        <f t="shared" si="3"/>
        <v>2022-002</v>
      </c>
      <c r="B227" s="88">
        <f>VLOOKUP(D227,'Master List'!A210:G1839,7,FALSE)</f>
        <v>147</v>
      </c>
      <c r="C227" s="81" t="str">
        <f>VLOOKUP(D227,'Master List'!$A$4:$G$1633,3,FALSE)</f>
        <v>51-132</v>
      </c>
      <c r="D227" s="235">
        <v>720</v>
      </c>
      <c r="E227" s="132">
        <v>0.2854109121062014</v>
      </c>
      <c r="F227" s="88">
        <v>6</v>
      </c>
      <c r="G227" s="132">
        <v>0.11791275170547612</v>
      </c>
    </row>
    <row r="228" spans="1:8">
      <c r="A228" s="83" t="str">
        <f t="shared" si="3"/>
        <v>2022-002</v>
      </c>
      <c r="B228" s="88">
        <f>VLOOKUP(D228,'Master List'!A211:G1840,7,FALSE)</f>
        <v>147</v>
      </c>
      <c r="C228" s="81" t="str">
        <f>VLOOKUP(D228,'Master List'!$A$4:$G$1633,3,FALSE)</f>
        <v>51-132</v>
      </c>
      <c r="D228" s="235">
        <v>722</v>
      </c>
      <c r="E228" s="132">
        <v>0.63266330083517763</v>
      </c>
      <c r="F228" s="88">
        <v>6</v>
      </c>
      <c r="G228" s="123">
        <v>0.20157411172600639</v>
      </c>
    </row>
    <row r="229" spans="1:8">
      <c r="A229" s="83" t="str">
        <f t="shared" si="3"/>
        <v>2022-002</v>
      </c>
      <c r="B229" s="88">
        <f>VLOOKUP(D229,'Master List'!A212:G1841,7,FALSE)</f>
        <v>147</v>
      </c>
      <c r="C229" s="81" t="str">
        <f>VLOOKUP(D229,'Master List'!$A$4:$G$1633,3,FALSE)</f>
        <v>51-132</v>
      </c>
      <c r="D229" s="235">
        <v>728</v>
      </c>
      <c r="E229" s="132">
        <v>0.58094906930926793</v>
      </c>
      <c r="F229" s="88">
        <v>6</v>
      </c>
      <c r="G229" s="132">
        <v>0.26160902838783695</v>
      </c>
    </row>
  </sheetData>
  <sortState xmlns:xlrd2="http://schemas.microsoft.com/office/spreadsheetml/2017/richdata2" ref="A20:H102">
    <sortCondition ref="D20:D102"/>
  </sortState>
  <mergeCells count="2">
    <mergeCell ref="B10:G14"/>
    <mergeCell ref="B15:G17"/>
  </mergeCells>
  <phoneticPr fontId="15" type="noConversion"/>
  <conditionalFormatting sqref="H9">
    <cfRule type="cellIs" dxfId="6" priority="446" stopIfTrue="1" operator="greaterThanOrEqual">
      <formula>15</formula>
    </cfRule>
  </conditionalFormatting>
  <pageMargins left="0.7" right="0.7" top="0.75" bottom="0.75" header="0.3" footer="0.3"/>
  <pageSetup scale="7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O429"/>
  <sheetViews>
    <sheetView topLeftCell="C1" zoomScale="80" zoomScaleNormal="80" workbookViewId="0">
      <selection activeCell="E18" sqref="E18"/>
    </sheetView>
  </sheetViews>
  <sheetFormatPr defaultColWidth="9.1796875" defaultRowHeight="14.5"/>
  <cols>
    <col min="1" max="1" width="15" style="28" customWidth="1"/>
    <col min="2" max="2" width="15.7265625" style="235" customWidth="1"/>
    <col min="3" max="3" width="9.453125" style="80" bestFit="1" customWidth="1"/>
    <col min="4" max="4" width="6.36328125" style="31" bestFit="1" customWidth="1"/>
    <col min="5" max="5" width="7.81640625" style="43" customWidth="1"/>
    <col min="6" max="6" width="6.453125" style="37" bestFit="1" customWidth="1"/>
    <col min="7" max="7" width="10.453125" style="28" bestFit="1" customWidth="1"/>
    <col min="8" max="8" width="10.1796875" style="28" customWidth="1"/>
    <col min="9" max="9" width="20.1796875" style="28" bestFit="1" customWidth="1"/>
    <col min="10" max="10" width="23.7265625" style="28" bestFit="1" customWidth="1"/>
    <col min="11" max="11" width="24.26953125" style="88" bestFit="1" customWidth="1"/>
    <col min="12" max="12" width="12.26953125" style="31" bestFit="1" customWidth="1"/>
    <col min="13" max="13" width="10.54296875" style="28" bestFit="1" customWidth="1"/>
    <col min="14" max="14" width="13.36328125" style="28" customWidth="1"/>
    <col min="15" max="15" width="10.81640625" style="65" customWidth="1"/>
    <col min="16" max="16" width="10.453125" style="65" bestFit="1" customWidth="1"/>
    <col min="17" max="17" width="7.90625" style="65" bestFit="1" customWidth="1"/>
    <col min="18" max="18" width="7.7265625" style="65" bestFit="1" customWidth="1"/>
    <col min="19" max="19" width="7.7265625" style="65" customWidth="1"/>
    <col min="20" max="20" width="9.1796875" style="65"/>
    <col min="21" max="21" width="9" style="65" bestFit="1" customWidth="1"/>
    <col min="22" max="197" width="9.1796875" style="65"/>
    <col min="198" max="16384" width="9.1796875" style="28"/>
  </cols>
  <sheetData>
    <row r="1" spans="1:197">
      <c r="A1" s="58" t="str">
        <f>Notes!A1</f>
        <v>2022-002</v>
      </c>
      <c r="C1" s="79"/>
      <c r="D1" s="43"/>
      <c r="F1" s="59"/>
      <c r="N1" s="61"/>
    </row>
    <row r="2" spans="1:197">
      <c r="A2" s="27" t="s">
        <v>20</v>
      </c>
      <c r="C2" s="79"/>
      <c r="D2" s="43"/>
      <c r="F2" s="59"/>
      <c r="N2" s="208" t="s">
        <v>148</v>
      </c>
      <c r="O2" s="209">
        <f>MIN(I:I)</f>
        <v>3.0993015269055214E-3</v>
      </c>
    </row>
    <row r="3" spans="1:197">
      <c r="A3" s="62" t="s">
        <v>19</v>
      </c>
      <c r="C3" s="79"/>
      <c r="D3" s="43"/>
      <c r="F3" s="59"/>
      <c r="N3" s="208" t="s">
        <v>149</v>
      </c>
      <c r="O3" s="209">
        <f>MAX(I:I)</f>
        <v>0.81262964632180146</v>
      </c>
    </row>
    <row r="4" spans="1:197">
      <c r="A4" s="62" t="s">
        <v>216</v>
      </c>
      <c r="C4" s="79"/>
      <c r="D4" s="43"/>
      <c r="F4" s="59"/>
      <c r="N4" s="208" t="s">
        <v>150</v>
      </c>
      <c r="O4" s="210">
        <f>COUNT(I:I)</f>
        <v>195</v>
      </c>
    </row>
    <row r="5" spans="1:197">
      <c r="A5" s="62" t="s">
        <v>273</v>
      </c>
      <c r="C5" s="79"/>
      <c r="D5" s="43"/>
      <c r="F5" s="59"/>
      <c r="N5" s="208" t="s">
        <v>151</v>
      </c>
      <c r="O5" s="210">
        <f>COUNTIF(H:H,"&gt;10")</f>
        <v>36</v>
      </c>
    </row>
    <row r="6" spans="1:197">
      <c r="A6" s="62" t="s">
        <v>18</v>
      </c>
      <c r="C6" s="79"/>
      <c r="D6" s="43"/>
      <c r="F6" s="59"/>
      <c r="M6" s="65"/>
      <c r="N6" s="208" t="s">
        <v>239</v>
      </c>
      <c r="O6" s="210">
        <f>COUNTIF(H:H,"&gt;30")</f>
        <v>9</v>
      </c>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row>
    <row r="7" spans="1:197">
      <c r="A7" s="63" t="s">
        <v>17</v>
      </c>
      <c r="C7" s="79"/>
      <c r="D7" s="43"/>
      <c r="F7" s="59"/>
      <c r="G7" s="31"/>
      <c r="H7" s="60"/>
      <c r="M7" s="65"/>
      <c r="N7" s="208" t="s">
        <v>147</v>
      </c>
      <c r="O7" s="211">
        <f>AVERAGE(H:H)</f>
        <v>8.8230643649214571</v>
      </c>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row>
    <row r="8" spans="1:197">
      <c r="D8" s="229"/>
      <c r="E8" s="229"/>
      <c r="F8" s="125"/>
      <c r="G8" s="125"/>
      <c r="H8" s="125"/>
      <c r="I8" s="125"/>
      <c r="J8" s="125"/>
      <c r="K8" s="206"/>
      <c r="M8" s="65"/>
      <c r="N8" s="233" t="s">
        <v>226</v>
      </c>
      <c r="O8" s="234" cm="1">
        <f t="array" ref="O8">(SUMPRODUCT((LEN(L:L)-LEN(SUBSTITUTE((UPPER(L:L)),UPPER("rejected"),"")))/LEN("rejected")))/2</f>
        <v>10</v>
      </c>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row>
    <row r="9" spans="1:197" s="135" customFormat="1">
      <c r="A9" s="131" t="s">
        <v>16</v>
      </c>
      <c r="B9" s="235" t="s">
        <v>4</v>
      </c>
      <c r="C9" s="134" t="s">
        <v>15</v>
      </c>
      <c r="D9" s="230" t="s">
        <v>14</v>
      </c>
      <c r="E9" s="230" t="s">
        <v>13</v>
      </c>
      <c r="F9" s="129" t="s">
        <v>12</v>
      </c>
      <c r="G9" s="129" t="s">
        <v>11</v>
      </c>
      <c r="H9" s="130" t="s">
        <v>90</v>
      </c>
      <c r="I9" s="131" t="s">
        <v>3</v>
      </c>
      <c r="J9" s="131" t="s">
        <v>1</v>
      </c>
      <c r="K9" s="225" t="s">
        <v>2</v>
      </c>
      <c r="L9" s="227" t="s">
        <v>0</v>
      </c>
      <c r="N9" s="208" t="s">
        <v>227</v>
      </c>
      <c r="O9" s="243">
        <f>((COUNTIFS(D:D,"&lt;0.025"))-(COUNTIF(D:D,-99)))</f>
        <v>71</v>
      </c>
    </row>
    <row r="10" spans="1:197" s="67" customFormat="1">
      <c r="A10" s="81" t="str">
        <f>VLOOKUP(B10,'Master List'!$A$4:$C$1633,3,FALSE)</f>
        <v>50-135</v>
      </c>
      <c r="B10" s="235">
        <v>4</v>
      </c>
      <c r="C10" s="24" t="s">
        <v>105</v>
      </c>
      <c r="D10" s="132">
        <v>1.6513576959438787E-2</v>
      </c>
      <c r="E10" s="203">
        <v>6.0992168538192774E-2</v>
      </c>
      <c r="F10" s="132"/>
      <c r="G10" s="132"/>
      <c r="H10" s="132"/>
      <c r="I10" s="132">
        <f>AVERAGE(D10:D11)</f>
        <v>1.5479292328920573E-2</v>
      </c>
      <c r="J10" s="132">
        <f>AVERAGE(E10:E11)</f>
        <v>5.3007683018283361E-2</v>
      </c>
      <c r="K10" s="226">
        <v>26</v>
      </c>
      <c r="L10" s="65" t="s">
        <v>233</v>
      </c>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row>
    <row r="11" spans="1:197" s="66" customFormat="1">
      <c r="A11" s="81" t="str">
        <f>VLOOKUP(B11,'Master List'!$A$4:$C$1633,3,FALSE)</f>
        <v>50-135</v>
      </c>
      <c r="B11" s="235">
        <v>4</v>
      </c>
      <c r="C11" s="24" t="s">
        <v>106</v>
      </c>
      <c r="D11" s="203">
        <v>1.444500769840236E-2</v>
      </c>
      <c r="E11" s="133">
        <v>4.502319749837394E-2</v>
      </c>
      <c r="F11" s="204"/>
      <c r="G11" s="204"/>
      <c r="H11" s="204"/>
      <c r="I11" s="205"/>
      <c r="J11" s="205"/>
      <c r="K11" s="226"/>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row>
    <row r="12" spans="1:197" s="65" customFormat="1">
      <c r="A12" s="81" t="str">
        <f>VLOOKUP(B12,'Master List'!$A$4:$C$1633,3,FALSE)</f>
        <v>50-135</v>
      </c>
      <c r="B12" s="235">
        <v>6</v>
      </c>
      <c r="C12" s="24" t="s">
        <v>105</v>
      </c>
      <c r="D12" s="203">
        <v>0.33050763480852879</v>
      </c>
      <c r="E12" s="133">
        <v>0.2327727974313725</v>
      </c>
      <c r="F12" s="132">
        <f>(D12-D13)</f>
        <v>-1.9217746233839872E-2</v>
      </c>
      <c r="G12" s="132">
        <f>F12^2</f>
        <v>3.6932177030826659E-4</v>
      </c>
      <c r="H12" s="132">
        <f>(_xlfn.STDEV.S(D12:D13)/AVERAGE(D12:D13))*100</f>
        <v>3.9953952144095943</v>
      </c>
      <c r="I12" s="132">
        <f>AVERAGE(D12:D13)</f>
        <v>0.34011650792544873</v>
      </c>
      <c r="J12" s="132">
        <f>AVERAGE(E12:E13)</f>
        <v>0.15867110317264332</v>
      </c>
      <c r="K12" s="226">
        <v>6</v>
      </c>
    </row>
    <row r="13" spans="1:197" s="65" customFormat="1">
      <c r="A13" s="81" t="str">
        <f>VLOOKUP(B13,'Master List'!$A$4:$C$1633,3,FALSE)</f>
        <v>50-135</v>
      </c>
      <c r="B13" s="235">
        <v>6</v>
      </c>
      <c r="C13" s="24" t="s">
        <v>106</v>
      </c>
      <c r="D13" s="203">
        <v>0.34972538104236867</v>
      </c>
      <c r="E13" s="133">
        <v>8.4569408913914165E-2</v>
      </c>
      <c r="F13" s="204"/>
      <c r="G13" s="204"/>
      <c r="H13" s="204"/>
      <c r="I13" s="205"/>
      <c r="J13" s="205"/>
      <c r="K13" s="226"/>
    </row>
    <row r="14" spans="1:197" s="67" customFormat="1">
      <c r="A14" s="81" t="str">
        <f>VLOOKUP(B14,'Master List'!$A$4:$C$1633,3,FALSE)</f>
        <v>50-135</v>
      </c>
      <c r="B14" s="235">
        <v>9</v>
      </c>
      <c r="C14" s="24" t="s">
        <v>105</v>
      </c>
      <c r="D14" s="133">
        <v>-99</v>
      </c>
      <c r="E14" s="133">
        <v>-99</v>
      </c>
      <c r="F14" s="132"/>
      <c r="G14" s="132"/>
      <c r="H14" s="132"/>
      <c r="I14" s="132"/>
      <c r="J14" s="132"/>
      <c r="K14" s="226">
        <v>1</v>
      </c>
      <c r="L14" s="122" t="s">
        <v>241</v>
      </c>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row>
    <row r="15" spans="1:197" s="66" customFormat="1">
      <c r="A15" s="81" t="str">
        <f>VLOOKUP(B15,'Master List'!$A$4:$C$1633,3,FALSE)</f>
        <v>50-135</v>
      </c>
      <c r="B15" s="235">
        <v>9</v>
      </c>
      <c r="C15" s="24" t="s">
        <v>106</v>
      </c>
      <c r="D15" s="203">
        <v>-99</v>
      </c>
      <c r="E15" s="133">
        <v>-99</v>
      </c>
      <c r="F15" s="204"/>
      <c r="G15" s="204"/>
      <c r="H15" s="204"/>
      <c r="I15" s="205"/>
      <c r="J15" s="205"/>
      <c r="K15" s="226"/>
      <c r="L15" s="122"/>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row>
    <row r="16" spans="1:197" s="65" customFormat="1">
      <c r="A16" s="81" t="str">
        <f>VLOOKUP(B16,'Master List'!$A$4:$C$1633,3,FALSE)</f>
        <v>50-135</v>
      </c>
      <c r="B16" s="235">
        <v>12</v>
      </c>
      <c r="C16" s="24" t="s">
        <v>105</v>
      </c>
      <c r="D16" s="132">
        <v>0.40651512187534461</v>
      </c>
      <c r="E16" s="132">
        <v>0.13428669122225392</v>
      </c>
      <c r="F16" s="132">
        <f>(D16-D17)</f>
        <v>4.2132684290905775E-2</v>
      </c>
      <c r="G16" s="132">
        <f>F16^2</f>
        <v>1.7751630855571384E-3</v>
      </c>
      <c r="H16" s="132">
        <f>(_xlfn.STDEV.S(D16:D17)/AVERAGE(D16:D17))*100</f>
        <v>7.7292518068337772</v>
      </c>
      <c r="I16" s="132">
        <f>AVERAGE(D16:D17)</f>
        <v>0.38544877972989172</v>
      </c>
      <c r="J16" s="132">
        <f>AVERAGE(E16:E17)</f>
        <v>0.13023511768770685</v>
      </c>
      <c r="K16" s="226">
        <v>6</v>
      </c>
    </row>
    <row r="17" spans="1:197" s="65" customFormat="1">
      <c r="A17" s="81" t="str">
        <f>VLOOKUP(B17,'Master List'!$A$4:$C$1633,3,FALSE)</f>
        <v>50-135</v>
      </c>
      <c r="B17" s="235">
        <v>12</v>
      </c>
      <c r="C17" s="24" t="s">
        <v>106</v>
      </c>
      <c r="D17" s="203">
        <v>0.36438243758443883</v>
      </c>
      <c r="E17" s="133">
        <v>0.1261835441531598</v>
      </c>
      <c r="F17" s="204"/>
      <c r="G17" s="204"/>
      <c r="H17" s="204"/>
      <c r="I17" s="205"/>
      <c r="J17" s="205"/>
      <c r="K17" s="226"/>
    </row>
    <row r="18" spans="1:197" s="67" customFormat="1">
      <c r="A18" s="81" t="str">
        <f>VLOOKUP(B18,'Master List'!$A$4:$C$1633,3,FALSE)</f>
        <v>50-135</v>
      </c>
      <c r="B18" s="235">
        <v>14</v>
      </c>
      <c r="C18" s="24" t="s">
        <v>105</v>
      </c>
      <c r="D18" s="133">
        <v>-99</v>
      </c>
      <c r="E18" s="133">
        <v>-99</v>
      </c>
      <c r="F18" s="132"/>
      <c r="G18" s="132"/>
      <c r="H18" s="132"/>
      <c r="I18" s="132"/>
      <c r="J18" s="132"/>
      <c r="K18" s="226">
        <v>2</v>
      </c>
      <c r="L18" s="122" t="s">
        <v>225</v>
      </c>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row>
    <row r="19" spans="1:197" s="66" customFormat="1">
      <c r="A19" s="81" t="str">
        <f>VLOOKUP(B19,'Master List'!$A$4:$C$1633,3,FALSE)</f>
        <v>50-135</v>
      </c>
      <c r="B19" s="235">
        <v>14</v>
      </c>
      <c r="C19" s="24" t="s">
        <v>106</v>
      </c>
      <c r="D19" s="203">
        <v>0.35692629744485638</v>
      </c>
      <c r="E19" s="133">
        <v>0.11681006110172244</v>
      </c>
      <c r="F19" s="204"/>
      <c r="G19" s="204"/>
      <c r="H19" s="204"/>
      <c r="I19" s="205"/>
      <c r="J19" s="205"/>
      <c r="K19" s="226"/>
      <c r="L19" s="122"/>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row>
    <row r="20" spans="1:197">
      <c r="A20" s="81" t="str">
        <f>VLOOKUP(B20,'Master List'!$A$4:$C$1633,3,FALSE)</f>
        <v>50-135</v>
      </c>
      <c r="B20" s="235">
        <v>20</v>
      </c>
      <c r="C20" s="24" t="s">
        <v>105</v>
      </c>
      <c r="D20" s="133">
        <v>0.39112901080375734</v>
      </c>
      <c r="E20" s="133">
        <v>0.11847258032739388</v>
      </c>
      <c r="F20" s="132">
        <f>(D20-D21)</f>
        <v>3.4022362538255801E-2</v>
      </c>
      <c r="G20" s="132">
        <f>F20^2</f>
        <v>1.1575211526845118E-3</v>
      </c>
      <c r="H20" s="132">
        <f>(_xlfn.STDEV.S(D20:D21)/AVERAGE(D20:D21))*100</f>
        <v>6.430445534422466</v>
      </c>
      <c r="I20" s="132">
        <f>AVERAGE(D20:D21)</f>
        <v>0.37411782953462946</v>
      </c>
      <c r="J20" s="132">
        <f>AVERAGE(E20:E21)</f>
        <v>0.1109897564641205</v>
      </c>
      <c r="K20" s="226">
        <v>6</v>
      </c>
      <c r="L20" s="122"/>
      <c r="M20" s="65"/>
      <c r="N20" s="65"/>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row>
    <row r="21" spans="1:197" s="65" customFormat="1">
      <c r="A21" s="81" t="str">
        <f>VLOOKUP(B21,'Master List'!$A$4:$C$1633,3,FALSE)</f>
        <v>50-135</v>
      </c>
      <c r="B21" s="235">
        <v>20</v>
      </c>
      <c r="C21" s="24" t="s">
        <v>106</v>
      </c>
      <c r="D21" s="203">
        <v>0.35710664826550154</v>
      </c>
      <c r="E21" s="133">
        <v>0.10350693260084712</v>
      </c>
      <c r="F21" s="204"/>
      <c r="G21" s="204"/>
      <c r="H21" s="204"/>
      <c r="I21" s="205"/>
      <c r="J21" s="205"/>
      <c r="K21" s="226"/>
    </row>
    <row r="22" spans="1:197" s="67" customFormat="1">
      <c r="A22" s="81" t="str">
        <f>VLOOKUP(B22,'Master List'!$A$4:$C$1633,3,FALSE)</f>
        <v>49-135</v>
      </c>
      <c r="B22" s="235">
        <v>24</v>
      </c>
      <c r="C22" s="24" t="s">
        <v>105</v>
      </c>
      <c r="D22" s="133">
        <v>1.9047232730684392E-2</v>
      </c>
      <c r="E22" s="133">
        <v>4.5190672363460339E-2</v>
      </c>
      <c r="F22" s="132"/>
      <c r="G22" s="132"/>
      <c r="H22" s="132"/>
      <c r="I22" s="132">
        <f>AVERAGE(D22:D23)</f>
        <v>1.2908473358269256E-2</v>
      </c>
      <c r="J22" s="132">
        <f>AVERAGE(E22:E23)</f>
        <v>5.7730265717240603E-2</v>
      </c>
      <c r="K22" s="226">
        <v>26</v>
      </c>
      <c r="L22" s="65" t="s">
        <v>233</v>
      </c>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row>
    <row r="23" spans="1:197" s="66" customFormat="1">
      <c r="A23" s="81" t="str">
        <f>VLOOKUP(B23,'Master List'!$A$4:$C$1633,3,FALSE)</f>
        <v>49-135</v>
      </c>
      <c r="B23" s="235">
        <v>24</v>
      </c>
      <c r="C23" s="24" t="s">
        <v>106</v>
      </c>
      <c r="D23" s="203">
        <v>6.7697139858541198E-3</v>
      </c>
      <c r="E23" s="133">
        <v>7.0269859071020874E-2</v>
      </c>
      <c r="F23" s="204"/>
      <c r="G23" s="204"/>
      <c r="H23" s="204"/>
      <c r="I23" s="205"/>
      <c r="J23" s="205"/>
      <c r="K23" s="226"/>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row>
    <row r="24" spans="1:197">
      <c r="A24" s="81" t="str">
        <f>VLOOKUP(B24,'Master List'!$A$4:$C$1633,3,FALSE)</f>
        <v>49-135</v>
      </c>
      <c r="B24" s="235">
        <v>28</v>
      </c>
      <c r="C24" s="24" t="s">
        <v>105</v>
      </c>
      <c r="D24" s="133">
        <v>0.14669353188932199</v>
      </c>
      <c r="E24" s="133">
        <v>0.10274487223159896</v>
      </c>
      <c r="F24" s="132">
        <f>(D24-D25)</f>
        <v>5.9898333159727479E-4</v>
      </c>
      <c r="G24" s="132">
        <f>F24^2</f>
        <v>3.5878103153137084E-7</v>
      </c>
      <c r="H24" s="132">
        <f>(_xlfn.STDEV.S(D24:D25)/AVERAGE(D24:D25))*100</f>
        <v>0.28931859175650099</v>
      </c>
      <c r="I24" s="132">
        <f>AVERAGE(D24:D25)</f>
        <v>0.14639404022352337</v>
      </c>
      <c r="J24" s="132">
        <f>AVERAGE(E24:E25)</f>
        <v>0.1145120651024141</v>
      </c>
      <c r="K24" s="226">
        <v>6</v>
      </c>
      <c r="L24" s="65"/>
      <c r="M24" s="65"/>
      <c r="N24" s="65"/>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row>
    <row r="25" spans="1:197" s="65" customFormat="1">
      <c r="A25" s="81" t="str">
        <f>VLOOKUP(B25,'Master List'!$A$4:$C$1633,3,FALSE)</f>
        <v>49-135</v>
      </c>
      <c r="B25" s="235">
        <v>28</v>
      </c>
      <c r="C25" s="24" t="s">
        <v>106</v>
      </c>
      <c r="D25" s="203">
        <v>0.14609454855772472</v>
      </c>
      <c r="E25" s="133">
        <v>0.12627925797322925</v>
      </c>
      <c r="F25" s="204"/>
      <c r="G25" s="204"/>
      <c r="H25" s="204"/>
      <c r="I25" s="205"/>
      <c r="J25" s="205"/>
      <c r="K25" s="226"/>
    </row>
    <row r="26" spans="1:197" s="67" customFormat="1">
      <c r="A26" s="81" t="str">
        <f>VLOOKUP(B26,'Master List'!$A$4:$C$1633,3,FALSE)</f>
        <v>49-135</v>
      </c>
      <c r="B26" s="235">
        <v>29</v>
      </c>
      <c r="C26" s="24" t="s">
        <v>105</v>
      </c>
      <c r="D26" s="132">
        <v>0.31030998244918351</v>
      </c>
      <c r="E26" s="132">
        <v>0.11582796344048747</v>
      </c>
      <c r="F26" s="132">
        <f>(D26-D27)</f>
        <v>-5.0694976130444824E-3</v>
      </c>
      <c r="G26" s="132">
        <f>F26^2</f>
        <v>2.5699806048663704E-5</v>
      </c>
      <c r="H26" s="132">
        <f>(_xlfn.STDEV.S(D26:D27)/AVERAGE(D26:D27))*100</f>
        <v>1.1458323510849893</v>
      </c>
      <c r="I26" s="132">
        <f>AVERAGE(D26:D27)</f>
        <v>0.31284473125570578</v>
      </c>
      <c r="J26" s="132">
        <f>AVERAGE(E26:E27)</f>
        <v>0.12518718429437642</v>
      </c>
      <c r="K26" s="226">
        <v>6</v>
      </c>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row>
    <row r="27" spans="1:197" s="66" customFormat="1">
      <c r="A27" s="81" t="str">
        <f>VLOOKUP(B27,'Master List'!$A$4:$C$1633,3,FALSE)</f>
        <v>49-135</v>
      </c>
      <c r="B27" s="235">
        <v>29</v>
      </c>
      <c r="C27" s="24" t="s">
        <v>106</v>
      </c>
      <c r="D27" s="203">
        <v>0.31537948006222799</v>
      </c>
      <c r="E27" s="133">
        <v>0.13454640514826538</v>
      </c>
      <c r="F27" s="204"/>
      <c r="G27" s="204"/>
      <c r="H27" s="204"/>
      <c r="I27" s="205"/>
      <c r="J27" s="205"/>
      <c r="K27" s="226"/>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row>
    <row r="28" spans="1:197" s="65" customFormat="1">
      <c r="A28" s="81" t="str">
        <f>VLOOKUP(B28,'Master List'!$A$4:$C$1633,3,FALSE)</f>
        <v>49-135</v>
      </c>
      <c r="B28" s="235">
        <v>32</v>
      </c>
      <c r="C28" s="24" t="s">
        <v>105</v>
      </c>
      <c r="D28" s="133">
        <v>0.29088729210097425</v>
      </c>
      <c r="E28" s="133">
        <v>0.13036687543905856</v>
      </c>
      <c r="F28" s="132">
        <f>(D28-D29)</f>
        <v>-4.9029736886488262E-2</v>
      </c>
      <c r="G28" s="132">
        <f>F28^2</f>
        <v>2.4039150991582675E-3</v>
      </c>
      <c r="H28" s="132">
        <f>(_xlfn.STDEV.S(D28:D29)/AVERAGE(D28:D29))*100</f>
        <v>10.992080514733042</v>
      </c>
      <c r="I28" s="132">
        <f>AVERAGE(D28:D29)</f>
        <v>0.31540216054421838</v>
      </c>
      <c r="J28" s="132">
        <f>AVERAGE(E28:E29)</f>
        <v>0.12403155853869272</v>
      </c>
      <c r="K28" s="206">
        <v>36</v>
      </c>
      <c r="L28" s="65" t="s">
        <v>238</v>
      </c>
    </row>
    <row r="29" spans="1:197" s="65" customFormat="1">
      <c r="A29" s="81" t="str">
        <f>VLOOKUP(B29,'Master List'!$A$4:$C$1633,3,FALSE)</f>
        <v>49-135</v>
      </c>
      <c r="B29" s="235">
        <v>32</v>
      </c>
      <c r="C29" s="24" t="s">
        <v>106</v>
      </c>
      <c r="D29" s="203">
        <v>0.33991702898746251</v>
      </c>
      <c r="E29" s="133">
        <v>0.11769624163832687</v>
      </c>
      <c r="F29" s="204"/>
      <c r="G29" s="204"/>
      <c r="H29" s="204"/>
      <c r="I29" s="205"/>
      <c r="J29" s="205"/>
      <c r="K29" s="206"/>
    </row>
    <row r="30" spans="1:197" s="65" customFormat="1">
      <c r="A30" s="81" t="str">
        <f>VLOOKUP(B30,'Master List'!$A$4:$C$1633,3,FALSE)</f>
        <v>49-135</v>
      </c>
      <c r="B30" s="235">
        <v>34</v>
      </c>
      <c r="C30" s="24" t="s">
        <v>105</v>
      </c>
      <c r="D30" s="133">
        <v>0.31928926724676016</v>
      </c>
      <c r="E30" s="133">
        <v>0.15296876600682535</v>
      </c>
      <c r="F30" s="132">
        <f>(D30-D31)</f>
        <v>-2.4568700430618484E-2</v>
      </c>
      <c r="G30" s="132">
        <f>F30^2</f>
        <v>6.0362104084947293E-4</v>
      </c>
      <c r="H30" s="132">
        <f>(_xlfn.STDEV.S(D30:D31)/AVERAGE(D30:D31))*100</f>
        <v>5.2394683305641898</v>
      </c>
      <c r="I30" s="132">
        <f>AVERAGE(D30:D31)</f>
        <v>0.33157361746206937</v>
      </c>
      <c r="J30" s="132">
        <f>AVERAGE(E30:E31)</f>
        <v>0.15157679541934505</v>
      </c>
      <c r="K30" s="206">
        <v>6</v>
      </c>
    </row>
    <row r="31" spans="1:197">
      <c r="A31" s="81" t="str">
        <f>VLOOKUP(B31,'Master List'!$A$4:$C$1633,3,FALSE)</f>
        <v>49-135</v>
      </c>
      <c r="B31" s="235">
        <v>34</v>
      </c>
      <c r="C31" s="24" t="s">
        <v>106</v>
      </c>
      <c r="D31" s="203">
        <v>0.34385796767737864</v>
      </c>
      <c r="E31" s="133">
        <v>0.15018482483186477</v>
      </c>
      <c r="F31" s="204"/>
      <c r="G31" s="204"/>
      <c r="H31" s="204"/>
      <c r="I31" s="205"/>
      <c r="J31" s="205"/>
      <c r="K31" s="206"/>
      <c r="FZ31" s="28"/>
      <c r="GA31" s="28"/>
      <c r="GB31" s="28"/>
      <c r="GC31" s="28"/>
      <c r="GD31" s="28"/>
      <c r="GE31" s="28"/>
      <c r="GF31" s="28"/>
      <c r="GG31" s="28"/>
      <c r="GH31" s="28"/>
      <c r="GI31" s="28"/>
      <c r="GJ31" s="28"/>
      <c r="GK31" s="28"/>
      <c r="GL31" s="28"/>
      <c r="GM31" s="28"/>
      <c r="GN31" s="28"/>
      <c r="GO31" s="28"/>
    </row>
    <row r="32" spans="1:197">
      <c r="A32" s="81" t="str">
        <f>VLOOKUP(B32,'Master List'!$A$4:$C$1633,3,FALSE)</f>
        <v>49-135</v>
      </c>
      <c r="B32" s="235">
        <v>40</v>
      </c>
      <c r="C32" s="24" t="s">
        <v>105</v>
      </c>
      <c r="D32" s="203">
        <v>0.34833995882923063</v>
      </c>
      <c r="E32" s="133">
        <v>0.1516658974690259</v>
      </c>
      <c r="F32" s="132">
        <f>(D32-D33)</f>
        <v>4.305465954674953E-2</v>
      </c>
      <c r="G32" s="132">
        <f>F32^2</f>
        <v>1.8537037086865105E-3</v>
      </c>
      <c r="H32" s="132">
        <f>(_xlfn.STDEV.S(D32:D33)/AVERAGE(D32:D33))*100</f>
        <v>9.3155034476900411</v>
      </c>
      <c r="I32" s="132">
        <f>AVERAGE(D32:D33)</f>
        <v>0.32681262905585584</v>
      </c>
      <c r="J32" s="132">
        <f>AVERAGE(E32:E33)</f>
        <v>0.1530715252590289</v>
      </c>
      <c r="K32" s="206">
        <v>6</v>
      </c>
    </row>
    <row r="33" spans="1:12">
      <c r="A33" s="81" t="str">
        <f>VLOOKUP(B33,'Master List'!$A$4:$C$1633,3,FALSE)</f>
        <v>49-135</v>
      </c>
      <c r="B33" s="235">
        <v>40</v>
      </c>
      <c r="C33" s="24" t="s">
        <v>106</v>
      </c>
      <c r="D33" s="203">
        <v>0.3052852992824811</v>
      </c>
      <c r="E33" s="133">
        <v>0.1544771530490319</v>
      </c>
      <c r="F33" s="204"/>
      <c r="G33" s="204"/>
      <c r="H33" s="204"/>
      <c r="I33" s="205"/>
      <c r="J33" s="205"/>
      <c r="K33" s="206"/>
    </row>
    <row r="34" spans="1:12">
      <c r="A34" s="81" t="str">
        <f>VLOOKUP(B34,'Master List'!$A$4:$C$1633,3,FALSE)</f>
        <v>48-135</v>
      </c>
      <c r="B34" s="235">
        <v>44</v>
      </c>
      <c r="C34" s="24" t="s">
        <v>105</v>
      </c>
      <c r="D34" s="133">
        <v>1.2822396830234046E-2</v>
      </c>
      <c r="E34" s="133">
        <v>6.3896066509140939E-2</v>
      </c>
      <c r="F34" s="132"/>
      <c r="G34" s="132"/>
      <c r="H34" s="132"/>
      <c r="I34" s="132">
        <f>AVERAGE(D34:D35)</f>
        <v>1.0270159459285591E-2</v>
      </c>
      <c r="J34" s="132">
        <f>AVERAGE(E34:E35)</f>
        <v>7.3281274549990699E-2</v>
      </c>
      <c r="K34" s="226">
        <v>26</v>
      </c>
      <c r="L34" s="65" t="s">
        <v>233</v>
      </c>
    </row>
    <row r="35" spans="1:12">
      <c r="A35" s="81" t="str">
        <f>VLOOKUP(B35,'Master List'!$A$4:$C$1633,3,FALSE)</f>
        <v>48-135</v>
      </c>
      <c r="B35" s="235">
        <v>44</v>
      </c>
      <c r="C35" s="24" t="s">
        <v>106</v>
      </c>
      <c r="D35" s="203">
        <v>7.7179220883371365E-3</v>
      </c>
      <c r="E35" s="133">
        <v>8.2666482590840473E-2</v>
      </c>
      <c r="F35" s="204"/>
      <c r="G35" s="204"/>
      <c r="H35" s="204"/>
      <c r="I35" s="205"/>
      <c r="J35" s="205"/>
      <c r="K35" s="206"/>
    </row>
    <row r="36" spans="1:12">
      <c r="A36" s="81" t="str">
        <f>VLOOKUP(B36,'Master List'!$A$4:$C$1633,3,FALSE)</f>
        <v>48-135</v>
      </c>
      <c r="B36" s="235">
        <v>48</v>
      </c>
      <c r="C36" s="24" t="s">
        <v>105</v>
      </c>
      <c r="D36" s="205">
        <v>0.37529092964528066</v>
      </c>
      <c r="E36" s="205">
        <v>8.0928518244752085E-2</v>
      </c>
      <c r="F36" s="132">
        <f>(D36-D37)</f>
        <v>0.15085526370511917</v>
      </c>
      <c r="G36" s="132">
        <f>F36^2</f>
        <v>2.2757310587541046E-2</v>
      </c>
      <c r="H36" s="132">
        <f>(_xlfn.STDEV.S(D36:D37)/AVERAGE(D36:D37))*100</f>
        <v>35.573136402078163</v>
      </c>
      <c r="I36" s="132"/>
      <c r="J36" s="132"/>
      <c r="K36" s="206">
        <v>2</v>
      </c>
      <c r="L36" s="31" t="s">
        <v>252</v>
      </c>
    </row>
    <row r="37" spans="1:12">
      <c r="A37" s="81" t="str">
        <f>VLOOKUP(B37,'Master List'!$A$4:$C$1633,3,FALSE)</f>
        <v>48-135</v>
      </c>
      <c r="B37" s="235">
        <v>48</v>
      </c>
      <c r="C37" s="24" t="s">
        <v>106</v>
      </c>
      <c r="D37" s="203">
        <v>0.22443566594016148</v>
      </c>
      <c r="E37" s="132">
        <v>0.21602546340115419</v>
      </c>
      <c r="F37" s="204"/>
      <c r="G37" s="204"/>
      <c r="H37" s="204"/>
      <c r="I37" s="205"/>
      <c r="J37" s="205"/>
      <c r="K37" s="206"/>
      <c r="L37" s="31" t="s">
        <v>267</v>
      </c>
    </row>
    <row r="38" spans="1:12">
      <c r="A38" s="81" t="str">
        <f>VLOOKUP(B38,'Master List'!$A$4:$C$1633,3,FALSE)</f>
        <v>48-135</v>
      </c>
      <c r="B38" s="235">
        <v>49</v>
      </c>
      <c r="C38" s="24" t="s">
        <v>105</v>
      </c>
      <c r="D38" s="203">
        <v>0.39488522653192204</v>
      </c>
      <c r="E38" s="133">
        <v>0.19460273491768307</v>
      </c>
      <c r="F38" s="132">
        <f>(D38-D39)</f>
        <v>1.7583658495266885E-2</v>
      </c>
      <c r="G38" s="132">
        <f>F38^2</f>
        <v>3.091850460781713E-4</v>
      </c>
      <c r="H38" s="132">
        <f>(_xlfn.STDEV.S(D38:D39)/AVERAGE(D38:D39))*100</f>
        <v>3.2203410489603881</v>
      </c>
      <c r="I38" s="132">
        <f>AVERAGE(D38:D39)</f>
        <v>0.3860933972842886</v>
      </c>
      <c r="J38" s="132">
        <f>AVERAGE(E38:E39)</f>
        <v>0.18665718959928035</v>
      </c>
      <c r="K38" s="206">
        <v>6</v>
      </c>
    </row>
    <row r="39" spans="1:12">
      <c r="A39" s="81" t="str">
        <f>VLOOKUP(B39,'Master List'!$A$4:$C$1633,3,FALSE)</f>
        <v>48-135</v>
      </c>
      <c r="B39" s="235">
        <v>49</v>
      </c>
      <c r="C39" s="24" t="s">
        <v>106</v>
      </c>
      <c r="D39" s="203">
        <v>0.37730156803665515</v>
      </c>
      <c r="E39" s="133">
        <v>0.17871164428087766</v>
      </c>
      <c r="F39" s="204"/>
      <c r="G39" s="204"/>
      <c r="H39" s="204"/>
      <c r="I39" s="205"/>
      <c r="J39" s="205"/>
      <c r="K39" s="206"/>
    </row>
    <row r="40" spans="1:12">
      <c r="A40" s="81" t="str">
        <f>VLOOKUP(B40,'Master List'!$A$4:$C$1633,3,FALSE)</f>
        <v>48-135</v>
      </c>
      <c r="B40" s="235">
        <v>52</v>
      </c>
      <c r="C40" s="24" t="s">
        <v>105</v>
      </c>
      <c r="D40" s="203">
        <v>0.3658673260077509</v>
      </c>
      <c r="E40" s="133">
        <v>0.14913116177892657</v>
      </c>
      <c r="F40" s="132">
        <f>(D40-D41)</f>
        <v>-1.4006154034832352E-2</v>
      </c>
      <c r="G40" s="132">
        <f>F40^2</f>
        <v>1.9617235084745058E-4</v>
      </c>
      <c r="H40" s="132">
        <f>(_xlfn.STDEV.S(D40:D41)/AVERAGE(D40:D41))*100</f>
        <v>2.6561095801708929</v>
      </c>
      <c r="I40" s="132">
        <f>AVERAGE(D40:D41)</f>
        <v>0.37287040302516705</v>
      </c>
      <c r="J40" s="132">
        <f>AVERAGE(E40:E41)</f>
        <v>0.15786997225743146</v>
      </c>
      <c r="K40" s="206">
        <v>6</v>
      </c>
    </row>
    <row r="41" spans="1:12">
      <c r="A41" s="81" t="str">
        <f>VLOOKUP(B41,'Master List'!$A$4:$C$1633,3,FALSE)</f>
        <v>48-135</v>
      </c>
      <c r="B41" s="235">
        <v>52</v>
      </c>
      <c r="C41" s="24" t="s">
        <v>106</v>
      </c>
      <c r="D41" s="203">
        <v>0.37987348004258326</v>
      </c>
      <c r="E41" s="133">
        <v>0.16660878273593635</v>
      </c>
      <c r="F41" s="204"/>
      <c r="G41" s="204"/>
      <c r="H41" s="204"/>
      <c r="I41" s="205"/>
      <c r="J41" s="205"/>
      <c r="K41" s="206"/>
    </row>
    <row r="42" spans="1:12">
      <c r="A42" s="81" t="str">
        <f>VLOOKUP(B42,'Master List'!$A$4:$C$1633,3,FALSE)</f>
        <v>48-135</v>
      </c>
      <c r="B42" s="235">
        <v>54</v>
      </c>
      <c r="C42" s="24" t="s">
        <v>105</v>
      </c>
      <c r="D42" s="203">
        <v>0.36567549831670093</v>
      </c>
      <c r="E42" s="133">
        <v>0.21497912914974621</v>
      </c>
      <c r="F42" s="132">
        <f>(D42-D43)</f>
        <v>-1.3591347147348609E-2</v>
      </c>
      <c r="G42" s="132">
        <f>F42^2</f>
        <v>1.8472471727974118E-4</v>
      </c>
      <c r="H42" s="132">
        <f>(_xlfn.STDEV.S(D42:D43)/AVERAGE(D42:D43))*100</f>
        <v>2.5802087406053502</v>
      </c>
      <c r="I42" s="132">
        <f>AVERAGE(D42:D43)</f>
        <v>0.37247117189037526</v>
      </c>
      <c r="J42" s="132">
        <f>AVERAGE(E42:E43)</f>
        <v>0.19025389076501928</v>
      </c>
      <c r="K42" s="206">
        <v>6</v>
      </c>
    </row>
    <row r="43" spans="1:12">
      <c r="A43" s="81" t="str">
        <f>VLOOKUP(B43,'Master List'!$A$4:$C$1633,3,FALSE)</f>
        <v>48-135</v>
      </c>
      <c r="B43" s="235">
        <v>54</v>
      </c>
      <c r="C43" s="24" t="s">
        <v>106</v>
      </c>
      <c r="D43" s="203">
        <v>0.37926684546404954</v>
      </c>
      <c r="E43" s="133">
        <v>0.16552865238029235</v>
      </c>
      <c r="F43" s="204"/>
      <c r="G43" s="204"/>
      <c r="H43" s="204"/>
      <c r="I43" s="205"/>
      <c r="J43" s="205"/>
      <c r="K43" s="206"/>
    </row>
    <row r="44" spans="1:12">
      <c r="A44" s="81" t="str">
        <f>VLOOKUP(B44,'Master List'!$A$4:$C$1633,3,FALSE)</f>
        <v>48-135</v>
      </c>
      <c r="B44" s="235">
        <v>60</v>
      </c>
      <c r="C44" s="24" t="s">
        <v>105</v>
      </c>
      <c r="D44" s="203">
        <v>0.38483913930434721</v>
      </c>
      <c r="E44" s="133">
        <v>0.14140569993325133</v>
      </c>
      <c r="F44" s="132">
        <f>(D44-D45)</f>
        <v>2.6409918354114437E-2</v>
      </c>
      <c r="G44" s="132">
        <f>F44^2</f>
        <v>6.9748378747099059E-4</v>
      </c>
      <c r="H44" s="132">
        <f>(_xlfn.STDEV.S(D44:D45)/AVERAGE(D44:D45))*100</f>
        <v>5.0250039843969825</v>
      </c>
      <c r="I44" s="132">
        <f>AVERAGE(D44:D45)</f>
        <v>0.37163418012728999</v>
      </c>
      <c r="J44" s="132">
        <f>AVERAGE(E44:E45)</f>
        <v>0.14825418897149273</v>
      </c>
      <c r="K44" s="206">
        <v>6</v>
      </c>
    </row>
    <row r="45" spans="1:12">
      <c r="A45" s="81" t="str">
        <f>VLOOKUP(B45,'Master List'!$A$4:$C$1633,3,FALSE)</f>
        <v>48-135</v>
      </c>
      <c r="B45" s="235">
        <v>60</v>
      </c>
      <c r="C45" s="24" t="s">
        <v>106</v>
      </c>
      <c r="D45" s="203">
        <v>0.35842922095023277</v>
      </c>
      <c r="E45" s="133">
        <v>0.15510267800973415</v>
      </c>
      <c r="F45" s="204"/>
      <c r="G45" s="204"/>
      <c r="H45" s="204"/>
      <c r="I45" s="205"/>
      <c r="J45" s="205"/>
      <c r="K45" s="206"/>
    </row>
    <row r="46" spans="1:12">
      <c r="A46" s="81" t="str">
        <f>VLOOKUP(B46,'Master List'!$A$4:$C$1633,3,FALSE)</f>
        <v>47-135</v>
      </c>
      <c r="B46" s="235">
        <v>64</v>
      </c>
      <c r="C46" s="24" t="s">
        <v>105</v>
      </c>
      <c r="D46" s="203">
        <v>1.8810044075654054E-2</v>
      </c>
      <c r="E46" s="133">
        <v>5.3982336562766985E-2</v>
      </c>
      <c r="F46" s="132"/>
      <c r="G46" s="132"/>
      <c r="H46" s="132"/>
      <c r="I46" s="132">
        <f>AVERAGE(D46:D47)</f>
        <v>1.6278574374961705E-2</v>
      </c>
      <c r="J46" s="132">
        <f>AVERAGE(E46:E47)</f>
        <v>5.6175326575860648E-2</v>
      </c>
      <c r="K46" s="226">
        <v>26</v>
      </c>
      <c r="L46" s="65" t="s">
        <v>233</v>
      </c>
    </row>
    <row r="47" spans="1:12">
      <c r="A47" s="81" t="str">
        <f>VLOOKUP(B47,'Master List'!$A$4:$C$1633,3,FALSE)</f>
        <v>47-135</v>
      </c>
      <c r="B47" s="235">
        <v>64</v>
      </c>
      <c r="C47" s="24" t="s">
        <v>106</v>
      </c>
      <c r="D47" s="203">
        <v>1.3747104674269355E-2</v>
      </c>
      <c r="E47" s="133">
        <v>5.8368316588954312E-2</v>
      </c>
      <c r="F47" s="204"/>
      <c r="G47" s="204"/>
      <c r="H47" s="204"/>
      <c r="I47" s="205"/>
      <c r="J47" s="205"/>
      <c r="K47" s="206"/>
    </row>
    <row r="48" spans="1:12">
      <c r="A48" s="81" t="str">
        <f>VLOOKUP(B48,'Master List'!$A$4:$C$1633,3,FALSE)</f>
        <v>47-135</v>
      </c>
      <c r="B48" s="235">
        <v>68</v>
      </c>
      <c r="C48" s="24" t="s">
        <v>105</v>
      </c>
      <c r="D48" s="203">
        <v>0.19162056086495155</v>
      </c>
      <c r="E48" s="133">
        <v>0.12753198351771289</v>
      </c>
      <c r="F48" s="132">
        <f>(D48-D49)</f>
        <v>-9.4427317548710643E-3</v>
      </c>
      <c r="G48" s="132">
        <f>F48^2</f>
        <v>8.9165182994450367E-5</v>
      </c>
      <c r="H48" s="132">
        <f>(_xlfn.STDEV.S(D48:D49)/AVERAGE(D48:D49))*100</f>
        <v>3.4007100610536156</v>
      </c>
      <c r="I48" s="132">
        <f>AVERAGE(D48:D49)</f>
        <v>0.1963419267423871</v>
      </c>
      <c r="J48" s="132">
        <f>AVERAGE(E48:E49)</f>
        <v>0.12595364331083655</v>
      </c>
      <c r="K48" s="206">
        <v>6</v>
      </c>
    </row>
    <row r="49" spans="1:12">
      <c r="A49" s="81" t="str">
        <f>VLOOKUP(B49,'Master List'!$A$4:$C$1633,3,FALSE)</f>
        <v>47-135</v>
      </c>
      <c r="B49" s="235">
        <v>68</v>
      </c>
      <c r="C49" s="24" t="s">
        <v>106</v>
      </c>
      <c r="D49" s="203">
        <v>0.20106329261982261</v>
      </c>
      <c r="E49" s="133">
        <v>0.12437530310396022</v>
      </c>
      <c r="F49" s="204"/>
      <c r="G49" s="204"/>
      <c r="H49" s="204"/>
      <c r="I49" s="205"/>
      <c r="J49" s="205"/>
      <c r="K49" s="206"/>
    </row>
    <row r="50" spans="1:12">
      <c r="A50" s="81" t="str">
        <f>VLOOKUP(B50,'Master List'!$A$4:$C$1633,3,FALSE)</f>
        <v>47-135</v>
      </c>
      <c r="B50" s="235">
        <v>69</v>
      </c>
      <c r="C50" s="24" t="s">
        <v>105</v>
      </c>
      <c r="D50" s="203">
        <v>0.35746024517749381</v>
      </c>
      <c r="E50" s="133">
        <v>0.19551510020737456</v>
      </c>
      <c r="F50" s="132">
        <f>(D50-D51)</f>
        <v>1.9782298954223232E-2</v>
      </c>
      <c r="G50" s="132">
        <f>F50^2</f>
        <v>3.9133935191426155E-4</v>
      </c>
      <c r="H50" s="132">
        <f>(_xlfn.STDEV.S(D50:D51)/AVERAGE(D50:D51))*100</f>
        <v>4.0245804103507394</v>
      </c>
      <c r="I50" s="132">
        <f>AVERAGE(D50:D51)</f>
        <v>0.34756909570038219</v>
      </c>
      <c r="J50" s="132">
        <f>AVERAGE(E50:E51)</f>
        <v>0.26647671725820327</v>
      </c>
      <c r="K50" s="206">
        <v>6</v>
      </c>
    </row>
    <row r="51" spans="1:12">
      <c r="A51" s="81" t="str">
        <f>VLOOKUP(B51,'Master List'!$A$4:$C$1633,3,FALSE)</f>
        <v>47-135</v>
      </c>
      <c r="B51" s="235">
        <v>69</v>
      </c>
      <c r="C51" s="24" t="s">
        <v>106</v>
      </c>
      <c r="D51" s="203">
        <v>0.33767794622327058</v>
      </c>
      <c r="E51" s="133">
        <v>0.33743833430903197</v>
      </c>
      <c r="F51" s="204"/>
      <c r="G51" s="204"/>
      <c r="H51" s="204"/>
      <c r="I51" s="205"/>
      <c r="J51" s="205"/>
      <c r="K51" s="206"/>
    </row>
    <row r="52" spans="1:12">
      <c r="A52" s="81" t="str">
        <f>VLOOKUP(B52,'Master List'!$A$4:$C$1633,3,FALSE)</f>
        <v>47-135</v>
      </c>
      <c r="B52" s="235">
        <v>72</v>
      </c>
      <c r="C52" s="24" t="s">
        <v>105</v>
      </c>
      <c r="D52" s="203">
        <v>0.39128094270720998</v>
      </c>
      <c r="E52" s="133">
        <v>0.18172385603604641</v>
      </c>
      <c r="F52" s="132">
        <f>(D52-D53)</f>
        <v>3.5034513204422246E-2</v>
      </c>
      <c r="G52" s="132">
        <f>F52^2</f>
        <v>1.2274171154708366E-3</v>
      </c>
      <c r="H52" s="132">
        <f>(_xlfn.STDEV.S(D52:D53)/AVERAGE(D52:D53))*100</f>
        <v>6.6280226740532671</v>
      </c>
      <c r="I52" s="132">
        <f>AVERAGE(D52:D53)</f>
        <v>0.37376368610499888</v>
      </c>
      <c r="J52" s="132">
        <f>AVERAGE(E52:E53)</f>
        <v>0.18459353325855368</v>
      </c>
      <c r="K52" s="206">
        <v>6</v>
      </c>
    </row>
    <row r="53" spans="1:12">
      <c r="A53" s="81" t="str">
        <f>VLOOKUP(B53,'Master List'!$A$4:$C$1633,3,FALSE)</f>
        <v>47-135</v>
      </c>
      <c r="B53" s="235">
        <v>72</v>
      </c>
      <c r="C53" s="24" t="s">
        <v>106</v>
      </c>
      <c r="D53" s="203">
        <v>0.35624642950278773</v>
      </c>
      <c r="E53" s="133">
        <v>0.18746321048106096</v>
      </c>
      <c r="F53" s="204"/>
      <c r="G53" s="204"/>
      <c r="H53" s="204"/>
      <c r="I53" s="205"/>
      <c r="J53" s="205"/>
      <c r="K53" s="206"/>
    </row>
    <row r="54" spans="1:12">
      <c r="A54" s="81" t="str">
        <f>VLOOKUP(B54,'Master List'!$A$4:$C$1633,3,FALSE)</f>
        <v>47-135</v>
      </c>
      <c r="B54" s="235">
        <v>74</v>
      </c>
      <c r="C54" s="24" t="s">
        <v>105</v>
      </c>
      <c r="D54" s="203">
        <v>0.35960751297844806</v>
      </c>
      <c r="E54" s="133">
        <v>0.17089531622658471</v>
      </c>
      <c r="F54" s="132">
        <f>(D54-D55)</f>
        <v>2.941357929431565E-3</v>
      </c>
      <c r="G54" s="132">
        <f>F54^2</f>
        <v>8.6515864690299429E-6</v>
      </c>
      <c r="H54" s="132">
        <f>(_xlfn.STDEV.S(D54:D55)/AVERAGE(D54:D55))*100</f>
        <v>0.58074287263011126</v>
      </c>
      <c r="I54" s="132">
        <f>AVERAGE(D54:D55)</f>
        <v>0.35813683401373231</v>
      </c>
      <c r="J54" s="132">
        <f>AVERAGE(E54:E55)</f>
        <v>0.16249750488199127</v>
      </c>
      <c r="K54" s="206">
        <v>6</v>
      </c>
    </row>
    <row r="55" spans="1:12">
      <c r="A55" s="81" t="str">
        <f>VLOOKUP(B55,'Master List'!$A$4:$C$1633,3,FALSE)</f>
        <v>47-135</v>
      </c>
      <c r="B55" s="235">
        <v>74</v>
      </c>
      <c r="C55" s="24" t="s">
        <v>106</v>
      </c>
      <c r="D55" s="203">
        <v>0.3566661550490165</v>
      </c>
      <c r="E55" s="133">
        <v>0.1540996935373978</v>
      </c>
      <c r="F55" s="204"/>
      <c r="G55" s="204"/>
      <c r="H55" s="204"/>
      <c r="I55" s="205"/>
      <c r="J55" s="205"/>
      <c r="K55" s="206"/>
    </row>
    <row r="56" spans="1:12">
      <c r="A56" s="81" t="str">
        <f>VLOOKUP(B56,'Master List'!$A$4:$C$1633,3,FALSE)</f>
        <v>47-135</v>
      </c>
      <c r="B56" s="235">
        <v>80</v>
      </c>
      <c r="C56" s="24" t="s">
        <v>105</v>
      </c>
      <c r="D56" s="133">
        <v>0.36139353262047363</v>
      </c>
      <c r="E56" s="133">
        <v>0.16492313379077633</v>
      </c>
      <c r="F56" s="132">
        <f t="shared" ref="F56" si="0">(D56-D57)</f>
        <v>3.1324204957876467E-2</v>
      </c>
      <c r="G56" s="132">
        <f t="shared" ref="G56" si="1">F56^2</f>
        <v>9.8120581624305272E-4</v>
      </c>
      <c r="H56" s="132">
        <f t="shared" ref="H56" si="2">(_xlfn.STDEV.S(D56:D57)/AVERAGE(D56:D57))*100</f>
        <v>6.406579156521623</v>
      </c>
      <c r="I56" s="132">
        <f t="shared" ref="I56" si="3">AVERAGE(D56:D57)</f>
        <v>0.3457314301415354</v>
      </c>
      <c r="J56" s="132">
        <f>AVERAGE(E56:E57)</f>
        <v>0.14327782670830003</v>
      </c>
      <c r="K56" s="206">
        <v>6</v>
      </c>
    </row>
    <row r="57" spans="1:12">
      <c r="A57" s="81" t="str">
        <f>VLOOKUP(B57,'Master List'!$A$4:$C$1633,3,FALSE)</f>
        <v>47-135</v>
      </c>
      <c r="B57" s="235">
        <v>80</v>
      </c>
      <c r="C57" s="24" t="s">
        <v>106</v>
      </c>
      <c r="D57" s="203">
        <v>0.33006932766259717</v>
      </c>
      <c r="E57" s="133">
        <v>0.12163251962582372</v>
      </c>
      <c r="F57" s="204"/>
      <c r="G57" s="204"/>
      <c r="H57" s="204"/>
      <c r="I57" s="205"/>
      <c r="J57" s="205"/>
      <c r="K57" s="206"/>
    </row>
    <row r="58" spans="1:12">
      <c r="A58" s="81" t="str">
        <f>VLOOKUP(B58,'Master List'!$A$4:$C$1633,3,FALSE)</f>
        <v>47-138</v>
      </c>
      <c r="B58" s="235">
        <v>84</v>
      </c>
      <c r="C58" s="24" t="s">
        <v>105</v>
      </c>
      <c r="D58" s="133">
        <v>1.7535018425456458E-2</v>
      </c>
      <c r="E58" s="133">
        <v>6.1087569203655379E-2</v>
      </c>
      <c r="F58" s="132"/>
      <c r="G58" s="132"/>
      <c r="H58" s="132"/>
      <c r="I58" s="132">
        <f>AVERAGE(D58:D59)</f>
        <v>1.7767015162922766E-2</v>
      </c>
      <c r="J58" s="132">
        <f>AVERAGE(E58:E59)</f>
        <v>5.1381427423985118E-2</v>
      </c>
      <c r="K58" s="226">
        <v>26</v>
      </c>
      <c r="L58" s="65" t="s">
        <v>233</v>
      </c>
    </row>
    <row r="59" spans="1:12">
      <c r="A59" s="81" t="str">
        <f>VLOOKUP(B59,'Master List'!$A$4:$C$1633,3,FALSE)</f>
        <v>47-138</v>
      </c>
      <c r="B59" s="235">
        <v>84</v>
      </c>
      <c r="C59" s="24" t="s">
        <v>106</v>
      </c>
      <c r="D59" s="203">
        <v>1.7999011900389075E-2</v>
      </c>
      <c r="E59" s="133">
        <v>4.1675285644314851E-2</v>
      </c>
      <c r="F59" s="204"/>
      <c r="G59" s="204"/>
      <c r="H59" s="204"/>
      <c r="I59" s="205"/>
      <c r="J59" s="205"/>
      <c r="K59" s="206"/>
    </row>
    <row r="60" spans="1:12">
      <c r="A60" s="81" t="str">
        <f>VLOOKUP(B60,'Master List'!$A$4:$C$1633,3,FALSE)</f>
        <v>47-138</v>
      </c>
      <c r="B60" s="235">
        <v>88</v>
      </c>
      <c r="C60" s="24" t="s">
        <v>105</v>
      </c>
      <c r="D60" s="133">
        <v>9.281891613913823E-2</v>
      </c>
      <c r="E60" s="133">
        <v>8.3420556151322267E-2</v>
      </c>
      <c r="F60" s="132">
        <f t="shared" ref="F60" si="4">(D60-D61)</f>
        <v>2.2390827641918798E-3</v>
      </c>
      <c r="G60" s="132">
        <f t="shared" ref="G60" si="5">F60^2</f>
        <v>5.0134916249011495E-6</v>
      </c>
      <c r="H60" s="132">
        <f t="shared" ref="H60" si="6">(_xlfn.STDEV.S(D60:D61)/AVERAGE(D60:D61))*100</f>
        <v>1.7265882241758754</v>
      </c>
      <c r="I60" s="132">
        <f t="shared" ref="I60" si="7">AVERAGE(D60:D61)</f>
        <v>9.169937475704229E-2</v>
      </c>
      <c r="J60" s="132">
        <f>AVERAGE(E60:E61)</f>
        <v>9.0406922298911632E-2</v>
      </c>
      <c r="K60" s="206">
        <v>6</v>
      </c>
    </row>
    <row r="61" spans="1:12">
      <c r="A61" s="81" t="str">
        <f>VLOOKUP(B61,'Master List'!$A$4:$C$1633,3,FALSE)</f>
        <v>47-138</v>
      </c>
      <c r="B61" s="235">
        <v>88</v>
      </c>
      <c r="C61" s="24" t="s">
        <v>106</v>
      </c>
      <c r="D61" s="203">
        <v>9.057983337494635E-2</v>
      </c>
      <c r="E61" s="133">
        <v>9.7393288446500997E-2</v>
      </c>
      <c r="F61" s="204"/>
      <c r="G61" s="204"/>
      <c r="H61" s="204"/>
      <c r="I61" s="205"/>
      <c r="J61" s="205"/>
      <c r="K61" s="206"/>
    </row>
    <row r="62" spans="1:12">
      <c r="A62" s="81" t="str">
        <f>VLOOKUP(B62,'Master List'!$A$4:$C$1633,3,FALSE)</f>
        <v>47-138</v>
      </c>
      <c r="B62" s="235">
        <v>89</v>
      </c>
      <c r="C62" s="24" t="s">
        <v>105</v>
      </c>
      <c r="D62" s="133">
        <v>0.13118991952549625</v>
      </c>
      <c r="E62" s="133">
        <v>0.12521337314634579</v>
      </c>
      <c r="F62" s="132">
        <f t="shared" ref="F62" si="8">(D62-D63)</f>
        <v>-0.11156173854527904</v>
      </c>
      <c r="G62" s="132">
        <f t="shared" ref="G62" si="9">F62^2</f>
        <v>1.2446021507245199E-2</v>
      </c>
      <c r="H62" s="132">
        <f t="shared" ref="H62" si="10">(_xlfn.STDEV.S(D62:D63)/AVERAGE(D62:D63))*100</f>
        <v>42.191650553230154</v>
      </c>
      <c r="I62" s="132"/>
      <c r="J62" s="132"/>
      <c r="K62" s="120">
        <v>2</v>
      </c>
      <c r="L62" s="31" t="s">
        <v>266</v>
      </c>
    </row>
    <row r="63" spans="1:12">
      <c r="A63" s="81" t="str">
        <f>VLOOKUP(B63,'Master List'!$A$4:$C$1633,3,FALSE)</f>
        <v>47-138</v>
      </c>
      <c r="B63" s="235">
        <v>89</v>
      </c>
      <c r="C63" s="24" t="s">
        <v>106</v>
      </c>
      <c r="D63" s="228">
        <v>0.24275165807077528</v>
      </c>
      <c r="E63" s="205">
        <v>0.1389140003210996</v>
      </c>
      <c r="F63" s="204"/>
      <c r="G63" s="204"/>
      <c r="H63" s="204"/>
      <c r="I63" s="205"/>
      <c r="J63" s="205"/>
      <c r="K63" s="206"/>
      <c r="L63" s="122" t="s">
        <v>253</v>
      </c>
    </row>
    <row r="64" spans="1:12">
      <c r="A64" s="81" t="str">
        <f>VLOOKUP(B64,'Master List'!$A$4:$C$1633,3,FALSE)</f>
        <v>47-138</v>
      </c>
      <c r="B64" s="235">
        <v>92</v>
      </c>
      <c r="C64" s="24" t="s">
        <v>105</v>
      </c>
      <c r="D64" s="133">
        <v>0.44160428684359876</v>
      </c>
      <c r="E64" s="133">
        <v>0.18904158402551308</v>
      </c>
      <c r="F64" s="132">
        <f t="shared" ref="F64" si="11">(D64-D65)</f>
        <v>-1.0210589036708961E-2</v>
      </c>
      <c r="G64" s="132">
        <f t="shared" ref="G64" si="12">F64^2</f>
        <v>1.0425612847656123E-4</v>
      </c>
      <c r="H64" s="132">
        <f t="shared" ref="H64" si="13">(_xlfn.STDEV.S(D64:D65)/AVERAGE(D64:D65))*100</f>
        <v>1.6162574184671066</v>
      </c>
      <c r="I64" s="132">
        <f t="shared" ref="I64" si="14">AVERAGE(D64:D65)</f>
        <v>0.44670958136195327</v>
      </c>
      <c r="J64" s="132">
        <f>AVERAGE(E64:E65)</f>
        <v>0.19404490791661583</v>
      </c>
      <c r="K64" s="206">
        <v>6</v>
      </c>
    </row>
    <row r="65" spans="1:12">
      <c r="A65" s="81" t="str">
        <f>VLOOKUP(B65,'Master List'!$A$4:$C$1633,3,FALSE)</f>
        <v>47-138</v>
      </c>
      <c r="B65" s="235">
        <v>92</v>
      </c>
      <c r="C65" s="24" t="s">
        <v>106</v>
      </c>
      <c r="D65" s="203">
        <v>0.45181487588030772</v>
      </c>
      <c r="E65" s="133">
        <v>0.19904823180771855</v>
      </c>
      <c r="F65" s="204"/>
      <c r="G65" s="204"/>
      <c r="H65" s="204"/>
      <c r="I65" s="205"/>
      <c r="J65" s="205"/>
      <c r="K65" s="206"/>
    </row>
    <row r="66" spans="1:12">
      <c r="A66" s="81" t="str">
        <f>VLOOKUP(B66,'Master List'!$A$4:$C$1633,3,FALSE)</f>
        <v>47-138</v>
      </c>
      <c r="B66" s="235">
        <v>94</v>
      </c>
      <c r="C66" s="24" t="s">
        <v>105</v>
      </c>
      <c r="D66" s="203">
        <v>0.46532807100537643</v>
      </c>
      <c r="E66" s="133">
        <v>0.2211124911139655</v>
      </c>
      <c r="F66" s="132">
        <f t="shared" ref="F66" si="15">(D66-D67)</f>
        <v>7.1238027637208046E-2</v>
      </c>
      <c r="G66" s="132">
        <f t="shared" ref="G66" si="16">F66^2</f>
        <v>5.0748565816396175E-3</v>
      </c>
      <c r="H66" s="132">
        <f t="shared" ref="H66" si="17">(_xlfn.STDEV.S(D66:D67)/AVERAGE(D66:D67))*100</f>
        <v>11.722557758127493</v>
      </c>
      <c r="I66" s="132">
        <f t="shared" ref="I66" si="18">AVERAGE(D66:D67)</f>
        <v>0.42970905718677244</v>
      </c>
      <c r="J66" s="132">
        <f>AVERAGE(E66:E67)</f>
        <v>0.19233327970900047</v>
      </c>
      <c r="K66" s="120">
        <v>36</v>
      </c>
      <c r="L66" s="119" t="s">
        <v>238</v>
      </c>
    </row>
    <row r="67" spans="1:12">
      <c r="A67" s="81" t="str">
        <f>VLOOKUP(B67,'Master List'!$A$4:$C$1633,3,FALSE)</f>
        <v>47-138</v>
      </c>
      <c r="B67" s="235">
        <v>94</v>
      </c>
      <c r="C67" s="24" t="s">
        <v>106</v>
      </c>
      <c r="D67" s="203">
        <v>0.39409004336816839</v>
      </c>
      <c r="E67" s="133">
        <v>0.16355406830403543</v>
      </c>
      <c r="F67" s="204"/>
      <c r="G67" s="204"/>
      <c r="H67" s="204"/>
      <c r="I67" s="205"/>
      <c r="J67" s="205"/>
      <c r="K67" s="206"/>
    </row>
    <row r="68" spans="1:12">
      <c r="A68" s="81" t="str">
        <f>VLOOKUP(B68,'Master List'!$A$4:$C$1633,3,FALSE)</f>
        <v>47-138</v>
      </c>
      <c r="B68" s="235">
        <v>100</v>
      </c>
      <c r="C68" s="24" t="s">
        <v>105</v>
      </c>
      <c r="D68" s="203">
        <v>0.50812040208573306</v>
      </c>
      <c r="E68" s="133">
        <v>0.22673543074380623</v>
      </c>
      <c r="F68" s="132">
        <f t="shared" ref="F68" si="19">(D68-D69)</f>
        <v>4.9539637843039497E-2</v>
      </c>
      <c r="G68" s="132">
        <f t="shared" ref="G68" si="20">F68^2</f>
        <v>2.454175717619511E-3</v>
      </c>
      <c r="H68" s="132">
        <f t="shared" ref="H68" si="21">(_xlfn.STDEV.S(D68:D69)/AVERAGE(D68:D69))*100</f>
        <v>7.2472890437039004</v>
      </c>
      <c r="I68" s="132">
        <f t="shared" ref="I68" si="22">AVERAGE(D68:D69)</f>
        <v>0.48335058316421331</v>
      </c>
      <c r="J68" s="132">
        <f>AVERAGE(E68:E69)</f>
        <v>0.19969602763544114</v>
      </c>
      <c r="K68" s="206">
        <v>6</v>
      </c>
    </row>
    <row r="69" spans="1:12">
      <c r="A69" s="81" t="str">
        <f>VLOOKUP(B69,'Master List'!$A$4:$C$1633,3,FALSE)</f>
        <v>47-138</v>
      </c>
      <c r="B69" s="235">
        <v>100</v>
      </c>
      <c r="C69" s="24" t="s">
        <v>106</v>
      </c>
      <c r="D69" s="203">
        <v>0.45858076424269356</v>
      </c>
      <c r="E69" s="133">
        <v>0.17265662452707609</v>
      </c>
      <c r="F69" s="204"/>
      <c r="G69" s="204"/>
      <c r="H69" s="204"/>
      <c r="I69" s="205"/>
      <c r="J69" s="205"/>
      <c r="K69" s="206"/>
    </row>
    <row r="70" spans="1:12">
      <c r="A70" s="81" t="str">
        <f>VLOOKUP(B70,'Master List'!$A$4:$C$1633,3,FALSE)</f>
        <v>48-138</v>
      </c>
      <c r="B70" s="235">
        <v>104</v>
      </c>
      <c r="C70" s="24" t="s">
        <v>105</v>
      </c>
      <c r="D70" s="133">
        <v>1.6426134137307768E-2</v>
      </c>
      <c r="E70" s="203">
        <v>4.6478038928448782E-2</v>
      </c>
      <c r="F70" s="132"/>
      <c r="G70" s="132"/>
      <c r="H70" s="132"/>
      <c r="I70" s="132">
        <f>AVERAGE(D70:D71)</f>
        <v>1.3977188600001534E-2</v>
      </c>
      <c r="J70" s="132">
        <f>AVERAGE(E70:E71)</f>
        <v>4.4293662306593838E-2</v>
      </c>
      <c r="K70" s="226">
        <v>26</v>
      </c>
      <c r="L70" s="65" t="s">
        <v>233</v>
      </c>
    </row>
    <row r="71" spans="1:12">
      <c r="A71" s="81" t="str">
        <f>VLOOKUP(B71,'Master List'!$A$4:$C$1633,3,FALSE)</f>
        <v>48-138</v>
      </c>
      <c r="B71" s="235">
        <v>104</v>
      </c>
      <c r="C71" s="24" t="s">
        <v>106</v>
      </c>
      <c r="D71" s="203">
        <v>1.1528243062695301E-2</v>
      </c>
      <c r="E71" s="133">
        <v>4.2109285684738894E-2</v>
      </c>
      <c r="F71" s="204"/>
      <c r="G71" s="204"/>
      <c r="H71" s="204"/>
      <c r="I71" s="205"/>
      <c r="J71" s="205"/>
      <c r="K71" s="206"/>
    </row>
    <row r="72" spans="1:12">
      <c r="A72" s="81" t="str">
        <f>VLOOKUP(B72,'Master List'!$A$4:$C$1633,3,FALSE)</f>
        <v>48-138</v>
      </c>
      <c r="B72" s="235">
        <v>108</v>
      </c>
      <c r="C72" s="24" t="s">
        <v>105</v>
      </c>
      <c r="D72" s="133">
        <v>0.12981105552401812</v>
      </c>
      <c r="E72" s="133">
        <v>0.10720359484848183</v>
      </c>
      <c r="F72" s="132">
        <f t="shared" ref="F72" si="23">(D72-D73)</f>
        <v>2.3128626453648715E-3</v>
      </c>
      <c r="G72" s="132">
        <f t="shared" ref="G72" si="24">F72^2</f>
        <v>5.3493336163241914E-6</v>
      </c>
      <c r="H72" s="132">
        <f t="shared" ref="H72" si="25">(_xlfn.STDEV.S(D72:D73)/AVERAGE(D72:D73))*100</f>
        <v>1.2711870021330947</v>
      </c>
      <c r="I72" s="132">
        <f t="shared" ref="I72" si="26">AVERAGE(D72:D73)</f>
        <v>0.12865462420133567</v>
      </c>
      <c r="J72" s="132">
        <f>AVERAGE(E72:E73)</f>
        <v>0.11525660848831884</v>
      </c>
      <c r="K72" s="206">
        <v>6</v>
      </c>
    </row>
    <row r="73" spans="1:12">
      <c r="A73" s="81" t="str">
        <f>VLOOKUP(B73,'Master List'!$A$4:$C$1633,3,FALSE)</f>
        <v>48-138</v>
      </c>
      <c r="B73" s="235">
        <v>108</v>
      </c>
      <c r="C73" s="24" t="s">
        <v>106</v>
      </c>
      <c r="D73" s="203">
        <v>0.12749819287865324</v>
      </c>
      <c r="E73" s="133">
        <v>0.12330962212815587</v>
      </c>
      <c r="F73" s="204"/>
      <c r="G73" s="204"/>
      <c r="H73" s="204"/>
      <c r="I73" s="205"/>
      <c r="J73" s="205"/>
      <c r="K73" s="206"/>
    </row>
    <row r="74" spans="1:12">
      <c r="A74" s="81" t="str">
        <f>VLOOKUP(B74,'Master List'!$A$4:$C$1633,3,FALSE)</f>
        <v>48-138</v>
      </c>
      <c r="B74" s="235">
        <v>109</v>
      </c>
      <c r="C74" s="24" t="s">
        <v>105</v>
      </c>
      <c r="D74" s="133">
        <v>0.20256894871339073</v>
      </c>
      <c r="E74" s="203">
        <v>0.1581616705817078</v>
      </c>
      <c r="F74" s="132">
        <f t="shared" ref="F74" si="27">(D74-D75)</f>
        <v>1.998396396276278E-2</v>
      </c>
      <c r="G74" s="132">
        <f t="shared" ref="G74" si="28">F74^2</f>
        <v>3.9935881566500146E-4</v>
      </c>
      <c r="H74" s="132">
        <f t="shared" ref="H74" si="29">(_xlfn.STDEV.S(D74:D75)/AVERAGE(D74:D75))*100</f>
        <v>7.3377396439739382</v>
      </c>
      <c r="I74" s="132">
        <f t="shared" ref="I74" si="30">AVERAGE(D74:D75)</f>
        <v>0.19257696673200936</v>
      </c>
      <c r="J74" s="132">
        <f>AVERAGE(E74:E75)</f>
        <v>0.15059308225197082</v>
      </c>
      <c r="K74" s="206">
        <v>6</v>
      </c>
    </row>
    <row r="75" spans="1:12">
      <c r="A75" s="81" t="str">
        <f>VLOOKUP(B75,'Master List'!$A$4:$C$1633,3,FALSE)</f>
        <v>48-138</v>
      </c>
      <c r="B75" s="235">
        <v>109</v>
      </c>
      <c r="C75" s="24" t="s">
        <v>106</v>
      </c>
      <c r="D75" s="203">
        <v>0.18258498475062795</v>
      </c>
      <c r="E75" s="133">
        <v>0.14302449392223385</v>
      </c>
      <c r="F75" s="204"/>
      <c r="G75" s="204"/>
      <c r="H75" s="204"/>
      <c r="I75" s="205"/>
      <c r="J75" s="205"/>
      <c r="K75" s="206"/>
    </row>
    <row r="76" spans="1:12">
      <c r="A76" s="81" t="str">
        <f>VLOOKUP(B76,'Master List'!$A$4:$C$1633,3,FALSE)</f>
        <v>48-138</v>
      </c>
      <c r="B76" s="235">
        <v>112</v>
      </c>
      <c r="C76" s="24" t="s">
        <v>105</v>
      </c>
      <c r="D76" s="132">
        <v>0.45053493157136515</v>
      </c>
      <c r="E76" s="132">
        <v>0.19823439053179273</v>
      </c>
      <c r="F76" s="132">
        <f t="shared" ref="F76" si="31">(D76-D77)</f>
        <v>2.2376071665683728E-2</v>
      </c>
      <c r="G76" s="132">
        <f t="shared" ref="G76" si="32">F76^2</f>
        <v>5.0068858318781412E-4</v>
      </c>
      <c r="H76" s="132">
        <f t="shared" ref="H76" si="33">(_xlfn.STDEV.S(D76:D77)/AVERAGE(D76:D77))*100</f>
        <v>3.6013164459770612</v>
      </c>
      <c r="I76" s="132">
        <f t="shared" ref="I76" si="34">AVERAGE(D76:D77)</f>
        <v>0.43934689573852326</v>
      </c>
      <c r="J76" s="132">
        <f>AVERAGE(E76:E77)</f>
        <v>0.16588483104160823</v>
      </c>
      <c r="K76" s="206">
        <v>6</v>
      </c>
    </row>
    <row r="77" spans="1:12">
      <c r="A77" s="81" t="str">
        <f>VLOOKUP(B77,'Master List'!$A$4:$C$1633,3,FALSE)</f>
        <v>48-138</v>
      </c>
      <c r="B77" s="235">
        <v>112</v>
      </c>
      <c r="C77" s="24" t="s">
        <v>106</v>
      </c>
      <c r="D77" s="203">
        <v>0.42815885990568142</v>
      </c>
      <c r="E77" s="133">
        <v>0.13353527155142375</v>
      </c>
      <c r="F77" s="204"/>
      <c r="G77" s="204"/>
      <c r="H77" s="204"/>
      <c r="I77" s="205"/>
      <c r="J77" s="205"/>
      <c r="K77" s="206"/>
    </row>
    <row r="78" spans="1:12">
      <c r="A78" s="81" t="str">
        <f>VLOOKUP(B78,'Master List'!$A$4:$C$1633,3,FALSE)</f>
        <v>48-138</v>
      </c>
      <c r="B78" s="235">
        <v>114</v>
      </c>
      <c r="C78" s="24" t="s">
        <v>105</v>
      </c>
      <c r="D78" s="203">
        <v>0.47134905582673398</v>
      </c>
      <c r="E78" s="133">
        <v>0.13129454540869359</v>
      </c>
      <c r="F78" s="132">
        <f t="shared" ref="F78" si="35">(D78-D79)</f>
        <v>-1.0440126444802522E-2</v>
      </c>
      <c r="G78" s="132">
        <f t="shared" ref="G78" si="36">F78^2</f>
        <v>1.0899624018346495E-4</v>
      </c>
      <c r="H78" s="132">
        <f t="shared" ref="H78" si="37">(_xlfn.STDEV.S(D78:D79)/AVERAGE(D78:D79))*100</f>
        <v>1.5490479576801404</v>
      </c>
      <c r="I78" s="132">
        <f t="shared" ref="I78" si="38">AVERAGE(D78:D79)</f>
        <v>0.47656911904913524</v>
      </c>
      <c r="J78" s="132">
        <f>AVERAGE(E78:E79)</f>
        <v>0.1578068355340061</v>
      </c>
      <c r="K78" s="206">
        <v>6</v>
      </c>
    </row>
    <row r="79" spans="1:12">
      <c r="A79" s="81" t="str">
        <f>VLOOKUP(B79,'Master List'!$A$4:$C$1633,3,FALSE)</f>
        <v>48-138</v>
      </c>
      <c r="B79" s="235">
        <v>114</v>
      </c>
      <c r="C79" s="24" t="s">
        <v>106</v>
      </c>
      <c r="D79" s="203">
        <v>0.4817891822715365</v>
      </c>
      <c r="E79" s="133">
        <v>0.18431912565931857</v>
      </c>
      <c r="F79" s="204"/>
      <c r="G79" s="204"/>
      <c r="H79" s="204"/>
      <c r="I79" s="205"/>
      <c r="J79" s="205"/>
      <c r="K79" s="206"/>
    </row>
    <row r="80" spans="1:12">
      <c r="A80" s="81" t="str">
        <f>VLOOKUP(B80,'Master List'!$A$4:$C$1633,3,FALSE)</f>
        <v>48-138</v>
      </c>
      <c r="B80" s="235">
        <v>120</v>
      </c>
      <c r="C80" s="24" t="s">
        <v>105</v>
      </c>
      <c r="D80" s="203">
        <v>0.46595328718361306</v>
      </c>
      <c r="E80" s="133">
        <v>0.20332621393688022</v>
      </c>
      <c r="F80" s="132">
        <f t="shared" ref="F80" si="39">(D80-D81)</f>
        <v>6.3227718612370476E-2</v>
      </c>
      <c r="G80" s="132">
        <f t="shared" ref="G80" si="40">F80^2</f>
        <v>3.9977444009250997E-3</v>
      </c>
      <c r="H80" s="132">
        <f t="shared" ref="H80" si="41">(_xlfn.STDEV.S(D80:D81)/AVERAGE(D80:D81))*100</f>
        <v>10.293504508271125</v>
      </c>
      <c r="I80" s="132">
        <f t="shared" ref="I80" si="42">AVERAGE(D80:D81)</f>
        <v>0.43433942787742785</v>
      </c>
      <c r="J80" s="132">
        <f>AVERAGE(E80:E81)</f>
        <v>0.18244450266495685</v>
      </c>
      <c r="K80" s="120">
        <v>36</v>
      </c>
      <c r="L80" s="119" t="s">
        <v>238</v>
      </c>
    </row>
    <row r="81" spans="1:12">
      <c r="A81" s="81" t="str">
        <f>VLOOKUP(B81,'Master List'!$A$4:$C$1633,3,FALSE)</f>
        <v>48-138</v>
      </c>
      <c r="B81" s="235">
        <v>120</v>
      </c>
      <c r="C81" s="24" t="s">
        <v>106</v>
      </c>
      <c r="D81" s="203">
        <v>0.40272556857124259</v>
      </c>
      <c r="E81" s="133">
        <v>0.16156279139303348</v>
      </c>
      <c r="F81" s="204"/>
      <c r="G81" s="204"/>
      <c r="H81" s="204"/>
      <c r="I81" s="205"/>
      <c r="J81" s="205"/>
      <c r="K81" s="206"/>
    </row>
    <row r="82" spans="1:12">
      <c r="A82" s="81" t="str">
        <f>VLOOKUP(B82,'Master List'!$A$4:$C$1633,3,FALSE)</f>
        <v>49-138</v>
      </c>
      <c r="B82" s="235">
        <v>124</v>
      </c>
      <c r="C82" s="24" t="s">
        <v>105</v>
      </c>
      <c r="D82" s="203">
        <v>1.784981258512805E-2</v>
      </c>
      <c r="E82" s="133">
        <v>4.2804714623523261E-2</v>
      </c>
      <c r="F82" s="132"/>
      <c r="G82" s="132"/>
      <c r="H82" s="132"/>
      <c r="I82" s="132">
        <f>AVERAGE(D82:D83)</f>
        <v>1.3136097954629E-2</v>
      </c>
      <c r="J82" s="132">
        <f>AVERAGE(E82:E83)</f>
        <v>5.0571318863528891E-2</v>
      </c>
      <c r="K82" s="226">
        <v>26</v>
      </c>
      <c r="L82" s="65" t="s">
        <v>233</v>
      </c>
    </row>
    <row r="83" spans="1:12">
      <c r="A83" s="81" t="str">
        <f>VLOOKUP(B83,'Master List'!$A$4:$C$1633,3,FALSE)</f>
        <v>49-138</v>
      </c>
      <c r="B83" s="235">
        <v>124</v>
      </c>
      <c r="C83" s="24" t="s">
        <v>106</v>
      </c>
      <c r="D83" s="203">
        <v>8.4223833241299489E-3</v>
      </c>
      <c r="E83" s="133">
        <v>5.8337923103534528E-2</v>
      </c>
      <c r="F83" s="204"/>
      <c r="G83" s="204"/>
      <c r="H83" s="204"/>
      <c r="I83" s="205"/>
      <c r="J83" s="205"/>
      <c r="K83" s="206"/>
    </row>
    <row r="84" spans="1:12">
      <c r="A84" s="81" t="str">
        <f>VLOOKUP(B84,'Master List'!$A$4:$C$1633,3,FALSE)</f>
        <v>49-138</v>
      </c>
      <c r="B84" s="235">
        <v>128</v>
      </c>
      <c r="C84" s="24" t="s">
        <v>105</v>
      </c>
      <c r="D84" s="203">
        <v>7.0718289363167097E-2</v>
      </c>
      <c r="E84" s="133">
        <v>6.8717033040089442E-2</v>
      </c>
      <c r="F84" s="132">
        <f t="shared" ref="F84" si="43">(D84-D85)</f>
        <v>1.5914593627841471E-2</v>
      </c>
      <c r="G84" s="132">
        <f t="shared" ref="G84" si="44">F84^2</f>
        <v>2.5327429033933233E-4</v>
      </c>
      <c r="H84" s="132">
        <f t="shared" ref="H84" si="45">(_xlfn.STDEV.S(D84:D85)/AVERAGE(D84:D85))*100</f>
        <v>17.93043197212814</v>
      </c>
      <c r="I84" s="132">
        <f t="shared" ref="I84" si="46">AVERAGE(D84:D85)</f>
        <v>6.2760992549246358E-2</v>
      </c>
      <c r="J84" s="132">
        <f>AVERAGE(E84:E85)</f>
        <v>7.6070136569766772E-2</v>
      </c>
      <c r="K84" s="120">
        <v>36</v>
      </c>
      <c r="L84" s="119" t="s">
        <v>238</v>
      </c>
    </row>
    <row r="85" spans="1:12">
      <c r="A85" s="81" t="str">
        <f>VLOOKUP(B85,'Master List'!$A$4:$C$1633,3,FALSE)</f>
        <v>49-138</v>
      </c>
      <c r="B85" s="235">
        <v>128</v>
      </c>
      <c r="C85" s="24" t="s">
        <v>106</v>
      </c>
      <c r="D85" s="203">
        <v>5.4803695735325626E-2</v>
      </c>
      <c r="E85" s="133">
        <v>8.3423240099444101E-2</v>
      </c>
      <c r="F85" s="204"/>
      <c r="G85" s="204"/>
      <c r="H85" s="204"/>
      <c r="I85" s="205"/>
      <c r="J85" s="205"/>
      <c r="K85" s="206"/>
    </row>
    <row r="86" spans="1:12">
      <c r="A86" s="81" t="str">
        <f>VLOOKUP(B86,'Master List'!$A$4:$C$1633,3,FALSE)</f>
        <v>49-138</v>
      </c>
      <c r="B86" s="235">
        <v>129</v>
      </c>
      <c r="C86" s="24" t="s">
        <v>105</v>
      </c>
      <c r="D86" s="203">
        <v>0.25504830493294683</v>
      </c>
      <c r="E86" s="133">
        <v>0.14626842314435576</v>
      </c>
      <c r="F86" s="132">
        <f t="shared" ref="F86" si="47">(D86-D87)</f>
        <v>5.9565503917996865E-2</v>
      </c>
      <c r="G86" s="132">
        <f t="shared" ref="G86" si="48">F86^2</f>
        <v>3.5480492570048997E-3</v>
      </c>
      <c r="H86" s="132">
        <f t="shared" ref="H86" si="49">(_xlfn.STDEV.S(D86:D87)/AVERAGE(D86:D87))*100</f>
        <v>18.697564358666231</v>
      </c>
      <c r="I86" s="132">
        <f t="shared" ref="I86" si="50">AVERAGE(D86:D87)</f>
        <v>0.2252655529739484</v>
      </c>
      <c r="J86" s="132">
        <f>AVERAGE(E86:E87)</f>
        <v>0.13924960723873245</v>
      </c>
      <c r="K86" s="120">
        <v>36</v>
      </c>
      <c r="L86" s="119" t="s">
        <v>238</v>
      </c>
    </row>
    <row r="87" spans="1:12">
      <c r="A87" s="81" t="str">
        <f>VLOOKUP(B87,'Master List'!$A$4:$C$1633,3,FALSE)</f>
        <v>49-138</v>
      </c>
      <c r="B87" s="235">
        <v>129</v>
      </c>
      <c r="C87" s="24" t="s">
        <v>106</v>
      </c>
      <c r="D87" s="203">
        <v>0.19548280101494997</v>
      </c>
      <c r="E87" s="133">
        <v>0.13223079133310914</v>
      </c>
      <c r="F87" s="204"/>
      <c r="G87" s="204"/>
      <c r="H87" s="204"/>
      <c r="I87" s="205"/>
      <c r="J87" s="205"/>
      <c r="K87" s="206"/>
    </row>
    <row r="88" spans="1:12">
      <c r="A88" s="81" t="str">
        <f>VLOOKUP(B88,'Master List'!$A$4:$C$1633,3,FALSE)</f>
        <v>49-138</v>
      </c>
      <c r="B88" s="235">
        <v>132</v>
      </c>
      <c r="C88" s="24" t="s">
        <v>105</v>
      </c>
      <c r="D88" s="133">
        <v>0.33018245681372926</v>
      </c>
      <c r="E88" s="203">
        <v>0.17265564352791518</v>
      </c>
      <c r="F88" s="132">
        <f t="shared" ref="F88" si="51">(D88-D89)</f>
        <v>-2.5120683245320408E-2</v>
      </c>
      <c r="G88" s="132">
        <f t="shared" ref="G88" si="52">F88^2</f>
        <v>6.3104872671172145E-4</v>
      </c>
      <c r="H88" s="132">
        <f t="shared" ref="H88" si="53">(_xlfn.STDEV.S(D88:D89)/AVERAGE(D88:D89))*100</f>
        <v>5.1826050180605128</v>
      </c>
      <c r="I88" s="132">
        <f t="shared" ref="I88" si="54">AVERAGE(D88:D89)</f>
        <v>0.34274279843638944</v>
      </c>
      <c r="J88" s="132">
        <f>AVERAGE(E88:E89)</f>
        <v>0.16123397386402147</v>
      </c>
      <c r="K88" s="206">
        <v>6</v>
      </c>
    </row>
    <row r="89" spans="1:12">
      <c r="A89" s="81" t="str">
        <f>VLOOKUP(B89,'Master List'!$A$4:$C$1633,3,FALSE)</f>
        <v>49-138</v>
      </c>
      <c r="B89" s="235">
        <v>132</v>
      </c>
      <c r="C89" s="24" t="s">
        <v>106</v>
      </c>
      <c r="D89" s="203">
        <v>0.35530314005904967</v>
      </c>
      <c r="E89" s="133">
        <v>0.14981230420012775</v>
      </c>
      <c r="F89" s="204"/>
      <c r="G89" s="204"/>
      <c r="H89" s="204"/>
      <c r="I89" s="205"/>
      <c r="J89" s="205"/>
      <c r="K89" s="206"/>
    </row>
    <row r="90" spans="1:12">
      <c r="A90" s="81" t="str">
        <f>VLOOKUP(B90,'Master List'!$A$4:$C$1633,3,FALSE)</f>
        <v>49-138</v>
      </c>
      <c r="B90" s="235">
        <v>134</v>
      </c>
      <c r="C90" s="24" t="s">
        <v>105</v>
      </c>
      <c r="D90" s="203">
        <v>0.50222730239174229</v>
      </c>
      <c r="E90" s="133">
        <v>0.24302610064713928</v>
      </c>
      <c r="F90" s="132">
        <f t="shared" ref="F90" si="55">(D90-D91)</f>
        <v>1.6347982115028303E-2</v>
      </c>
      <c r="G90" s="132">
        <f t="shared" ref="G90" si="56">F90^2</f>
        <v>2.6725651923328528E-4</v>
      </c>
      <c r="H90" s="132">
        <f t="shared" ref="H90" si="57">(_xlfn.STDEV.S(D90:D91)/AVERAGE(D90:D91))*100</f>
        <v>2.3397817091914406</v>
      </c>
      <c r="I90" s="132">
        <f t="shared" ref="I90" si="58">AVERAGE(D90:D91)</f>
        <v>0.49405331133422814</v>
      </c>
      <c r="J90" s="132">
        <f>AVERAGE(E90:E91)</f>
        <v>0.20067249179286059</v>
      </c>
      <c r="K90" s="206">
        <v>6</v>
      </c>
    </row>
    <row r="91" spans="1:12">
      <c r="A91" s="81" t="str">
        <f>VLOOKUP(B91,'Master List'!$A$4:$C$1633,3,FALSE)</f>
        <v>49-138</v>
      </c>
      <c r="B91" s="235">
        <v>134</v>
      </c>
      <c r="C91" s="24" t="s">
        <v>106</v>
      </c>
      <c r="D91" s="203">
        <v>0.48587932027671399</v>
      </c>
      <c r="E91" s="133">
        <v>0.1583188829385819</v>
      </c>
      <c r="F91" s="204"/>
      <c r="G91" s="204"/>
      <c r="H91" s="204"/>
      <c r="I91" s="205"/>
      <c r="J91" s="205"/>
      <c r="K91" s="206"/>
    </row>
    <row r="92" spans="1:12">
      <c r="A92" s="81" t="str">
        <f>VLOOKUP(B92,'Master List'!$A$4:$C$1633,3,FALSE)</f>
        <v>49-138</v>
      </c>
      <c r="B92" s="235">
        <v>140</v>
      </c>
      <c r="C92" s="24" t="s">
        <v>105</v>
      </c>
      <c r="D92" s="203">
        <v>0.48458243392098382</v>
      </c>
      <c r="E92" s="133">
        <v>0.16369207876368705</v>
      </c>
      <c r="F92" s="132">
        <f t="shared" ref="F92" si="59">(D92-D93)</f>
        <v>4.5085519090742099E-2</v>
      </c>
      <c r="G92" s="132">
        <f t="shared" ref="G92" si="60">F92^2</f>
        <v>2.0327040316816701E-3</v>
      </c>
      <c r="H92" s="132">
        <f t="shared" ref="H92" si="61">(_xlfn.STDEV.S(D92:D93)/AVERAGE(D92:D93))*100</f>
        <v>6.899900171010505</v>
      </c>
      <c r="I92" s="132">
        <f t="shared" ref="I92" si="62">AVERAGE(D92:D93)</f>
        <v>0.46203967437561277</v>
      </c>
      <c r="J92" s="132">
        <f>AVERAGE(E92:E93)</f>
        <v>0.16320648308606467</v>
      </c>
      <c r="K92" s="206">
        <v>6</v>
      </c>
    </row>
    <row r="93" spans="1:12">
      <c r="A93" s="81" t="str">
        <f>VLOOKUP(B93,'Master List'!$A$4:$C$1633,3,FALSE)</f>
        <v>49-138</v>
      </c>
      <c r="B93" s="235">
        <v>140</v>
      </c>
      <c r="C93" s="24" t="s">
        <v>106</v>
      </c>
      <c r="D93" s="203">
        <v>0.43949691483024173</v>
      </c>
      <c r="E93" s="133">
        <v>0.16272088740844232</v>
      </c>
      <c r="F93" s="204"/>
      <c r="G93" s="204"/>
      <c r="H93" s="204"/>
      <c r="I93" s="205"/>
      <c r="J93" s="205"/>
      <c r="K93" s="206"/>
    </row>
    <row r="94" spans="1:12">
      <c r="A94" s="81" t="str">
        <f>VLOOKUP(B94,'Master List'!$A$4:$C$1633,3,FALSE)</f>
        <v>50-138</v>
      </c>
      <c r="B94" s="235">
        <v>144</v>
      </c>
      <c r="C94" s="24" t="s">
        <v>105</v>
      </c>
      <c r="D94" s="203">
        <v>1.9758798695775376E-2</v>
      </c>
      <c r="E94" s="133">
        <v>5.6612265241625916E-2</v>
      </c>
      <c r="F94" s="132"/>
      <c r="G94" s="132"/>
      <c r="H94" s="132"/>
      <c r="I94" s="132">
        <f t="shared" ref="I94" si="63">AVERAGE(D94:D95)</f>
        <v>1.9564784934172224E-2</v>
      </c>
      <c r="J94" s="132">
        <f>AVERAGE(E94:E95)</f>
        <v>5.4147265202176442E-2</v>
      </c>
      <c r="K94" s="206">
        <v>26</v>
      </c>
      <c r="L94" s="65" t="s">
        <v>233</v>
      </c>
    </row>
    <row r="95" spans="1:12">
      <c r="A95" s="81" t="str">
        <f>VLOOKUP(B95,'Master List'!$A$4:$C$1633,3,FALSE)</f>
        <v>50-138</v>
      </c>
      <c r="B95" s="235">
        <v>144</v>
      </c>
      <c r="C95" s="24" t="s">
        <v>106</v>
      </c>
      <c r="D95" s="203">
        <v>1.9370771172569072E-2</v>
      </c>
      <c r="E95" s="133">
        <v>5.1682265162726969E-2</v>
      </c>
      <c r="F95" s="204"/>
      <c r="G95" s="204"/>
      <c r="H95" s="204"/>
      <c r="I95" s="205"/>
      <c r="J95" s="205"/>
      <c r="K95" s="206"/>
    </row>
    <row r="96" spans="1:12">
      <c r="A96" s="81" t="str">
        <f>VLOOKUP(B96,'Master List'!$A$4:$C$1633,3,FALSE)</f>
        <v>50-138</v>
      </c>
      <c r="B96" s="235">
        <v>148</v>
      </c>
      <c r="C96" s="24" t="s">
        <v>105</v>
      </c>
      <c r="D96" s="203">
        <v>0.1277419397453434</v>
      </c>
      <c r="E96" s="133">
        <v>0.12329403216600521</v>
      </c>
      <c r="F96" s="132">
        <f t="shared" ref="F96" si="64">(D96-D97)</f>
        <v>1.1996608678734463E-2</v>
      </c>
      <c r="G96" s="132">
        <f t="shared" ref="G96" si="65">F96^2</f>
        <v>1.4391861979068705E-4</v>
      </c>
      <c r="H96" s="132">
        <f t="shared" ref="H96" si="66">(_xlfn.STDEV.S(D96:D97)/AVERAGE(D96:D97))*100</f>
        <v>6.9678249049215752</v>
      </c>
      <c r="I96" s="132">
        <f t="shared" ref="I96" si="67">AVERAGE(D96:D97)</f>
        <v>0.12174363540597616</v>
      </c>
      <c r="J96" s="132">
        <f>AVERAGE(E96:E97)</f>
        <v>0.11187729837616192</v>
      </c>
      <c r="K96" s="206">
        <v>6</v>
      </c>
    </row>
    <row r="97" spans="1:12">
      <c r="A97" s="81" t="str">
        <f>VLOOKUP(B97,'Master List'!$A$4:$C$1633,3,FALSE)</f>
        <v>50-138</v>
      </c>
      <c r="B97" s="235">
        <v>148</v>
      </c>
      <c r="C97" s="24" t="s">
        <v>106</v>
      </c>
      <c r="D97" s="203">
        <v>0.11574533106660893</v>
      </c>
      <c r="E97" s="133">
        <v>0.10046056458631865</v>
      </c>
      <c r="F97" s="204"/>
      <c r="G97" s="204"/>
      <c r="H97" s="204"/>
      <c r="I97" s="205"/>
      <c r="J97" s="205"/>
      <c r="K97" s="206"/>
    </row>
    <row r="98" spans="1:12">
      <c r="A98" s="81" t="str">
        <f>VLOOKUP(B98,'Master List'!$A$4:$C$1633,3,FALSE)</f>
        <v>50-138</v>
      </c>
      <c r="B98" s="235">
        <v>149</v>
      </c>
      <c r="C98" s="24" t="s">
        <v>105</v>
      </c>
      <c r="D98" s="133">
        <v>0.29881835606825552</v>
      </c>
      <c r="E98" s="203">
        <v>0.16890423715496811</v>
      </c>
      <c r="F98" s="132">
        <f t="shared" ref="F98" si="68">(D98-D99)</f>
        <v>2.7062460414266798E-2</v>
      </c>
      <c r="G98" s="132">
        <f t="shared" ref="G98" si="69">F98^2</f>
        <v>7.3237676367375745E-4</v>
      </c>
      <c r="H98" s="132">
        <f t="shared" ref="H98" si="70">(_xlfn.STDEV.S(D98:D99)/AVERAGE(D98:D99))*100</f>
        <v>6.7076455752286535</v>
      </c>
      <c r="I98" s="132">
        <f t="shared" ref="I98" si="71">AVERAGE(D98:D99)</f>
        <v>0.28528712586112215</v>
      </c>
      <c r="J98" s="132">
        <f>AVERAGE(E98:E99)</f>
        <v>0.15366938850272652</v>
      </c>
      <c r="K98" s="206">
        <v>6</v>
      </c>
    </row>
    <row r="99" spans="1:12">
      <c r="A99" s="81" t="str">
        <f>VLOOKUP(B99,'Master List'!$A$4:$C$1633,3,FALSE)</f>
        <v>50-138</v>
      </c>
      <c r="B99" s="235">
        <v>149</v>
      </c>
      <c r="C99" s="24" t="s">
        <v>106</v>
      </c>
      <c r="D99" s="203">
        <v>0.27175589565398872</v>
      </c>
      <c r="E99" s="133">
        <v>0.13843453985048493</v>
      </c>
      <c r="F99" s="204"/>
      <c r="G99" s="204"/>
      <c r="H99" s="204"/>
      <c r="I99" s="205"/>
      <c r="J99" s="205"/>
      <c r="K99" s="206"/>
    </row>
    <row r="100" spans="1:12">
      <c r="A100" s="81" t="str">
        <f>VLOOKUP(B100,'Master List'!$A$4:$C$1633,3,FALSE)</f>
        <v>50-138</v>
      </c>
      <c r="B100" s="235">
        <v>152</v>
      </c>
      <c r="C100" s="24" t="s">
        <v>105</v>
      </c>
      <c r="D100" s="203">
        <v>0.41047027002385733</v>
      </c>
      <c r="E100" s="133">
        <v>0.20046303207650451</v>
      </c>
      <c r="F100" s="132">
        <f t="shared" ref="F100" si="72">(D100-D101)</f>
        <v>6.4931760608648581E-3</v>
      </c>
      <c r="G100" s="132">
        <f t="shared" ref="G100" si="73">F100^2</f>
        <v>4.2161335357388477E-5</v>
      </c>
      <c r="H100" s="132">
        <f t="shared" ref="H100" si="74">(_xlfn.STDEV.S(D100:D101)/AVERAGE(D100:D101))*100</f>
        <v>1.1274807991520073</v>
      </c>
      <c r="I100" s="132">
        <f t="shared" ref="I100" si="75">AVERAGE(D100:D101)</f>
        <v>0.4072236819934249</v>
      </c>
      <c r="J100" s="132">
        <f>AVERAGE(E100:E101)</f>
        <v>0.19086217992570337</v>
      </c>
      <c r="K100" s="206">
        <v>6</v>
      </c>
    </row>
    <row r="101" spans="1:12">
      <c r="A101" s="81" t="str">
        <f>VLOOKUP(B101,'Master List'!$A$4:$C$1633,3,FALSE)</f>
        <v>50-138</v>
      </c>
      <c r="B101" s="235">
        <v>152</v>
      </c>
      <c r="C101" s="24" t="s">
        <v>106</v>
      </c>
      <c r="D101" s="203">
        <v>0.40397709396299247</v>
      </c>
      <c r="E101" s="133">
        <v>0.1812613277749022</v>
      </c>
      <c r="F101" s="204"/>
      <c r="G101" s="204"/>
      <c r="H101" s="204"/>
      <c r="I101" s="205"/>
      <c r="J101" s="205"/>
      <c r="K101" s="206"/>
    </row>
    <row r="102" spans="1:12">
      <c r="A102" s="81" t="str">
        <f>VLOOKUP(B102,'Master List'!$A$4:$C$1633,3,FALSE)</f>
        <v>50-138</v>
      </c>
      <c r="B102" s="235">
        <v>154</v>
      </c>
      <c r="C102" s="24" t="s">
        <v>105</v>
      </c>
      <c r="D102" s="203">
        <v>0.42006930582328739</v>
      </c>
      <c r="E102" s="133">
        <v>0.12174184337464027</v>
      </c>
      <c r="F102" s="132">
        <f t="shared" ref="F102" si="76">(D102-D103)</f>
        <v>2.4205812718774811E-2</v>
      </c>
      <c r="G102" s="132">
        <f t="shared" ref="G102" si="77">F102^2</f>
        <v>5.8592136937640044E-4</v>
      </c>
      <c r="H102" s="132">
        <f t="shared" ref="H102" si="78">(_xlfn.STDEV.S(D102:D103)/AVERAGE(D102:D103))*100</f>
        <v>4.1954666708016024</v>
      </c>
      <c r="I102" s="132">
        <f t="shared" ref="I102" si="79">AVERAGE(D102:D103)</f>
        <v>0.40796639946390001</v>
      </c>
      <c r="J102" s="132">
        <f>AVERAGE(E102:E103)</f>
        <v>0.13937661575180721</v>
      </c>
      <c r="K102" s="206">
        <v>6</v>
      </c>
    </row>
    <row r="103" spans="1:12">
      <c r="A103" s="81" t="str">
        <f>VLOOKUP(B103,'Master List'!$A$4:$C$1633,3,FALSE)</f>
        <v>50-138</v>
      </c>
      <c r="B103" s="235">
        <v>154</v>
      </c>
      <c r="C103" s="24" t="s">
        <v>106</v>
      </c>
      <c r="D103" s="203">
        <v>0.39586349310451258</v>
      </c>
      <c r="E103" s="133">
        <v>0.15701138812897417</v>
      </c>
      <c r="F103" s="204"/>
      <c r="G103" s="204"/>
      <c r="H103" s="204"/>
      <c r="I103" s="205"/>
      <c r="J103" s="205"/>
      <c r="K103" s="206"/>
    </row>
    <row r="104" spans="1:12">
      <c r="A104" s="81" t="str">
        <f>VLOOKUP(B104,'Master List'!$A$4:$C$1633,3,FALSE)</f>
        <v>50-138</v>
      </c>
      <c r="B104" s="235">
        <v>160</v>
      </c>
      <c r="C104" s="24" t="s">
        <v>105</v>
      </c>
      <c r="D104" s="203">
        <v>0.39358834017619165</v>
      </c>
      <c r="E104" s="133">
        <v>0.24631337746226231</v>
      </c>
      <c r="F104" s="132">
        <f t="shared" ref="F104" si="80">(D104-D105)</f>
        <v>-6.8587963609018088E-4</v>
      </c>
      <c r="G104" s="132">
        <f t="shared" ref="G104" si="81">F104^2</f>
        <v>4.7043087520319892E-7</v>
      </c>
      <c r="H104" s="132">
        <f t="shared" ref="H104" si="82">(_xlfn.STDEV.S(D104:D105)/AVERAGE(D104:D105))*100</f>
        <v>0.12311541793894201</v>
      </c>
      <c r="I104" s="132">
        <f t="shared" ref="I104" si="83">AVERAGE(D104:D105)</f>
        <v>0.39393127999423672</v>
      </c>
      <c r="J104" s="132">
        <f>AVERAGE(E104:E105)</f>
        <v>0.32308981867181585</v>
      </c>
      <c r="K104" s="206">
        <v>6</v>
      </c>
    </row>
    <row r="105" spans="1:12">
      <c r="A105" s="81" t="str">
        <f>VLOOKUP(B105,'Master List'!$A$4:$C$1633,3,FALSE)</f>
        <v>50-138</v>
      </c>
      <c r="B105" s="235">
        <v>160</v>
      </c>
      <c r="C105" s="24" t="s">
        <v>106</v>
      </c>
      <c r="D105" s="203">
        <v>0.39427421981228183</v>
      </c>
      <c r="E105" s="133">
        <v>0.39986625988136942</v>
      </c>
      <c r="F105" s="204"/>
      <c r="G105" s="204"/>
      <c r="H105" s="204"/>
      <c r="I105" s="205"/>
      <c r="J105" s="205"/>
      <c r="K105" s="206"/>
    </row>
    <row r="106" spans="1:12">
      <c r="A106" s="81" t="str">
        <f>VLOOKUP(B106,'Master List'!$A$4:$C$1633,3,FALSE)</f>
        <v>50-141</v>
      </c>
      <c r="B106" s="235">
        <v>164</v>
      </c>
      <c r="C106" s="24" t="s">
        <v>105</v>
      </c>
      <c r="D106" s="203">
        <v>1.6598833711016479E-2</v>
      </c>
      <c r="E106" s="133">
        <v>5.9205124175595356E-2</v>
      </c>
      <c r="F106" s="132"/>
      <c r="G106" s="132"/>
      <c r="H106" s="132"/>
      <c r="I106" s="132">
        <f t="shared" ref="I106" si="84">AVERAGE(D106:D107)</f>
        <v>1.6939040940869891E-2</v>
      </c>
      <c r="J106" s="132">
        <f>AVERAGE(E106:E107)</f>
        <v>5.6976284791498515E-2</v>
      </c>
      <c r="K106" s="226">
        <v>26</v>
      </c>
      <c r="L106" s="65" t="s">
        <v>233</v>
      </c>
    </row>
    <row r="107" spans="1:12">
      <c r="A107" s="81" t="str">
        <f>VLOOKUP(B107,'Master List'!$A$4:$C$1633,3,FALSE)</f>
        <v>50-141</v>
      </c>
      <c r="B107" s="235">
        <v>164</v>
      </c>
      <c r="C107" s="24" t="s">
        <v>106</v>
      </c>
      <c r="D107" s="203">
        <v>1.7279248170723301E-2</v>
      </c>
      <c r="E107" s="133">
        <v>5.4747445407401674E-2</v>
      </c>
      <c r="F107" s="204"/>
      <c r="G107" s="204"/>
      <c r="H107" s="204"/>
      <c r="I107" s="205"/>
      <c r="J107" s="205"/>
      <c r="K107" s="206"/>
    </row>
    <row r="108" spans="1:12">
      <c r="A108" s="81" t="str">
        <f>VLOOKUP(B108,'Master List'!$A$4:$C$1633,3,FALSE)</f>
        <v>50-141</v>
      </c>
      <c r="B108" s="235">
        <v>168</v>
      </c>
      <c r="C108" s="24" t="s">
        <v>105</v>
      </c>
      <c r="D108" s="203">
        <v>9.0198364063399913E-2</v>
      </c>
      <c r="E108" s="133">
        <v>8.2369002656468501E-2</v>
      </c>
      <c r="F108" s="132">
        <f t="shared" ref="F108" si="85">(D108-D109)</f>
        <v>1.8727519912267926E-2</v>
      </c>
      <c r="G108" s="132">
        <f t="shared" ref="G108" si="86">F108^2</f>
        <v>3.5072000206439168E-4</v>
      </c>
      <c r="H108" s="132">
        <f t="shared" ref="H108" si="87">(_xlfn.STDEV.S(D108:D109)/AVERAGE(D108:D109))*100</f>
        <v>16.382038943616791</v>
      </c>
      <c r="I108" s="132">
        <f t="shared" ref="I108" si="88">AVERAGE(D108:D109)</f>
        <v>8.083460410726595E-2</v>
      </c>
      <c r="J108" s="132">
        <f>AVERAGE(E108:E109)</f>
        <v>9.9039886520332687E-2</v>
      </c>
      <c r="K108" s="206">
        <v>36</v>
      </c>
      <c r="L108" s="31" t="s">
        <v>238</v>
      </c>
    </row>
    <row r="109" spans="1:12">
      <c r="A109" s="81" t="str">
        <f>VLOOKUP(B109,'Master List'!$A$4:$C$1633,3,FALSE)</f>
        <v>50-141</v>
      </c>
      <c r="B109" s="235">
        <v>168</v>
      </c>
      <c r="C109" s="24" t="s">
        <v>106</v>
      </c>
      <c r="D109" s="203">
        <v>7.1470844151131988E-2</v>
      </c>
      <c r="E109" s="133">
        <v>0.11571077038419689</v>
      </c>
      <c r="F109" s="204"/>
      <c r="G109" s="204"/>
      <c r="H109" s="204"/>
      <c r="I109" s="205"/>
      <c r="J109" s="205"/>
      <c r="K109" s="206"/>
    </row>
    <row r="110" spans="1:12">
      <c r="A110" s="81" t="str">
        <f>VLOOKUP(B110,'Master List'!$A$4:$C$1633,3,FALSE)</f>
        <v>50-141</v>
      </c>
      <c r="B110" s="235">
        <v>169</v>
      </c>
      <c r="C110" s="24" t="s">
        <v>105</v>
      </c>
      <c r="D110" s="203">
        <v>0.25698297737259501</v>
      </c>
      <c r="E110" s="133">
        <v>0.15543785618427994</v>
      </c>
      <c r="F110" s="132">
        <f t="shared" ref="F110" si="89">(D110-D111)</f>
        <v>1.8514378033323675E-2</v>
      </c>
      <c r="G110" s="132">
        <f t="shared" ref="G110" si="90">F110^2</f>
        <v>3.4278219396081824E-4</v>
      </c>
      <c r="H110" s="132">
        <f t="shared" ref="H110" si="91">(_xlfn.STDEV.S(D110:D111)/AVERAGE(D110:D111))*100</f>
        <v>5.2847312924903544</v>
      </c>
      <c r="I110" s="132">
        <f t="shared" ref="I110" si="92">AVERAGE(D110:D111)</f>
        <v>0.24772578835593317</v>
      </c>
      <c r="J110" s="132">
        <f>AVERAGE(E110:E111)</f>
        <v>0.14967166417085953</v>
      </c>
      <c r="K110" s="206">
        <v>6</v>
      </c>
    </row>
    <row r="111" spans="1:12">
      <c r="A111" s="81" t="str">
        <f>VLOOKUP(B111,'Master List'!$A$4:$C$1633,3,FALSE)</f>
        <v>50-141</v>
      </c>
      <c r="B111" s="235">
        <v>169</v>
      </c>
      <c r="C111" s="24" t="s">
        <v>106</v>
      </c>
      <c r="D111" s="203">
        <v>0.23846859933927134</v>
      </c>
      <c r="E111" s="133">
        <v>0.14390547215743912</v>
      </c>
      <c r="F111" s="204"/>
      <c r="G111" s="204"/>
      <c r="H111" s="204"/>
      <c r="I111" s="205"/>
      <c r="J111" s="205"/>
      <c r="K111" s="206"/>
    </row>
    <row r="112" spans="1:12">
      <c r="A112" s="81" t="str">
        <f>VLOOKUP(B112,'Master List'!$A$4:$C$1633,3,FALSE)</f>
        <v>50-141</v>
      </c>
      <c r="B112" s="235">
        <v>172</v>
      </c>
      <c r="C112" s="24" t="s">
        <v>105</v>
      </c>
      <c r="D112" s="203">
        <v>0.4746855460086698</v>
      </c>
      <c r="E112" s="133">
        <v>0.18485221863836959</v>
      </c>
      <c r="F112" s="132">
        <f t="shared" ref="F112" si="93">(D112-D113)</f>
        <v>5.3530309638043116E-2</v>
      </c>
      <c r="G112" s="132">
        <f t="shared" ref="G112" si="94">F112^2</f>
        <v>2.865494049944772E-3</v>
      </c>
      <c r="H112" s="132">
        <f t="shared" ref="H112" si="95">(_xlfn.STDEV.S(D112:D113)/AVERAGE(D112:D113))*100</f>
        <v>8.4505295335057902</v>
      </c>
      <c r="I112" s="132">
        <f t="shared" ref="I112" si="96">AVERAGE(D112:D113)</f>
        <v>0.44792039118964821</v>
      </c>
      <c r="J112" s="132">
        <f>AVERAGE(E112:E113)</f>
        <v>0.18781934077556539</v>
      </c>
      <c r="K112" s="206">
        <v>6</v>
      </c>
    </row>
    <row r="113" spans="1:12">
      <c r="A113" s="81" t="str">
        <f>VLOOKUP(B113,'Master List'!$A$4:$C$1633,3,FALSE)</f>
        <v>50-141</v>
      </c>
      <c r="B113" s="235">
        <v>172</v>
      </c>
      <c r="C113" s="24" t="s">
        <v>106</v>
      </c>
      <c r="D113" s="203">
        <v>0.42115523637062668</v>
      </c>
      <c r="E113" s="133">
        <v>0.19078646291276122</v>
      </c>
      <c r="F113" s="204"/>
      <c r="G113" s="204"/>
      <c r="H113" s="204"/>
      <c r="I113" s="205"/>
      <c r="J113" s="205"/>
      <c r="K113" s="206"/>
    </row>
    <row r="114" spans="1:12">
      <c r="A114" s="81" t="str">
        <f>VLOOKUP(B114,'Master List'!$A$4:$C$1633,3,FALSE)</f>
        <v>50-141</v>
      </c>
      <c r="B114" s="235">
        <v>174</v>
      </c>
      <c r="C114" s="24" t="s">
        <v>105</v>
      </c>
      <c r="D114" s="203">
        <v>0.45789543112424169</v>
      </c>
      <c r="E114" s="133">
        <v>0.21962870283065958</v>
      </c>
      <c r="F114" s="132">
        <f t="shared" ref="F114" si="97">(D114-D115)</f>
        <v>4.5038518573846498E-2</v>
      </c>
      <c r="G114" s="132">
        <f t="shared" ref="G114" si="98">F114^2</f>
        <v>2.0284681553267158E-3</v>
      </c>
      <c r="H114" s="132">
        <f t="shared" ref="H114" si="99">(_xlfn.STDEV.S(D114:D115)/AVERAGE(D114:D115))*100</f>
        <v>7.3148334608589964</v>
      </c>
      <c r="I114" s="132">
        <f t="shared" ref="I114" si="100">AVERAGE(D114:D115)</f>
        <v>0.43537617183731847</v>
      </c>
      <c r="J114" s="132">
        <f>AVERAGE(E114:E115)</f>
        <v>0.18554650617506629</v>
      </c>
      <c r="K114" s="206">
        <v>6</v>
      </c>
    </row>
    <row r="115" spans="1:12">
      <c r="A115" s="81" t="str">
        <f>VLOOKUP(B115,'Master List'!$A$4:$C$1633,3,FALSE)</f>
        <v>50-141</v>
      </c>
      <c r="B115" s="235">
        <v>174</v>
      </c>
      <c r="C115" s="24" t="s">
        <v>106</v>
      </c>
      <c r="D115" s="203">
        <v>0.41285691255039519</v>
      </c>
      <c r="E115" s="133">
        <v>0.15146430951947301</v>
      </c>
      <c r="F115" s="204"/>
      <c r="G115" s="204"/>
      <c r="H115" s="204"/>
      <c r="I115" s="205"/>
      <c r="J115" s="205"/>
      <c r="K115" s="206"/>
    </row>
    <row r="116" spans="1:12">
      <c r="A116" s="81" t="str">
        <f>VLOOKUP(B116,'Master List'!$A$4:$C$1633,3,FALSE)</f>
        <v>50-141</v>
      </c>
      <c r="B116" s="235">
        <v>180</v>
      </c>
      <c r="C116" s="24" t="s">
        <v>105</v>
      </c>
      <c r="D116" s="203">
        <v>0.47708421192325068</v>
      </c>
      <c r="E116" s="133">
        <v>0.14974261281740717</v>
      </c>
      <c r="F116" s="132">
        <f t="shared" ref="F116" si="101">(D116-D117)</f>
        <v>3.1805686997235127E-2</v>
      </c>
      <c r="G116" s="132">
        <f t="shared" ref="G116" si="102">F116^2</f>
        <v>1.0116017253660916E-3</v>
      </c>
      <c r="H116" s="132">
        <f t="shared" ref="H116" si="103">(_xlfn.STDEV.S(D116:D117)/AVERAGE(D116:D117))*100</f>
        <v>4.876610048854805</v>
      </c>
      <c r="I116" s="132">
        <f t="shared" ref="I116" si="104">AVERAGE(D116:D117)</f>
        <v>0.46118136842463309</v>
      </c>
      <c r="J116" s="132">
        <f>AVERAGE(E116:E117)</f>
        <v>0.1414758471116826</v>
      </c>
      <c r="K116" s="206">
        <v>6</v>
      </c>
    </row>
    <row r="117" spans="1:12">
      <c r="A117" s="81" t="str">
        <f>VLOOKUP(B117,'Master List'!$A$4:$C$1633,3,FALSE)</f>
        <v>50-141</v>
      </c>
      <c r="B117" s="235">
        <v>180</v>
      </c>
      <c r="C117" s="24" t="s">
        <v>106</v>
      </c>
      <c r="D117" s="203">
        <v>0.44527852492601555</v>
      </c>
      <c r="E117" s="133">
        <v>0.133209081405958</v>
      </c>
      <c r="F117" s="204"/>
      <c r="G117" s="204"/>
      <c r="H117" s="204"/>
      <c r="I117" s="205"/>
      <c r="J117" s="205"/>
      <c r="K117" s="206"/>
    </row>
    <row r="118" spans="1:12">
      <c r="A118" s="81" t="str">
        <f>VLOOKUP(B118,'Master List'!$A$4:$C$1633,3,FALSE)</f>
        <v>49-141</v>
      </c>
      <c r="B118" s="235">
        <v>184</v>
      </c>
      <c r="C118" s="24" t="s">
        <v>105</v>
      </c>
      <c r="D118" s="203">
        <v>3.8897846389697309E-2</v>
      </c>
      <c r="E118" s="133">
        <v>3.0990932490335587E-2</v>
      </c>
      <c r="F118" s="132">
        <f t="shared" ref="F118" si="105">(D118-D119)</f>
        <v>2.4417861562442533E-2</v>
      </c>
      <c r="G118" s="132">
        <f t="shared" ref="G118" si="106">F118^2</f>
        <v>5.9623196328260843E-4</v>
      </c>
      <c r="H118" s="132">
        <f t="shared" ref="H118" si="107">(_xlfn.STDEV.S(D118:D119)/AVERAGE(D118:D119))*100</f>
        <v>64.693656895501633</v>
      </c>
      <c r="I118" s="132"/>
      <c r="J118" s="132"/>
      <c r="K118" s="120">
        <v>2</v>
      </c>
      <c r="L118" s="119" t="s">
        <v>254</v>
      </c>
    </row>
    <row r="119" spans="1:12">
      <c r="A119" s="81" t="str">
        <f>VLOOKUP(B119,'Master List'!$A$4:$C$1633,3,FALSE)</f>
        <v>49-141</v>
      </c>
      <c r="B119" s="235">
        <v>184</v>
      </c>
      <c r="C119" s="24" t="s">
        <v>106</v>
      </c>
      <c r="D119" s="228">
        <v>1.4479984827254776E-2</v>
      </c>
      <c r="E119" s="205">
        <v>5.5858065982087306E-2</v>
      </c>
      <c r="F119" s="204"/>
      <c r="G119" s="204"/>
      <c r="H119" s="204"/>
      <c r="I119" s="205"/>
      <c r="J119" s="205"/>
      <c r="K119" s="120"/>
      <c r="L119" s="119" t="s">
        <v>265</v>
      </c>
    </row>
    <row r="120" spans="1:12">
      <c r="A120" s="81" t="str">
        <f>VLOOKUP(B120,'Master List'!$A$4:$C$1633,3,FALSE)</f>
        <v>49-141</v>
      </c>
      <c r="B120" s="235">
        <v>188</v>
      </c>
      <c r="C120" s="24" t="s">
        <v>105</v>
      </c>
      <c r="D120" s="203">
        <v>0.11343301493888243</v>
      </c>
      <c r="E120" s="133">
        <v>0.10763881963493334</v>
      </c>
      <c r="F120" s="132">
        <f t="shared" ref="F120" si="108">(D120-D121)</f>
        <v>1.3456903808322124E-2</v>
      </c>
      <c r="G120" s="132">
        <f t="shared" ref="G120" si="109">F120^2</f>
        <v>1.8108826010643448E-4</v>
      </c>
      <c r="H120" s="132">
        <f t="shared" ref="H120" si="110">(_xlfn.STDEV.S(D120:D121)/AVERAGE(D120:D121))*100</f>
        <v>8.9175829655413548</v>
      </c>
      <c r="I120" s="132">
        <f t="shared" ref="I120" si="111">AVERAGE(D120:D121)</f>
        <v>0.10670456303472137</v>
      </c>
      <c r="J120" s="132">
        <f>AVERAGE(E120:E121)</f>
        <v>0.1024226003443411</v>
      </c>
      <c r="K120" s="206">
        <v>6</v>
      </c>
    </row>
    <row r="121" spans="1:12">
      <c r="A121" s="81" t="str">
        <f>VLOOKUP(B121,'Master List'!$A$4:$C$1633,3,FALSE)</f>
        <v>49-141</v>
      </c>
      <c r="B121" s="235">
        <v>188</v>
      </c>
      <c r="C121" s="24" t="s">
        <v>106</v>
      </c>
      <c r="D121" s="203">
        <v>9.9976111130560305E-2</v>
      </c>
      <c r="E121" s="133">
        <v>9.7206381053748861E-2</v>
      </c>
      <c r="F121" s="204"/>
      <c r="G121" s="204"/>
      <c r="H121" s="204"/>
      <c r="I121" s="205"/>
      <c r="J121" s="205"/>
      <c r="K121" s="206"/>
    </row>
    <row r="122" spans="1:12">
      <c r="A122" s="81" t="str">
        <f>VLOOKUP(B122,'Master List'!$A$4:$C$1633,3,FALSE)</f>
        <v>49-141</v>
      </c>
      <c r="B122" s="235">
        <v>189</v>
      </c>
      <c r="C122" s="24" t="s">
        <v>105</v>
      </c>
      <c r="D122" s="133">
        <v>0.39774679288615883</v>
      </c>
      <c r="E122" s="203">
        <v>0.15016637986157141</v>
      </c>
      <c r="F122" s="132">
        <f t="shared" ref="F122" si="112">(D122-D123)</f>
        <v>1.1382869370902493E-2</v>
      </c>
      <c r="G122" s="132">
        <f t="shared" ref="G122" si="113">F122^2</f>
        <v>1.295697151150301E-4</v>
      </c>
      <c r="H122" s="132">
        <f t="shared" ref="H122" si="114">(_xlfn.STDEV.S(D122:D123)/AVERAGE(D122:D123))*100</f>
        <v>2.0530019430075668</v>
      </c>
      <c r="I122" s="132">
        <f t="shared" ref="I122" si="115">AVERAGE(D122:D123)</f>
        <v>0.39205535820070758</v>
      </c>
      <c r="J122" s="132">
        <f>AVERAGE(E122:E123)</f>
        <v>0.16050803721763116</v>
      </c>
      <c r="K122" s="206">
        <v>6</v>
      </c>
    </row>
    <row r="123" spans="1:12">
      <c r="A123" s="81" t="str">
        <f>VLOOKUP(B123,'Master List'!$A$4:$C$1633,3,FALSE)</f>
        <v>49-141</v>
      </c>
      <c r="B123" s="235">
        <v>189</v>
      </c>
      <c r="C123" s="24" t="s">
        <v>106</v>
      </c>
      <c r="D123" s="203">
        <v>0.38636392351525634</v>
      </c>
      <c r="E123" s="133">
        <v>0.1708496945736909</v>
      </c>
      <c r="F123" s="204"/>
      <c r="G123" s="204"/>
      <c r="H123" s="204"/>
      <c r="I123" s="205"/>
      <c r="J123" s="205"/>
      <c r="K123" s="206"/>
    </row>
    <row r="124" spans="1:12">
      <c r="A124" s="81" t="str">
        <f>VLOOKUP(B124,'Master List'!$A$4:$C$1633,3,FALSE)</f>
        <v>49-141</v>
      </c>
      <c r="B124" s="235">
        <v>192</v>
      </c>
      <c r="C124" s="24" t="s">
        <v>105</v>
      </c>
      <c r="D124" s="31">
        <v>0.3395962231337693</v>
      </c>
      <c r="E124" s="43">
        <v>0.50365714282593443</v>
      </c>
      <c r="F124" s="132">
        <f t="shared" ref="F124" si="116">(D124-D125)</f>
        <v>-0.12825293373717139</v>
      </c>
      <c r="G124" s="132">
        <f t="shared" ref="G124" si="117">F124^2</f>
        <v>1.6448815012191274E-2</v>
      </c>
      <c r="H124" s="132">
        <f t="shared" ref="H124" si="118">(_xlfn.STDEV.S(D124:D125)/AVERAGE(D124:D125))*100</f>
        <v>22.463072152841825</v>
      </c>
      <c r="I124" s="132">
        <f t="shared" ref="I124" si="119">AVERAGE(D124:D125)</f>
        <v>0.403722690002355</v>
      </c>
      <c r="J124" s="132">
        <f>AVERAGE(E124:E125)</f>
        <v>0.35125906993841782</v>
      </c>
      <c r="K124" s="120">
        <v>36</v>
      </c>
      <c r="L124" s="31" t="s">
        <v>238</v>
      </c>
    </row>
    <row r="125" spans="1:12">
      <c r="A125" s="81" t="str">
        <f>VLOOKUP(B125,'Master List'!$A$4:$C$1633,3,FALSE)</f>
        <v>49-141</v>
      </c>
      <c r="B125" s="235">
        <v>192</v>
      </c>
      <c r="C125" s="24" t="s">
        <v>106</v>
      </c>
      <c r="D125" s="31">
        <v>0.4678491568709407</v>
      </c>
      <c r="E125" s="43">
        <v>0.19886099705090124</v>
      </c>
      <c r="F125" s="204"/>
      <c r="G125" s="204"/>
      <c r="H125" s="204"/>
      <c r="I125" s="205"/>
      <c r="J125" s="205"/>
    </row>
    <row r="126" spans="1:12">
      <c r="A126" s="81" t="str">
        <f>VLOOKUP(B126,'Master List'!$A$4:$C$1633,3,FALSE)</f>
        <v>49-141</v>
      </c>
      <c r="B126" s="235">
        <v>194</v>
      </c>
      <c r="C126" s="24" t="s">
        <v>105</v>
      </c>
      <c r="D126" s="31">
        <v>0.51326750520341868</v>
      </c>
      <c r="E126" s="43">
        <v>0.18606861660891666</v>
      </c>
      <c r="F126" s="132">
        <f t="shared" ref="F126" si="120">(D126-D127)</f>
        <v>-3.1407822156539367E-2</v>
      </c>
      <c r="G126" s="132">
        <f t="shared" ref="G126" si="121">F126^2</f>
        <v>9.8645129261680509E-4</v>
      </c>
      <c r="H126" s="132">
        <f t="shared" ref="H126" si="122">(_xlfn.STDEV.S(D126:D127)/AVERAGE(D126:D127))*100</f>
        <v>4.1984658046935932</v>
      </c>
      <c r="I126" s="132">
        <f t="shared" ref="I126" si="123">AVERAGE(D126:D127)</f>
        <v>0.52897141628168831</v>
      </c>
      <c r="J126" s="132">
        <f>AVERAGE(E126:E127)</f>
        <v>0.20182242556734115</v>
      </c>
      <c r="K126" s="88">
        <v>6</v>
      </c>
    </row>
    <row r="127" spans="1:12">
      <c r="A127" s="81" t="str">
        <f>VLOOKUP(B127,'Master List'!$A$4:$C$1633,3,FALSE)</f>
        <v>49-141</v>
      </c>
      <c r="B127" s="235">
        <v>194</v>
      </c>
      <c r="C127" s="24" t="s">
        <v>106</v>
      </c>
      <c r="D127" s="31">
        <v>0.54467532735995805</v>
      </c>
      <c r="E127" s="43">
        <v>0.21757623452576563</v>
      </c>
      <c r="F127" s="204"/>
      <c r="G127" s="204"/>
      <c r="H127" s="204"/>
      <c r="I127" s="205"/>
      <c r="J127" s="205"/>
    </row>
    <row r="128" spans="1:12">
      <c r="A128" s="81" t="str">
        <f>VLOOKUP(B128,'Master List'!$A$4:$C$1633,3,FALSE)</f>
        <v>49-141</v>
      </c>
      <c r="B128" s="235">
        <v>200</v>
      </c>
      <c r="C128" s="24" t="s">
        <v>105</v>
      </c>
      <c r="D128" s="31">
        <v>0.54841733362952627</v>
      </c>
      <c r="E128" s="43">
        <v>0.20547927263873023</v>
      </c>
      <c r="F128" s="132">
        <f t="shared" ref="F128" si="124">(D128-D129)</f>
        <v>0.1028945153191822</v>
      </c>
      <c r="G128" s="132">
        <f t="shared" ref="G128" si="125">F128^2</f>
        <v>1.0587281282769421E-2</v>
      </c>
      <c r="H128" s="132">
        <f t="shared" ref="H128" si="126">(_xlfn.STDEV.S(D128:D129)/AVERAGE(D128:D129))*100</f>
        <v>14.640199289081297</v>
      </c>
      <c r="I128" s="132">
        <f t="shared" ref="I128" si="127">AVERAGE(D128:D129)</f>
        <v>0.49697007596993514</v>
      </c>
      <c r="J128" s="132">
        <f>AVERAGE(E128:E129)</f>
        <v>0.17816662601369956</v>
      </c>
      <c r="K128" s="120">
        <v>36</v>
      </c>
      <c r="L128" s="31" t="s">
        <v>238</v>
      </c>
    </row>
    <row r="129" spans="1:12">
      <c r="A129" s="81" t="str">
        <f>VLOOKUP(B129,'Master List'!$A$4:$C$1633,3,FALSE)</f>
        <v>49-141</v>
      </c>
      <c r="B129" s="235">
        <v>200</v>
      </c>
      <c r="C129" s="24" t="s">
        <v>106</v>
      </c>
      <c r="D129" s="31">
        <v>0.44552281831034407</v>
      </c>
      <c r="E129" s="43">
        <v>0.1508539793886689</v>
      </c>
      <c r="F129" s="204"/>
      <c r="G129" s="204"/>
      <c r="H129" s="204"/>
      <c r="I129" s="205"/>
      <c r="J129" s="205"/>
    </row>
    <row r="130" spans="1:12">
      <c r="A130" s="81" t="str">
        <f>VLOOKUP(B130,'Master List'!$A$4:$C$1633,3,FALSE)</f>
        <v>48-141</v>
      </c>
      <c r="B130" s="235">
        <v>204</v>
      </c>
      <c r="C130" s="24" t="s">
        <v>105</v>
      </c>
      <c r="D130" s="231">
        <v>-99</v>
      </c>
      <c r="E130" s="232">
        <v>-99</v>
      </c>
      <c r="F130" s="132"/>
      <c r="G130" s="132"/>
      <c r="H130" s="132"/>
      <c r="I130" s="132"/>
      <c r="J130" s="132"/>
      <c r="K130" s="88">
        <v>2</v>
      </c>
      <c r="L130" s="31" t="s">
        <v>277</v>
      </c>
    </row>
    <row r="131" spans="1:12">
      <c r="A131" s="81" t="str">
        <f>VLOOKUP(B131,'Master List'!$A$4:$C$1633,3,FALSE)</f>
        <v>48-141</v>
      </c>
      <c r="B131" s="235">
        <v>204</v>
      </c>
      <c r="C131" s="24" t="s">
        <v>106</v>
      </c>
      <c r="D131" s="31">
        <v>1.6627799145847371E-2</v>
      </c>
      <c r="E131" s="43">
        <v>5.5991351250238144E-2</v>
      </c>
      <c r="F131" s="204"/>
      <c r="G131" s="204"/>
      <c r="H131" s="204"/>
      <c r="I131" s="205"/>
      <c r="J131" s="205"/>
    </row>
    <row r="132" spans="1:12">
      <c r="A132" s="81" t="str">
        <f>VLOOKUP(B132,'Master List'!$A$4:$C$1633,3,FALSE)</f>
        <v>48-141</v>
      </c>
      <c r="B132" s="235">
        <v>208</v>
      </c>
      <c r="C132" s="24" t="s">
        <v>105</v>
      </c>
      <c r="D132" s="31">
        <v>0.17344720983793888</v>
      </c>
      <c r="E132" s="43">
        <v>0.12254834765127157</v>
      </c>
      <c r="F132" s="132">
        <f t="shared" ref="F132" si="128">(D132-D133)</f>
        <v>2.3061951301773798E-2</v>
      </c>
      <c r="G132" s="132">
        <f t="shared" ref="G132" si="129">F132^2</f>
        <v>5.3185359784538614E-4</v>
      </c>
      <c r="H132" s="132">
        <f t="shared" ref="H132" si="130">(_xlfn.STDEV.S(D132:D133)/AVERAGE(D132:D133))*100</f>
        <v>10.071418863434898</v>
      </c>
      <c r="I132" s="132">
        <f t="shared" ref="I132" si="131">AVERAGE(D132:D133)</f>
        <v>0.16191623418705198</v>
      </c>
      <c r="J132" s="132">
        <f>AVERAGE(E132:E133)</f>
        <v>0.16082602577289862</v>
      </c>
      <c r="K132" s="120">
        <v>36</v>
      </c>
      <c r="L132" s="119" t="s">
        <v>238</v>
      </c>
    </row>
    <row r="133" spans="1:12">
      <c r="A133" s="81" t="str">
        <f>VLOOKUP(B133,'Master List'!$A$4:$C$1633,3,FALSE)</f>
        <v>48-141</v>
      </c>
      <c r="B133" s="235">
        <v>208</v>
      </c>
      <c r="C133" s="24" t="s">
        <v>106</v>
      </c>
      <c r="D133" s="31">
        <v>0.15038525853616508</v>
      </c>
      <c r="E133" s="43">
        <v>0.19910370389452567</v>
      </c>
      <c r="F133" s="204"/>
      <c r="G133" s="204"/>
      <c r="H133" s="204"/>
      <c r="I133" s="205"/>
      <c r="J133" s="205"/>
    </row>
    <row r="134" spans="1:12">
      <c r="A134" s="81" t="str">
        <f>VLOOKUP(B134,'Master List'!$A$4:$C$1633,3,FALSE)</f>
        <v>48-141</v>
      </c>
      <c r="B134" s="235">
        <v>209</v>
      </c>
      <c r="C134" s="24" t="s">
        <v>105</v>
      </c>
      <c r="D134" s="31">
        <v>0.32807727087092536</v>
      </c>
      <c r="E134" s="43">
        <v>0.18571423872321927</v>
      </c>
      <c r="F134" s="132">
        <f t="shared" ref="F134" si="132">(D134-D135)</f>
        <v>1.0621023783086048E-2</v>
      </c>
      <c r="G134" s="132">
        <f t="shared" ref="G134" si="133">F134^2</f>
        <v>1.1280614620087946E-4</v>
      </c>
      <c r="H134" s="132">
        <f t="shared" ref="H134" si="134">(_xlfn.STDEV.S(D134:D135)/AVERAGE(D134:D135))*100</f>
        <v>2.3268188966892591</v>
      </c>
      <c r="I134" s="132">
        <f t="shared" ref="I134" si="135">AVERAGE(D134:D135)</f>
        <v>0.32276675897938234</v>
      </c>
      <c r="J134" s="132">
        <f>AVERAGE(E134:E135)</f>
        <v>0.18442486616523934</v>
      </c>
      <c r="K134" s="88">
        <v>6</v>
      </c>
    </row>
    <row r="135" spans="1:12">
      <c r="A135" s="81" t="str">
        <f>VLOOKUP(B135,'Master List'!$A$4:$C$1633,3,FALSE)</f>
        <v>48-141</v>
      </c>
      <c r="B135" s="235">
        <v>209</v>
      </c>
      <c r="C135" s="24" t="s">
        <v>106</v>
      </c>
      <c r="D135" s="31">
        <v>0.31745624708783932</v>
      </c>
      <c r="E135" s="43">
        <v>0.18313549360725939</v>
      </c>
      <c r="F135" s="204"/>
      <c r="G135" s="204"/>
      <c r="H135" s="204"/>
      <c r="I135" s="205"/>
      <c r="J135" s="205"/>
    </row>
    <row r="136" spans="1:12">
      <c r="A136" s="81" t="str">
        <f>VLOOKUP(B136,'Master List'!$A$4:$C$1633,3,FALSE)</f>
        <v>48-141</v>
      </c>
      <c r="B136" s="235">
        <v>212</v>
      </c>
      <c r="C136" s="24" t="s">
        <v>105</v>
      </c>
      <c r="D136" s="231">
        <v>0.58501871290300822</v>
      </c>
      <c r="E136" s="232">
        <v>0.10783277655870215</v>
      </c>
      <c r="F136" s="132">
        <f t="shared" ref="F136" si="136">(D136-D137)</f>
        <v>0.11372594839302119</v>
      </c>
      <c r="G136" s="132">
        <f t="shared" ref="G136" si="137">F136^2</f>
        <v>1.293359133789212E-2</v>
      </c>
      <c r="H136" s="132">
        <f t="shared" ref="H136" si="138">(_xlfn.STDEV.S(D136:D137)/AVERAGE(D136:D137))*100</f>
        <v>15.225885740165007</v>
      </c>
      <c r="I136" s="132"/>
      <c r="J136" s="132"/>
      <c r="K136" s="120">
        <v>2</v>
      </c>
      <c r="L136" s="119" t="s">
        <v>264</v>
      </c>
    </row>
    <row r="137" spans="1:12">
      <c r="A137" s="81" t="str">
        <f>VLOOKUP(B137,'Master List'!$A$4:$C$1633,3,FALSE)</f>
        <v>48-141</v>
      </c>
      <c r="B137" s="235">
        <v>212</v>
      </c>
      <c r="C137" s="24" t="s">
        <v>106</v>
      </c>
      <c r="D137" s="31">
        <v>0.47129276450998703</v>
      </c>
      <c r="E137" s="43">
        <v>0.22319291051695356</v>
      </c>
      <c r="F137" s="204"/>
      <c r="G137" s="204"/>
      <c r="H137" s="204"/>
      <c r="I137" s="205"/>
      <c r="J137" s="205"/>
      <c r="K137" s="120"/>
      <c r="L137" s="119" t="s">
        <v>255</v>
      </c>
    </row>
    <row r="138" spans="1:12">
      <c r="A138" s="81" t="str">
        <f>VLOOKUP(B138,'Master List'!$A$4:$C$1633,3,FALSE)</f>
        <v>48-141</v>
      </c>
      <c r="B138" s="235">
        <v>214</v>
      </c>
      <c r="C138" s="24" t="s">
        <v>105</v>
      </c>
      <c r="D138" s="31">
        <v>0.60780412627979286</v>
      </c>
      <c r="E138" s="43">
        <v>0.26713816810237789</v>
      </c>
      <c r="F138" s="132">
        <f t="shared" ref="F138" si="139">(D138-D139)</f>
        <v>3.7039139901775542E-2</v>
      </c>
      <c r="G138" s="132">
        <f t="shared" ref="G138" si="140">F138^2</f>
        <v>1.3718978846633011E-3</v>
      </c>
      <c r="H138" s="132">
        <f t="shared" ref="H138" si="141">(_xlfn.STDEV.S(D138:D139)/AVERAGE(D138:D139))*100</f>
        <v>4.4444787688012317</v>
      </c>
      <c r="I138" s="132">
        <f t="shared" ref="I138" si="142">AVERAGE(D138:D139)</f>
        <v>0.58928455632890508</v>
      </c>
      <c r="J138" s="132">
        <f>AVERAGE(E138:E139)</f>
        <v>0.27199320508941716</v>
      </c>
      <c r="K138" s="88">
        <v>6</v>
      </c>
    </row>
    <row r="139" spans="1:12">
      <c r="A139" s="81" t="str">
        <f>VLOOKUP(B139,'Master List'!$A$4:$C$1633,3,FALSE)</f>
        <v>48-141</v>
      </c>
      <c r="B139" s="235">
        <v>214</v>
      </c>
      <c r="C139" s="24" t="s">
        <v>106</v>
      </c>
      <c r="D139" s="31">
        <v>0.57076498637801731</v>
      </c>
      <c r="E139" s="43">
        <v>0.27684824207645636</v>
      </c>
      <c r="F139" s="204"/>
      <c r="G139" s="204"/>
      <c r="H139" s="204"/>
      <c r="I139" s="205"/>
      <c r="J139" s="205"/>
    </row>
    <row r="140" spans="1:12">
      <c r="A140" s="81" t="str">
        <f>VLOOKUP(B140,'Master List'!$A$4:$C$1633,3,FALSE)</f>
        <v>48-141</v>
      </c>
      <c r="B140" s="235">
        <v>220</v>
      </c>
      <c r="C140" s="24" t="s">
        <v>105</v>
      </c>
      <c r="D140" s="31">
        <v>0.45258273316214537</v>
      </c>
      <c r="E140" s="43">
        <v>0.20101215441788747</v>
      </c>
      <c r="F140" s="132">
        <f t="shared" ref="F140" si="143">(D140-D141)</f>
        <v>-3.4119642677876594E-2</v>
      </c>
      <c r="G140" s="132">
        <f t="shared" ref="G140" si="144">F140^2</f>
        <v>1.164150016465978E-3</v>
      </c>
      <c r="H140" s="132">
        <f t="shared" ref="H140" si="145">(_xlfn.STDEV.S(D140:D141)/AVERAGE(D140:D141))*100</f>
        <v>5.1371474918448445</v>
      </c>
      <c r="I140" s="132">
        <f t="shared" ref="I140" si="146">AVERAGE(D140:D141)</f>
        <v>0.46964255450108366</v>
      </c>
      <c r="J140" s="132">
        <f>AVERAGE(E140:E141)</f>
        <v>0.19905575680908072</v>
      </c>
      <c r="K140" s="88">
        <v>6</v>
      </c>
    </row>
    <row r="141" spans="1:12">
      <c r="A141" s="81" t="str">
        <f>VLOOKUP(B141,'Master List'!$A$4:$C$1633,3,FALSE)</f>
        <v>48-141</v>
      </c>
      <c r="B141" s="235">
        <v>220</v>
      </c>
      <c r="C141" s="24" t="s">
        <v>106</v>
      </c>
      <c r="D141" s="31">
        <v>0.48670237584002196</v>
      </c>
      <c r="E141" s="43">
        <v>0.19709935920027397</v>
      </c>
      <c r="F141" s="204"/>
      <c r="G141" s="204"/>
      <c r="H141" s="204"/>
      <c r="I141" s="205"/>
      <c r="J141" s="205"/>
    </row>
    <row r="142" spans="1:12">
      <c r="A142" s="81" t="str">
        <f>VLOOKUP(B142,'Master List'!$A$4:$C$1633,3,FALSE)</f>
        <v>46-144</v>
      </c>
      <c r="B142" s="235">
        <v>224</v>
      </c>
      <c r="C142" s="24" t="s">
        <v>105</v>
      </c>
      <c r="D142" s="31">
        <v>2.017633817145088E-2</v>
      </c>
      <c r="E142" s="43">
        <v>5.7076369113121493E-2</v>
      </c>
      <c r="F142" s="132"/>
      <c r="G142" s="132"/>
      <c r="H142" s="132"/>
      <c r="I142" s="132">
        <f t="shared" ref="I142" si="147">AVERAGE(D142:D143)</f>
        <v>1.313500491935235E-2</v>
      </c>
      <c r="J142" s="132">
        <f>AVERAGE(E142:E143)</f>
        <v>7.6549202181387777E-2</v>
      </c>
      <c r="K142" s="226">
        <v>26</v>
      </c>
      <c r="L142" s="65" t="s">
        <v>233</v>
      </c>
    </row>
    <row r="143" spans="1:12">
      <c r="A143" s="81" t="str">
        <f>VLOOKUP(B143,'Master List'!$A$4:$C$1633,3,FALSE)</f>
        <v>46-144</v>
      </c>
      <c r="B143" s="235">
        <v>224</v>
      </c>
      <c r="C143" s="24" t="s">
        <v>106</v>
      </c>
      <c r="D143" s="31">
        <v>6.0936716672538192E-3</v>
      </c>
      <c r="E143" s="43">
        <v>9.6022035249654067E-2</v>
      </c>
      <c r="F143" s="204"/>
      <c r="G143" s="204"/>
      <c r="H143" s="204"/>
      <c r="I143" s="205"/>
      <c r="J143" s="205"/>
    </row>
    <row r="144" spans="1:12">
      <c r="A144" s="81" t="str">
        <f>VLOOKUP(B144,'Master List'!$A$4:$C$1633,3,FALSE)</f>
        <v>46-144</v>
      </c>
      <c r="B144" s="235">
        <v>228</v>
      </c>
      <c r="C144" s="24" t="s">
        <v>105</v>
      </c>
      <c r="D144" s="31">
        <v>8.1032716751156461E-2</v>
      </c>
      <c r="E144" s="43">
        <v>0.10656906327710006</v>
      </c>
      <c r="F144" s="132">
        <f t="shared" ref="F144" si="148">(D144-D145)</f>
        <v>8.8142364708044818E-3</v>
      </c>
      <c r="G144" s="132">
        <f t="shared" ref="G144" si="149">F144^2</f>
        <v>7.769076456325984E-5</v>
      </c>
      <c r="H144" s="132">
        <f t="shared" ref="H144" si="150">(_xlfn.STDEV.S(D144:D145)/AVERAGE(D144:D145))*100</f>
        <v>8.1338436504430156</v>
      </c>
      <c r="I144" s="132">
        <f t="shared" ref="I144" si="151">AVERAGE(D144:D145)</f>
        <v>7.662559851575422E-2</v>
      </c>
      <c r="J144" s="132">
        <f>AVERAGE(E144:E145)</f>
        <v>0.10600555331237074</v>
      </c>
      <c r="K144" s="88">
        <v>6</v>
      </c>
    </row>
    <row r="145" spans="1:12">
      <c r="A145" s="81" t="str">
        <f>VLOOKUP(B145,'Master List'!$A$4:$C$1633,3,FALSE)</f>
        <v>46-144</v>
      </c>
      <c r="B145" s="235">
        <v>228</v>
      </c>
      <c r="C145" s="24" t="s">
        <v>106</v>
      </c>
      <c r="D145" s="31">
        <v>7.2218480280351979E-2</v>
      </c>
      <c r="E145" s="43">
        <v>0.10544204334764144</v>
      </c>
      <c r="F145" s="204"/>
      <c r="G145" s="204"/>
      <c r="H145" s="204"/>
      <c r="I145" s="205"/>
      <c r="J145" s="205"/>
    </row>
    <row r="146" spans="1:12">
      <c r="A146" s="81" t="str">
        <f>VLOOKUP(B146,'Master List'!$A$4:$C$1633,3,FALSE)</f>
        <v>46-144</v>
      </c>
      <c r="B146" s="235">
        <v>229</v>
      </c>
      <c r="C146" s="24" t="s">
        <v>105</v>
      </c>
      <c r="D146" s="31">
        <v>0.10894774468120057</v>
      </c>
      <c r="E146" s="43">
        <v>0.11912700459429282</v>
      </c>
      <c r="F146" s="132">
        <f t="shared" ref="F146" si="152">(D146-D147)</f>
        <v>2.8856131303228588E-3</v>
      </c>
      <c r="G146" s="132">
        <f t="shared" ref="G146" si="153">F146^2</f>
        <v>8.3267631378916886E-6</v>
      </c>
      <c r="H146" s="132">
        <f t="shared" ref="H146" si="154">(_xlfn.STDEV.S(D146:D147)/AVERAGE(D146:D147))*100</f>
        <v>1.89799338345725</v>
      </c>
      <c r="I146" s="132">
        <f t="shared" ref="I146" si="155">AVERAGE(D146:D147)</f>
        <v>0.10750493811603914</v>
      </c>
      <c r="J146" s="132">
        <f>AVERAGE(E146:E147)</f>
        <v>0.1232426739907207</v>
      </c>
      <c r="K146" s="88">
        <v>6</v>
      </c>
    </row>
    <row r="147" spans="1:12">
      <c r="A147" s="81" t="str">
        <f>VLOOKUP(B147,'Master List'!$A$4:$C$1633,3,FALSE)</f>
        <v>46-144</v>
      </c>
      <c r="B147" s="235">
        <v>229</v>
      </c>
      <c r="C147" s="24" t="s">
        <v>106</v>
      </c>
      <c r="D147" s="31">
        <v>0.10606213155087771</v>
      </c>
      <c r="E147" s="43">
        <v>0.12735834338714858</v>
      </c>
      <c r="F147" s="204"/>
      <c r="G147" s="204"/>
      <c r="H147" s="204"/>
      <c r="I147" s="205"/>
      <c r="J147" s="205"/>
    </row>
    <row r="148" spans="1:12">
      <c r="A148" s="81" t="str">
        <f>VLOOKUP(B148,'Master List'!$A$4:$C$1633,3,FALSE)</f>
        <v>46-144</v>
      </c>
      <c r="B148" s="235">
        <v>232</v>
      </c>
      <c r="C148" s="24" t="s">
        <v>105</v>
      </c>
      <c r="D148" s="31">
        <v>0.5006391221347879</v>
      </c>
      <c r="E148" s="43">
        <v>0.22082915833517922</v>
      </c>
      <c r="F148" s="132">
        <f t="shared" ref="F148" si="156">(D148-D149)</f>
        <v>1.3427391855852844E-2</v>
      </c>
      <c r="G148" s="132">
        <f t="shared" ref="G148" si="157">F148^2</f>
        <v>1.8029485205062329E-4</v>
      </c>
      <c r="H148" s="132">
        <f t="shared" ref="H148" si="158">(_xlfn.STDEV.S(D148:D149)/AVERAGE(D148:D149))*100</f>
        <v>1.9222739569892326</v>
      </c>
      <c r="I148" s="132">
        <f t="shared" ref="I148" si="159">AVERAGE(D148:D149)</f>
        <v>0.49392542620686147</v>
      </c>
      <c r="J148" s="132">
        <f>AVERAGE(E148:E149)</f>
        <v>0.21113245764771091</v>
      </c>
      <c r="K148" s="88">
        <v>6</v>
      </c>
    </row>
    <row r="149" spans="1:12">
      <c r="A149" s="81" t="str">
        <f>VLOOKUP(B149,'Master List'!$A$4:$C$1633,3,FALSE)</f>
        <v>46-144</v>
      </c>
      <c r="B149" s="235">
        <v>232</v>
      </c>
      <c r="C149" s="24" t="s">
        <v>106</v>
      </c>
      <c r="D149" s="31">
        <v>0.48721173027893505</v>
      </c>
      <c r="E149" s="43">
        <v>0.2014357569602426</v>
      </c>
      <c r="F149" s="204"/>
      <c r="G149" s="204"/>
      <c r="H149" s="204"/>
      <c r="I149" s="205"/>
      <c r="J149" s="205"/>
    </row>
    <row r="150" spans="1:12">
      <c r="A150" s="81" t="str">
        <f>VLOOKUP(B150,'Master List'!$A$4:$C$1633,3,FALSE)</f>
        <v>46-144</v>
      </c>
      <c r="B150" s="235">
        <v>234</v>
      </c>
      <c r="C150" s="24" t="s">
        <v>105</v>
      </c>
      <c r="D150" s="31">
        <v>0.51470266052164382</v>
      </c>
      <c r="E150" s="43">
        <v>0.1955150433695404</v>
      </c>
      <c r="F150" s="132">
        <f t="shared" ref="F150" si="160">(D150-D151)</f>
        <v>5.3457622792146609E-2</v>
      </c>
      <c r="G150" s="132">
        <f t="shared" ref="G150" si="161">F150^2</f>
        <v>2.8577174345874325E-3</v>
      </c>
      <c r="H150" s="132">
        <f t="shared" ref="H150" si="162">(_xlfn.STDEV.S(D150:D151)/AVERAGE(D150:D151))*100</f>
        <v>7.7463674846871253</v>
      </c>
      <c r="I150" s="132">
        <f t="shared" ref="I150" si="163">AVERAGE(D150:D151)</f>
        <v>0.48797384912557051</v>
      </c>
      <c r="J150" s="132">
        <f>AVERAGE(E150:E151)</f>
        <v>0.20706484819262019</v>
      </c>
      <c r="K150" s="88">
        <v>6</v>
      </c>
    </row>
    <row r="151" spans="1:12">
      <c r="A151" s="81" t="str">
        <f>VLOOKUP(B151,'Master List'!$A$4:$C$1633,3,FALSE)</f>
        <v>46-144</v>
      </c>
      <c r="B151" s="235">
        <v>234</v>
      </c>
      <c r="C151" s="24" t="s">
        <v>106</v>
      </c>
      <c r="D151" s="31">
        <v>0.46124503772949721</v>
      </c>
      <c r="E151" s="43">
        <v>0.21861465301569999</v>
      </c>
      <c r="F151" s="204"/>
      <c r="G151" s="204"/>
      <c r="H151" s="204"/>
      <c r="I151" s="205"/>
      <c r="J151" s="205"/>
    </row>
    <row r="152" spans="1:12">
      <c r="A152" s="81" t="str">
        <f>VLOOKUP(B152,'Master List'!$A$4:$C$1633,3,FALSE)</f>
        <v>46-144</v>
      </c>
      <c r="B152" s="235">
        <v>240</v>
      </c>
      <c r="C152" s="24" t="s">
        <v>105</v>
      </c>
      <c r="D152" s="31">
        <v>0.47482545452407937</v>
      </c>
      <c r="E152" s="43">
        <v>0.16205201048259821</v>
      </c>
      <c r="F152" s="132">
        <f t="shared" ref="F152" si="164">(D152-D153)</f>
        <v>-1.7356853675364547E-2</v>
      </c>
      <c r="G152" s="132">
        <f t="shared" ref="G152" si="165">F152^2</f>
        <v>3.0126036950801579E-4</v>
      </c>
      <c r="H152" s="132">
        <f t="shared" ref="H152" si="166">(_xlfn.STDEV.S(D152:D153)/AVERAGE(D152:D153))*100</f>
        <v>2.5383765067916899</v>
      </c>
      <c r="I152" s="132">
        <f t="shared" ref="I152" si="167">AVERAGE(D152:D153)</f>
        <v>0.48350388136176164</v>
      </c>
      <c r="J152" s="132">
        <f>AVERAGE(E152:E153)</f>
        <v>0.1616055410957383</v>
      </c>
      <c r="K152" s="88">
        <v>6</v>
      </c>
    </row>
    <row r="153" spans="1:12">
      <c r="A153" s="81" t="str">
        <f>VLOOKUP(B153,'Master List'!$A$4:$C$1633,3,FALSE)</f>
        <v>46-144</v>
      </c>
      <c r="B153" s="235">
        <v>240</v>
      </c>
      <c r="C153" s="24" t="s">
        <v>106</v>
      </c>
      <c r="D153" s="31">
        <v>0.49218230819944392</v>
      </c>
      <c r="E153" s="43">
        <v>0.16115907170887839</v>
      </c>
      <c r="F153" s="204"/>
      <c r="G153" s="204"/>
      <c r="H153" s="204"/>
      <c r="I153" s="205"/>
      <c r="J153" s="205"/>
    </row>
    <row r="154" spans="1:12">
      <c r="A154" s="81" t="str">
        <f>VLOOKUP(B154,'Master List'!$A$4:$C$1633,3,FALSE)</f>
        <v>47-144</v>
      </c>
      <c r="B154" s="235">
        <v>252</v>
      </c>
      <c r="C154" s="24" t="s">
        <v>105</v>
      </c>
      <c r="D154" s="31">
        <v>2.6918726275389059E-2</v>
      </c>
      <c r="E154" s="43">
        <v>5.9760710727604346E-2</v>
      </c>
      <c r="F154" s="132"/>
      <c r="G154" s="132"/>
      <c r="H154" s="132"/>
      <c r="I154" s="132">
        <f t="shared" ref="I154" si="168">AVERAGE(D154:D155)</f>
        <v>1.8655379584009847E-2</v>
      </c>
      <c r="J154" s="132">
        <f>AVERAGE(E154:E155)</f>
        <v>6.9393703034197368E-2</v>
      </c>
      <c r="K154" s="226">
        <v>26</v>
      </c>
      <c r="L154" s="65" t="s">
        <v>233</v>
      </c>
    </row>
    <row r="155" spans="1:12">
      <c r="A155" s="81" t="str">
        <f>VLOOKUP(B155,'Master List'!$A$4:$C$1633,3,FALSE)</f>
        <v>47-144</v>
      </c>
      <c r="B155" s="235">
        <v>252</v>
      </c>
      <c r="C155" s="24" t="s">
        <v>106</v>
      </c>
      <c r="D155" s="31">
        <v>1.0392032892630639E-2</v>
      </c>
      <c r="E155" s="43">
        <v>7.9026695340790404E-2</v>
      </c>
      <c r="F155" s="204"/>
      <c r="G155" s="204"/>
      <c r="H155" s="204"/>
      <c r="I155" s="205"/>
      <c r="J155" s="205"/>
    </row>
    <row r="156" spans="1:12">
      <c r="A156" s="81" t="str">
        <f>VLOOKUP(B156,'Master List'!$A$4:$C$1633,3,FALSE)</f>
        <v>47-144</v>
      </c>
      <c r="B156" s="235">
        <v>254</v>
      </c>
      <c r="C156" s="24" t="s">
        <v>105</v>
      </c>
      <c r="D156" s="31">
        <v>7.1213434343483831E-2</v>
      </c>
      <c r="E156" s="43">
        <v>9.0057818308424048E-2</v>
      </c>
      <c r="F156" s="132">
        <f t="shared" ref="F156" si="169">(D156-D157)</f>
        <v>-4.7492382769896702E-4</v>
      </c>
      <c r="G156" s="132">
        <f t="shared" ref="G156" si="170">F156^2</f>
        <v>2.255526421162381E-7</v>
      </c>
      <c r="H156" s="132">
        <f t="shared" ref="H156" si="171">(_xlfn.STDEV.S(D156:D157)/AVERAGE(D156:D157))*100</f>
        <v>0.47000370422721499</v>
      </c>
      <c r="I156" s="132">
        <f t="shared" ref="I156" si="172">AVERAGE(D156:D157)</f>
        <v>7.1450896257333307E-2</v>
      </c>
      <c r="J156" s="132">
        <f>AVERAGE(E156:E157)</f>
        <v>0.10293656165368639</v>
      </c>
      <c r="K156" s="88">
        <v>6</v>
      </c>
    </row>
    <row r="157" spans="1:12">
      <c r="A157" s="81" t="str">
        <f>VLOOKUP(B157,'Master List'!$A$4:$C$1633,3,FALSE)</f>
        <v>47-144</v>
      </c>
      <c r="B157" s="235">
        <v>254</v>
      </c>
      <c r="C157" s="24" t="s">
        <v>106</v>
      </c>
      <c r="D157" s="31">
        <v>7.1688358171182798E-2</v>
      </c>
      <c r="E157" s="43">
        <v>0.11581530499894875</v>
      </c>
      <c r="F157" s="204"/>
      <c r="G157" s="204"/>
      <c r="H157" s="204"/>
      <c r="I157" s="205"/>
      <c r="J157" s="205"/>
    </row>
    <row r="158" spans="1:12">
      <c r="A158" s="81" t="str">
        <f>VLOOKUP(B158,'Master List'!$A$4:$C$1633,3,FALSE)</f>
        <v>47-144</v>
      </c>
      <c r="B158" s="235">
        <v>255</v>
      </c>
      <c r="C158" s="24" t="s">
        <v>105</v>
      </c>
      <c r="D158" s="31">
        <v>0.16662721622935939</v>
      </c>
      <c r="E158" s="43">
        <v>0.14811429466554182</v>
      </c>
      <c r="F158" s="132">
        <f t="shared" ref="F158" si="173">(D158-D159)</f>
        <v>1.9870834811630739E-2</v>
      </c>
      <c r="G158" s="132">
        <f t="shared" ref="G158" si="174">F158^2</f>
        <v>3.9485007611111603E-4</v>
      </c>
      <c r="H158" s="132">
        <f t="shared" ref="H158" si="175">(_xlfn.STDEV.S(D158:D159)/AVERAGE(D158:D159))*100</f>
        <v>8.9671585549699984</v>
      </c>
      <c r="I158" s="132">
        <f t="shared" ref="I158" si="176">AVERAGE(D158:D159)</f>
        <v>0.156691798823544</v>
      </c>
      <c r="J158" s="132">
        <f>AVERAGE(E158:E159)</f>
        <v>0.1412583497604197</v>
      </c>
      <c r="K158" s="88">
        <v>6</v>
      </c>
    </row>
    <row r="159" spans="1:12">
      <c r="A159" s="81" t="str">
        <f>VLOOKUP(B159,'Master List'!$A$4:$C$1633,3,FALSE)</f>
        <v>47-144</v>
      </c>
      <c r="B159" s="235">
        <v>255</v>
      </c>
      <c r="C159" s="24" t="s">
        <v>106</v>
      </c>
      <c r="D159" s="31">
        <v>0.14675638141772865</v>
      </c>
      <c r="E159" s="43">
        <v>0.13440240485529759</v>
      </c>
      <c r="F159" s="204"/>
      <c r="G159" s="204"/>
      <c r="H159" s="204"/>
      <c r="I159" s="205"/>
      <c r="J159" s="205"/>
    </row>
    <row r="160" spans="1:12">
      <c r="A160" s="81" t="str">
        <f>VLOOKUP(B160,'Master List'!$A$4:$C$1633,3,FALSE)</f>
        <v>47-144</v>
      </c>
      <c r="B160" s="235">
        <v>257</v>
      </c>
      <c r="C160" s="24" t="s">
        <v>105</v>
      </c>
      <c r="D160" s="31">
        <v>0.51044528811914081</v>
      </c>
      <c r="E160" s="43">
        <v>0.18150624910799723</v>
      </c>
      <c r="F160" s="132">
        <f t="shared" ref="F160" si="177">(D160-D161)</f>
        <v>1.7666182658652718E-2</v>
      </c>
      <c r="G160" s="132">
        <f t="shared" ref="G160" si="178">F160^2</f>
        <v>3.1209400972888204E-4</v>
      </c>
      <c r="H160" s="132">
        <f t="shared" ref="H160" si="179">(_xlfn.STDEV.S(D160:D161)/AVERAGE(D160:D161))*100</f>
        <v>2.4903456565765834</v>
      </c>
      <c r="I160" s="132">
        <f t="shared" ref="I160" si="180">AVERAGE(D160:D161)</f>
        <v>0.50161219678981439</v>
      </c>
      <c r="J160" s="132">
        <f>AVERAGE(E160:E161)</f>
        <v>0.1948219663694124</v>
      </c>
      <c r="K160" s="88">
        <v>6</v>
      </c>
    </row>
    <row r="161" spans="1:12">
      <c r="A161" s="81" t="str">
        <f>VLOOKUP(B161,'Master List'!$A$4:$C$1633,3,FALSE)</f>
        <v>47-144</v>
      </c>
      <c r="B161" s="235">
        <v>257</v>
      </c>
      <c r="C161" s="24" t="s">
        <v>106</v>
      </c>
      <c r="D161" s="31">
        <v>0.49277910546048809</v>
      </c>
      <c r="E161" s="43">
        <v>0.20813768363082757</v>
      </c>
      <c r="F161" s="204"/>
      <c r="G161" s="204"/>
      <c r="H161" s="204"/>
      <c r="I161" s="205"/>
      <c r="J161" s="205"/>
    </row>
    <row r="162" spans="1:12">
      <c r="A162" s="81" t="str">
        <f>VLOOKUP(B162,'Master List'!$A$4:$C$1633,3,FALSE)</f>
        <v>47-144</v>
      </c>
      <c r="B162" s="235">
        <v>258</v>
      </c>
      <c r="C162" s="24" t="s">
        <v>105</v>
      </c>
      <c r="D162" s="31">
        <v>0.49172541945380938</v>
      </c>
      <c r="E162" s="43">
        <v>0.1878558823111576</v>
      </c>
      <c r="F162" s="132">
        <f t="shared" ref="F162" si="181">(D162-D163)</f>
        <v>-7.5824403657979211E-2</v>
      </c>
      <c r="G162" s="132">
        <f t="shared" ref="G162" si="182">F162^2</f>
        <v>5.7493401900881713E-3</v>
      </c>
      <c r="H162" s="132">
        <f t="shared" ref="H162" si="183">(_xlfn.STDEV.S(D162:D163)/AVERAGE(D162:D163))*100</f>
        <v>10.123138510463747</v>
      </c>
      <c r="I162" s="132">
        <f t="shared" ref="I162" si="184">AVERAGE(D162:D163)</f>
        <v>0.52963762128279901</v>
      </c>
      <c r="J162" s="132">
        <f>AVERAGE(E162:E163)</f>
        <v>0.19888098921262848</v>
      </c>
      <c r="K162" s="120">
        <v>36</v>
      </c>
      <c r="L162" s="31" t="s">
        <v>238</v>
      </c>
    </row>
    <row r="163" spans="1:12">
      <c r="A163" s="81" t="str">
        <f>VLOOKUP(B163,'Master List'!$A$4:$C$1633,3,FALSE)</f>
        <v>47-144</v>
      </c>
      <c r="B163" s="235">
        <v>258</v>
      </c>
      <c r="C163" s="24" t="s">
        <v>106</v>
      </c>
      <c r="D163" s="31">
        <v>0.56754982311178859</v>
      </c>
      <c r="E163" s="43">
        <v>0.20990609611409933</v>
      </c>
      <c r="F163" s="204"/>
      <c r="G163" s="204"/>
      <c r="H163" s="204"/>
      <c r="I163" s="205"/>
      <c r="J163" s="205"/>
    </row>
    <row r="164" spans="1:12">
      <c r="A164" s="81" t="str">
        <f>VLOOKUP(B164,'Master List'!$A$4:$C$1633,3,FALSE)</f>
        <v>47-144</v>
      </c>
      <c r="B164" s="235">
        <v>261</v>
      </c>
      <c r="C164" s="24" t="s">
        <v>105</v>
      </c>
      <c r="D164" s="31">
        <v>0.52225990642431519</v>
      </c>
      <c r="E164" s="43">
        <v>0.19082196469854665</v>
      </c>
      <c r="F164" s="132">
        <f t="shared" ref="F164" si="185">(D164-D165)</f>
        <v>3.7032581690115529E-2</v>
      </c>
      <c r="G164" s="132">
        <f t="shared" ref="G164" si="186">F164^2</f>
        <v>1.3714121066350799E-3</v>
      </c>
      <c r="H164" s="132">
        <f t="shared" ref="H164" si="187">(_xlfn.STDEV.S(D164:D165)/AVERAGE(D164:D165))*100</f>
        <v>5.1982772243801172</v>
      </c>
      <c r="I164" s="132">
        <f t="shared" ref="I164" si="188">AVERAGE(D164:D165)</f>
        <v>0.5037436155792574</v>
      </c>
      <c r="J164" s="132">
        <f>AVERAGE(E164:E165)</f>
        <v>0.20020845842214052</v>
      </c>
      <c r="K164" s="88">
        <v>6</v>
      </c>
    </row>
    <row r="165" spans="1:12">
      <c r="A165" s="81" t="str">
        <f>VLOOKUP(B165,'Master List'!$A$4:$C$1633,3,FALSE)</f>
        <v>47-144</v>
      </c>
      <c r="B165" s="235">
        <v>261</v>
      </c>
      <c r="C165" s="24" t="s">
        <v>106</v>
      </c>
      <c r="D165" s="31">
        <v>0.48522732473419966</v>
      </c>
      <c r="E165" s="43">
        <v>0.20959495214573437</v>
      </c>
      <c r="F165" s="204"/>
      <c r="G165" s="204"/>
      <c r="H165" s="204"/>
      <c r="I165" s="205"/>
      <c r="J165" s="205"/>
    </row>
    <row r="166" spans="1:12">
      <c r="A166" s="81" t="str">
        <f>VLOOKUP(B166,'Master List'!$A$4:$C$1633,3,FALSE)</f>
        <v>48-144</v>
      </c>
      <c r="B166" s="235">
        <v>268</v>
      </c>
      <c r="C166" s="24" t="s">
        <v>105</v>
      </c>
      <c r="D166" s="31">
        <v>2.4200894060030002E-2</v>
      </c>
      <c r="E166" s="43">
        <v>4.4118954007305512E-2</v>
      </c>
      <c r="F166" s="132"/>
      <c r="G166" s="132"/>
      <c r="H166" s="132"/>
      <c r="I166" s="132">
        <f t="shared" ref="I166" si="189">AVERAGE(D166:D167)</f>
        <v>2.0735425715450936E-2</v>
      </c>
      <c r="J166" s="132">
        <f>AVERAGE(E166:E167)</f>
        <v>4.7867975377279312E-2</v>
      </c>
      <c r="K166" s="226">
        <v>26</v>
      </c>
      <c r="L166" s="65" t="s">
        <v>233</v>
      </c>
    </row>
    <row r="167" spans="1:12">
      <c r="A167" s="81" t="str">
        <f>VLOOKUP(B167,'Master List'!$A$4:$C$1633,3,FALSE)</f>
        <v>48-144</v>
      </c>
      <c r="B167" s="235">
        <v>268</v>
      </c>
      <c r="C167" s="24" t="s">
        <v>106</v>
      </c>
      <c r="D167" s="31">
        <v>1.7269957370871867E-2</v>
      </c>
      <c r="E167" s="43">
        <v>5.1616996747253119E-2</v>
      </c>
      <c r="F167" s="204"/>
      <c r="G167" s="204"/>
      <c r="H167" s="204"/>
      <c r="I167" s="205"/>
      <c r="J167" s="205"/>
    </row>
    <row r="168" spans="1:12">
      <c r="A168" s="81" t="str">
        <f>VLOOKUP(B168,'Master List'!$A$4:$C$1633,3,FALSE)</f>
        <v>48-144</v>
      </c>
      <c r="B168" s="235">
        <v>272</v>
      </c>
      <c r="C168" s="24" t="s">
        <v>105</v>
      </c>
      <c r="D168" s="31">
        <v>7.1812417675081175E-2</v>
      </c>
      <c r="E168" s="43">
        <v>0.10673209659333985</v>
      </c>
      <c r="F168" s="132">
        <f t="shared" ref="F168" si="190">(D168-D169)</f>
        <v>3.7195990463973067E-3</v>
      </c>
      <c r="G168" s="132">
        <f t="shared" ref="G168" si="191">F168^2</f>
        <v>1.3835417065959753E-5</v>
      </c>
      <c r="H168" s="132">
        <f t="shared" ref="H168" si="192">(_xlfn.STDEV.S(D168:D169)/AVERAGE(D168:D169))*100</f>
        <v>3.7599074609214891</v>
      </c>
      <c r="I168" s="132">
        <f t="shared" ref="I168" si="193">AVERAGE(D168:D169)</f>
        <v>6.9952618151882529E-2</v>
      </c>
      <c r="J168" s="132">
        <f>AVERAGE(E168:E169)</f>
        <v>0.10576786759954838</v>
      </c>
      <c r="K168" s="88">
        <v>6</v>
      </c>
    </row>
    <row r="169" spans="1:12">
      <c r="A169" s="81" t="str">
        <f>VLOOKUP(B169,'Master List'!$A$4:$C$1633,3,FALSE)</f>
        <v>48-144</v>
      </c>
      <c r="B169" s="235">
        <v>272</v>
      </c>
      <c r="C169" s="24" t="s">
        <v>106</v>
      </c>
      <c r="D169" s="31">
        <v>6.8092818628683868E-2</v>
      </c>
      <c r="E169" s="43">
        <v>0.10480363860575692</v>
      </c>
      <c r="F169" s="204"/>
      <c r="G169" s="204"/>
      <c r="H169" s="204"/>
      <c r="I169" s="205"/>
      <c r="J169" s="205"/>
    </row>
    <row r="170" spans="1:12">
      <c r="A170" s="81" t="str">
        <f>VLOOKUP(B170,'Master List'!$A$4:$C$1633,3,FALSE)</f>
        <v>48-144</v>
      </c>
      <c r="B170" s="235">
        <v>273</v>
      </c>
      <c r="C170" s="24" t="s">
        <v>105</v>
      </c>
      <c r="D170" s="231">
        <v>4.8071691466515416E-3</v>
      </c>
      <c r="E170" s="232">
        <v>7.7907689545980027E-2</v>
      </c>
      <c r="F170" s="132">
        <f t="shared" ref="F170" si="194">(D170-D171)</f>
        <v>-0.4156408733999909</v>
      </c>
      <c r="G170" s="132">
        <f t="shared" ref="G170" si="195">F170^2</f>
        <v>0.17275733564070725</v>
      </c>
      <c r="H170" s="132">
        <f t="shared" ref="H170" si="196">(_xlfn.STDEV.S(D170:D171)/AVERAGE(D170:D171))*100</f>
        <v>138.22404619059841</v>
      </c>
      <c r="I170" s="132"/>
      <c r="J170" s="132"/>
      <c r="K170" s="120">
        <v>2</v>
      </c>
      <c r="L170" s="119" t="s">
        <v>263</v>
      </c>
    </row>
    <row r="171" spans="1:12">
      <c r="A171" s="81" t="str">
        <f>VLOOKUP(B171,'Master List'!$A$4:$C$1633,3,FALSE)</f>
        <v>48-144</v>
      </c>
      <c r="B171" s="235">
        <v>273</v>
      </c>
      <c r="C171" s="24" t="s">
        <v>106</v>
      </c>
      <c r="D171" s="31">
        <v>0.42044804254664242</v>
      </c>
      <c r="E171" s="43">
        <v>0.23765036187546265</v>
      </c>
      <c r="F171" s="204"/>
      <c r="G171" s="204"/>
      <c r="H171" s="204"/>
      <c r="I171" s="205"/>
      <c r="J171" s="205"/>
      <c r="L171" s="119" t="s">
        <v>256</v>
      </c>
    </row>
    <row r="172" spans="1:12">
      <c r="A172" s="81" t="str">
        <f>VLOOKUP(B172,'Master List'!$A$4:$C$1633,3,FALSE)</f>
        <v>48-144</v>
      </c>
      <c r="B172" s="235">
        <v>276</v>
      </c>
      <c r="C172" s="24" t="s">
        <v>105</v>
      </c>
      <c r="D172" s="31">
        <v>0.40592433630832203</v>
      </c>
      <c r="E172" s="43">
        <v>0.18340447865848714</v>
      </c>
      <c r="F172" s="132">
        <f t="shared" ref="F172" si="197">(D172-D173)</f>
        <v>-2.4639201205961803E-2</v>
      </c>
      <c r="G172" s="132">
        <f t="shared" ref="G172" si="198">F172^2</f>
        <v>6.0709023606786959E-4</v>
      </c>
      <c r="H172" s="132">
        <f t="shared" ref="H172" si="199">(_xlfn.STDEV.S(D172:D173)/AVERAGE(D172:D173))*100</f>
        <v>4.1656422767104333</v>
      </c>
      <c r="I172" s="132">
        <f t="shared" ref="I172" si="200">AVERAGE(D172:D173)</f>
        <v>0.4182439369113029</v>
      </c>
      <c r="J172" s="132">
        <f>AVERAGE(E172:E173)</f>
        <v>0.19273138173835153</v>
      </c>
      <c r="K172" s="88">
        <v>6</v>
      </c>
    </row>
    <row r="173" spans="1:12">
      <c r="A173" s="81" t="str">
        <f>VLOOKUP(B173,'Master List'!$A$4:$C$1633,3,FALSE)</f>
        <v>48-144</v>
      </c>
      <c r="B173" s="235">
        <v>276</v>
      </c>
      <c r="C173" s="24" t="s">
        <v>106</v>
      </c>
      <c r="D173" s="31">
        <v>0.43056353751428383</v>
      </c>
      <c r="E173" s="43">
        <v>0.20205828481821594</v>
      </c>
      <c r="F173" s="204"/>
      <c r="G173" s="204"/>
      <c r="H173" s="204"/>
      <c r="I173" s="205"/>
      <c r="J173" s="205"/>
    </row>
    <row r="174" spans="1:12">
      <c r="A174" s="81" t="str">
        <f>VLOOKUP(B174,'Master List'!$A$4:$C$1633,3,FALSE)</f>
        <v>48-144</v>
      </c>
      <c r="B174" s="235">
        <v>278</v>
      </c>
      <c r="C174" s="24" t="s">
        <v>105</v>
      </c>
      <c r="D174" s="31">
        <v>0.41263065424813117</v>
      </c>
      <c r="E174" s="43">
        <v>0.16874177549617794</v>
      </c>
      <c r="F174" s="132">
        <f t="shared" ref="F174" si="201">(D174-D175)</f>
        <v>2.0104197843192728E-2</v>
      </c>
      <c r="G174" s="132">
        <f t="shared" ref="G174" si="202">F174^2</f>
        <v>4.0417877091823517E-4</v>
      </c>
      <c r="H174" s="132">
        <f t="shared" ref="H174" si="203">(_xlfn.STDEV.S(D174:D175)/AVERAGE(D174:D175))*100</f>
        <v>3.5311902328495806</v>
      </c>
      <c r="I174" s="132">
        <f t="shared" ref="I174" si="204">AVERAGE(D174:D175)</f>
        <v>0.4025785553265348</v>
      </c>
      <c r="J174" s="132">
        <f>AVERAGE(E174:E175)</f>
        <v>0.18281549195427102</v>
      </c>
      <c r="K174" s="88">
        <v>6</v>
      </c>
    </row>
    <row r="175" spans="1:12">
      <c r="A175" s="81" t="str">
        <f>VLOOKUP(B175,'Master List'!$A$4:$C$1633,3,FALSE)</f>
        <v>48-144</v>
      </c>
      <c r="B175" s="235">
        <v>278</v>
      </c>
      <c r="C175" s="24" t="s">
        <v>106</v>
      </c>
      <c r="D175" s="31">
        <v>0.39252645640493844</v>
      </c>
      <c r="E175" s="43">
        <v>0.1968892084123641</v>
      </c>
      <c r="F175" s="204"/>
      <c r="G175" s="204"/>
      <c r="H175" s="204"/>
      <c r="I175" s="205"/>
      <c r="J175" s="205"/>
    </row>
    <row r="176" spans="1:12">
      <c r="A176" s="81" t="str">
        <f>VLOOKUP(B176,'Master List'!$A$4:$C$1633,3,FALSE)</f>
        <v>48-144</v>
      </c>
      <c r="B176" s="235">
        <v>284</v>
      </c>
      <c r="C176" s="24" t="s">
        <v>105</v>
      </c>
      <c r="D176" s="31">
        <v>0.38559388016286522</v>
      </c>
      <c r="E176" s="43">
        <v>0.18456083510825319</v>
      </c>
      <c r="F176" s="132">
        <f t="shared" ref="F176" si="205">(D176-D177)</f>
        <v>4.5434197343989124E-2</v>
      </c>
      <c r="G176" s="132">
        <f t="shared" ref="G176" si="206">F176^2</f>
        <v>2.0642662882925486E-3</v>
      </c>
      <c r="H176" s="132">
        <f t="shared" ref="H176" si="207">(_xlfn.STDEV.S(D176:D177)/AVERAGE(D176:D177))*100</f>
        <v>8.8533713586496816</v>
      </c>
      <c r="I176" s="132">
        <f t="shared" ref="I176" si="208">AVERAGE(D176:D177)</f>
        <v>0.36287678149087066</v>
      </c>
      <c r="J176" s="132">
        <f>AVERAGE(E176:E177)</f>
        <v>0.25589624535713912</v>
      </c>
      <c r="K176" s="88">
        <v>6</v>
      </c>
    </row>
    <row r="177" spans="1:12">
      <c r="A177" s="81" t="str">
        <f>VLOOKUP(B177,'Master List'!$A$4:$C$1633,3,FALSE)</f>
        <v>48-144</v>
      </c>
      <c r="B177" s="235">
        <v>284</v>
      </c>
      <c r="C177" s="24" t="s">
        <v>106</v>
      </c>
      <c r="D177" s="31">
        <v>0.3401596828188761</v>
      </c>
      <c r="E177" s="43">
        <v>0.32723165560602507</v>
      </c>
      <c r="F177" s="204"/>
      <c r="G177" s="204"/>
      <c r="H177" s="204"/>
      <c r="I177" s="205"/>
      <c r="J177" s="205"/>
    </row>
    <row r="178" spans="1:12">
      <c r="A178" s="81" t="str">
        <f>VLOOKUP(B178,'Master List'!$A$4:$C$1633,3,FALSE)</f>
        <v>49-144</v>
      </c>
      <c r="B178" s="235">
        <v>296</v>
      </c>
      <c r="C178" s="24" t="s">
        <v>105</v>
      </c>
      <c r="D178" s="31">
        <v>1.5544601186699652E-2</v>
      </c>
      <c r="E178" s="43">
        <v>5.3524502888135865E-2</v>
      </c>
      <c r="F178" s="132"/>
      <c r="G178" s="132"/>
      <c r="H178" s="132"/>
      <c r="I178" s="132">
        <f t="shared" ref="I178" si="209">AVERAGE(D178:D179)</f>
        <v>1.549459482279349E-2</v>
      </c>
      <c r="J178" s="132">
        <f>AVERAGE(E178:E179)</f>
        <v>4.8050389302009132E-2</v>
      </c>
      <c r="K178" s="226">
        <v>26</v>
      </c>
      <c r="L178" s="65" t="s">
        <v>233</v>
      </c>
    </row>
    <row r="179" spans="1:12">
      <c r="A179" s="81" t="str">
        <f>VLOOKUP(B179,'Master List'!$A$4:$C$1633,3,FALSE)</f>
        <v>49-144</v>
      </c>
      <c r="B179" s="235">
        <v>296</v>
      </c>
      <c r="C179" s="24" t="s">
        <v>106</v>
      </c>
      <c r="D179" s="31">
        <v>1.5444588458887328E-2</v>
      </c>
      <c r="E179" s="43">
        <v>4.2576275715882399E-2</v>
      </c>
      <c r="F179" s="204"/>
      <c r="G179" s="204"/>
      <c r="H179" s="204"/>
      <c r="I179" s="205"/>
      <c r="J179" s="205"/>
    </row>
    <row r="180" spans="1:12">
      <c r="A180" s="81" t="str">
        <f>VLOOKUP(B180,'Master List'!$A$4:$C$1633,3,FALSE)</f>
        <v>49-144</v>
      </c>
      <c r="B180" s="235">
        <v>298</v>
      </c>
      <c r="C180" s="24" t="s">
        <v>105</v>
      </c>
      <c r="D180" s="31">
        <v>4.4487628794421287E-2</v>
      </c>
      <c r="E180" s="43">
        <v>6.0922738937420798E-2</v>
      </c>
      <c r="F180" s="132">
        <f t="shared" ref="F180" si="210">(D180-D181)</f>
        <v>-1.1967096726265225E-2</v>
      </c>
      <c r="G180" s="132">
        <f t="shared" ref="G180" si="211">F180^2</f>
        <v>1.4321140405578787E-4</v>
      </c>
      <c r="H180" s="132">
        <f t="shared" ref="H180" si="212">(_xlfn.STDEV.S(D180:D181)/AVERAGE(D180:D181))*100</f>
        <v>16.766035037863052</v>
      </c>
      <c r="I180" s="132">
        <f t="shared" ref="I180" si="213">AVERAGE(D180:D181)</f>
        <v>5.0471177157553899E-2</v>
      </c>
      <c r="J180" s="132">
        <f>AVERAGE(E180:E181)</f>
        <v>6.2132236029748725E-2</v>
      </c>
      <c r="K180" s="120">
        <v>36</v>
      </c>
      <c r="L180" s="31" t="s">
        <v>238</v>
      </c>
    </row>
    <row r="181" spans="1:12">
      <c r="A181" s="81" t="str">
        <f>VLOOKUP(B181,'Master List'!$A$4:$C$1633,3,FALSE)</f>
        <v>49-144</v>
      </c>
      <c r="B181" s="235">
        <v>298</v>
      </c>
      <c r="C181" s="24" t="s">
        <v>106</v>
      </c>
      <c r="D181" s="31">
        <v>5.6454725520686512E-2</v>
      </c>
      <c r="E181" s="43">
        <v>6.3341733122076652E-2</v>
      </c>
      <c r="F181" s="204"/>
      <c r="G181" s="204"/>
      <c r="H181" s="204"/>
      <c r="I181" s="205"/>
      <c r="J181" s="205"/>
    </row>
    <row r="182" spans="1:12">
      <c r="A182" s="81" t="str">
        <f>VLOOKUP(B182,'Master List'!$A$4:$C$1633,3,FALSE)</f>
        <v>49-144</v>
      </c>
      <c r="B182" s="235">
        <v>299</v>
      </c>
      <c r="C182" s="24" t="s">
        <v>105</v>
      </c>
      <c r="D182" s="31">
        <v>0.14991962550831756</v>
      </c>
      <c r="E182" s="43">
        <v>0.11704836465273501</v>
      </c>
      <c r="F182" s="132">
        <f t="shared" ref="F182" si="214">(D182-D183)</f>
        <v>-1.3574405100560516E-2</v>
      </c>
      <c r="G182" s="132">
        <f t="shared" ref="G182" si="215">F182^2</f>
        <v>1.8426447383412334E-4</v>
      </c>
      <c r="H182" s="132">
        <f t="shared" ref="H182" si="216">(_xlfn.STDEV.S(D182:D183)/AVERAGE(D182:D183))*100</f>
        <v>6.1251663479464886</v>
      </c>
      <c r="I182" s="132">
        <f t="shared" ref="I182" si="217">AVERAGE(D182:D183)</f>
        <v>0.15670682805859781</v>
      </c>
      <c r="J182" s="132">
        <f>AVERAGE(E182:E183)</f>
        <v>0.12624881120233961</v>
      </c>
      <c r="K182" s="88">
        <v>6</v>
      </c>
    </row>
    <row r="183" spans="1:12">
      <c r="A183" s="81" t="str">
        <f>VLOOKUP(B183,'Master List'!$A$4:$C$1633,3,FALSE)</f>
        <v>49-144</v>
      </c>
      <c r="B183" s="235">
        <v>299</v>
      </c>
      <c r="C183" s="24" t="s">
        <v>106</v>
      </c>
      <c r="D183" s="31">
        <v>0.16349403060887807</v>
      </c>
      <c r="E183" s="43">
        <v>0.13544925775194419</v>
      </c>
      <c r="F183" s="204"/>
      <c r="G183" s="204"/>
      <c r="H183" s="204"/>
      <c r="I183" s="205"/>
      <c r="J183" s="205"/>
    </row>
    <row r="184" spans="1:12">
      <c r="A184" s="81" t="str">
        <f>VLOOKUP(B184,'Master List'!$A$4:$C$1633,3,FALSE)</f>
        <v>49-144</v>
      </c>
      <c r="B184" s="235">
        <v>301</v>
      </c>
      <c r="C184" s="24" t="s">
        <v>105</v>
      </c>
      <c r="D184" s="31">
        <v>0.40781474081926644</v>
      </c>
      <c r="E184" s="43">
        <v>7.863033287708214E-2</v>
      </c>
      <c r="F184" s="132">
        <f t="shared" ref="F184" si="218">(D184-D185)</f>
        <v>1.9464772206359726E-2</v>
      </c>
      <c r="G184" s="132">
        <f t="shared" ref="G184" si="219">F184^2</f>
        <v>3.7887735704547409E-4</v>
      </c>
      <c r="H184" s="132">
        <f t="shared" ref="H184" si="220">(_xlfn.STDEV.S(D184:D185)/AVERAGE(D184:D185))*100</f>
        <v>3.4574937216658821</v>
      </c>
      <c r="I184" s="132">
        <f t="shared" ref="I184" si="221">AVERAGE(D184:D185)</f>
        <v>0.39808235471608655</v>
      </c>
      <c r="J184" s="132">
        <f>AVERAGE(E184:E185)</f>
        <v>0.1254060580503113</v>
      </c>
      <c r="K184" s="88">
        <v>6</v>
      </c>
    </row>
    <row r="185" spans="1:12">
      <c r="A185" s="81" t="str">
        <f>VLOOKUP(B185,'Master List'!$A$4:$C$1633,3,FALSE)</f>
        <v>49-144</v>
      </c>
      <c r="B185" s="235">
        <v>301</v>
      </c>
      <c r="C185" s="24" t="s">
        <v>106</v>
      </c>
      <c r="D185" s="31">
        <v>0.38834996861290672</v>
      </c>
      <c r="E185" s="43">
        <v>0.17218178322354044</v>
      </c>
      <c r="F185" s="204"/>
      <c r="G185" s="204"/>
      <c r="H185" s="204"/>
      <c r="I185" s="205"/>
      <c r="J185" s="205"/>
    </row>
    <row r="186" spans="1:12">
      <c r="A186" s="81" t="str">
        <f>VLOOKUP(B186,'Master List'!$A$4:$C$1633,3,FALSE)</f>
        <v>49-144</v>
      </c>
      <c r="B186" s="235">
        <v>302</v>
      </c>
      <c r="C186" s="24" t="s">
        <v>105</v>
      </c>
      <c r="D186" s="31">
        <v>0.34891981404348688</v>
      </c>
      <c r="E186" s="43">
        <v>0.1599536467194736</v>
      </c>
      <c r="F186" s="132">
        <f t="shared" ref="F186" si="222">(D186-D187)</f>
        <v>-5.0396577499923434E-2</v>
      </c>
      <c r="G186" s="132">
        <f t="shared" ref="G186" si="223">F186^2</f>
        <v>2.539815023705789E-3</v>
      </c>
      <c r="H186" s="132">
        <f t="shared" ref="H186" si="224">(_xlfn.STDEV.S(D186:D187)/AVERAGE(D186:D187))*100</f>
        <v>9.5252706117949675</v>
      </c>
      <c r="I186" s="132">
        <f t="shared" ref="I186" si="225">AVERAGE(D186:D187)</f>
        <v>0.37411810279344859</v>
      </c>
      <c r="J186" s="132">
        <f>AVERAGE(E186:E187)</f>
        <v>0.17797958964278487</v>
      </c>
      <c r="K186" s="88">
        <v>6</v>
      </c>
    </row>
    <row r="187" spans="1:12">
      <c r="A187" s="81" t="str">
        <f>VLOOKUP(B187,'Master List'!$A$4:$C$1633,3,FALSE)</f>
        <v>49-144</v>
      </c>
      <c r="B187" s="235">
        <v>302</v>
      </c>
      <c r="C187" s="24" t="s">
        <v>106</v>
      </c>
      <c r="D187" s="31">
        <v>0.39931639154341031</v>
      </c>
      <c r="E187" s="43">
        <v>0.19600553256609612</v>
      </c>
      <c r="F187" s="204"/>
      <c r="G187" s="204"/>
      <c r="H187" s="204"/>
      <c r="I187" s="205"/>
      <c r="J187" s="205"/>
    </row>
    <row r="188" spans="1:12">
      <c r="A188" s="81" t="str">
        <f>VLOOKUP(B188,'Master List'!$A$4:$C$1633,3,FALSE)</f>
        <v>49-144</v>
      </c>
      <c r="B188" s="235">
        <v>305</v>
      </c>
      <c r="C188" s="24" t="s">
        <v>105</v>
      </c>
      <c r="D188" s="31">
        <v>0.38467682356576627</v>
      </c>
      <c r="E188" s="43">
        <v>0.15689208496808238</v>
      </c>
      <c r="F188" s="132">
        <f t="shared" ref="F188" si="226">(D188-D189)</f>
        <v>-1.5197562486367555E-2</v>
      </c>
      <c r="G188" s="132">
        <f t="shared" ref="G188" si="227">F188^2</f>
        <v>2.3096590552704638E-4</v>
      </c>
      <c r="H188" s="132">
        <f t="shared" ref="H188" si="228">(_xlfn.STDEV.S(D188:D189)/AVERAGE(D188:D189))*100</f>
        <v>2.7394768779594529</v>
      </c>
      <c r="I188" s="132">
        <f t="shared" ref="I188" si="229">AVERAGE(D188:D189)</f>
        <v>0.39227560480895007</v>
      </c>
      <c r="J188" s="132">
        <f>AVERAGE(E188:E189)</f>
        <v>0.14954634193795777</v>
      </c>
      <c r="K188" s="88">
        <v>6</v>
      </c>
    </row>
    <row r="189" spans="1:12">
      <c r="A189" s="81" t="str">
        <f>VLOOKUP(B189,'Master List'!$A$4:$C$1633,3,FALSE)</f>
        <v>49-144</v>
      </c>
      <c r="B189" s="235">
        <v>305</v>
      </c>
      <c r="C189" s="24" t="s">
        <v>106</v>
      </c>
      <c r="D189" s="31">
        <v>0.39987438605213382</v>
      </c>
      <c r="E189" s="43">
        <v>0.14220059890783315</v>
      </c>
      <c r="F189" s="204"/>
      <c r="G189" s="204"/>
      <c r="H189" s="204"/>
      <c r="I189" s="205"/>
      <c r="J189" s="205"/>
    </row>
    <row r="190" spans="1:12">
      <c r="A190" s="81" t="str">
        <f>VLOOKUP(B190,'Master List'!$A$4:$C$1633,3,FALSE)</f>
        <v>51-141</v>
      </c>
      <c r="B190" s="235">
        <v>312</v>
      </c>
      <c r="C190" s="24" t="s">
        <v>105</v>
      </c>
      <c r="D190" s="31">
        <v>2.650391938790515E-2</v>
      </c>
      <c r="E190" s="43">
        <v>6.4415668153772476E-2</v>
      </c>
      <c r="F190" s="132"/>
      <c r="G190" s="132"/>
      <c r="H190" s="132"/>
      <c r="I190" s="132">
        <f t="shared" ref="I190" si="230">AVERAGE(D190:D191)</f>
        <v>2.1810152651204728E-2</v>
      </c>
      <c r="J190" s="132">
        <f>AVERAGE(E190:E191)</f>
        <v>4.9659762966459742E-2</v>
      </c>
      <c r="K190" s="226">
        <v>26</v>
      </c>
      <c r="L190" s="65" t="s">
        <v>233</v>
      </c>
    </row>
    <row r="191" spans="1:12">
      <c r="A191" s="81" t="str">
        <f>VLOOKUP(B191,'Master List'!$A$4:$C$1633,3,FALSE)</f>
        <v>51-141</v>
      </c>
      <c r="B191" s="235">
        <v>312</v>
      </c>
      <c r="C191" s="24" t="s">
        <v>106</v>
      </c>
      <c r="D191" s="31">
        <v>1.7116385914504307E-2</v>
      </c>
      <c r="E191" s="43">
        <v>3.4903857779147007E-2</v>
      </c>
      <c r="F191" s="204"/>
      <c r="G191" s="204"/>
      <c r="H191" s="204"/>
      <c r="I191" s="205"/>
      <c r="J191" s="205"/>
    </row>
    <row r="192" spans="1:12">
      <c r="A192" s="81" t="str">
        <f>VLOOKUP(B192,'Master List'!$A$4:$C$1633,3,FALSE)</f>
        <v>51-141</v>
      </c>
      <c r="B192" s="235">
        <v>316</v>
      </c>
      <c r="C192" s="24" t="s">
        <v>105</v>
      </c>
      <c r="D192" s="31">
        <v>5.2368959656615671E-2</v>
      </c>
      <c r="E192" s="43">
        <v>0.14904523281065402</v>
      </c>
      <c r="F192" s="132">
        <f t="shared" ref="F192" si="231">(D192-D193)</f>
        <v>-5.4388342330203426E-2</v>
      </c>
      <c r="G192" s="132">
        <f t="shared" ref="G192" si="232">F192^2</f>
        <v>2.958091781427398E-3</v>
      </c>
      <c r="H192" s="132">
        <f t="shared" ref="H192" si="233">(_xlfn.STDEV.S(D192:D193)/AVERAGE(D192:D193))*100</f>
        <v>48.336918472148263</v>
      </c>
      <c r="I192" s="132">
        <f t="shared" ref="I192" si="234">AVERAGE(D192:D193)</f>
        <v>7.9563130821717384E-2</v>
      </c>
      <c r="J192" s="132">
        <f>AVERAGE(E192:E193)</f>
        <v>0.11140513719512467</v>
      </c>
      <c r="K192" s="237">
        <v>46</v>
      </c>
      <c r="L192" s="238" t="s">
        <v>239</v>
      </c>
    </row>
    <row r="193" spans="1:12">
      <c r="A193" s="81" t="str">
        <f>VLOOKUP(B193,'Master List'!$A$4:$C$1633,3,FALSE)</f>
        <v>51-141</v>
      </c>
      <c r="B193" s="235">
        <v>316</v>
      </c>
      <c r="C193" s="24" t="s">
        <v>106</v>
      </c>
      <c r="D193" s="31">
        <v>0.1067573019868191</v>
      </c>
      <c r="E193" s="43">
        <v>7.376504157959532E-2</v>
      </c>
      <c r="F193" s="204"/>
      <c r="G193" s="204"/>
      <c r="H193" s="204"/>
      <c r="I193" s="205"/>
      <c r="J193" s="205"/>
    </row>
    <row r="194" spans="1:12">
      <c r="A194" s="81" t="str">
        <f>VLOOKUP(B194,'Master List'!$A$4:$C$1633,3,FALSE)</f>
        <v>51-141</v>
      </c>
      <c r="B194" s="235">
        <v>317</v>
      </c>
      <c r="C194" s="24" t="s">
        <v>105</v>
      </c>
      <c r="D194" s="31">
        <v>0.36427641316260484</v>
      </c>
      <c r="E194" s="43">
        <v>0.14107563825683575</v>
      </c>
      <c r="F194" s="132">
        <f t="shared" ref="F194" si="235">(D194-D195)</f>
        <v>-2.4973123482974313E-2</v>
      </c>
      <c r="G194" s="132">
        <f t="shared" ref="G194" si="236">F194^2</f>
        <v>6.2365689649588306E-4</v>
      </c>
      <c r="H194" s="132">
        <f t="shared" ref="H194" si="237">(_xlfn.STDEV.S(D194:D195)/AVERAGE(D194:D195))*100</f>
        <v>4.6869427567067339</v>
      </c>
      <c r="I194" s="132">
        <f t="shared" ref="I194" si="238">AVERAGE(D194:D195)</f>
        <v>0.376762974904092</v>
      </c>
      <c r="J194" s="132">
        <f>AVERAGE(E194:E195)</f>
        <v>0.15780818297324339</v>
      </c>
      <c r="K194" s="88">
        <v>6</v>
      </c>
    </row>
    <row r="195" spans="1:12">
      <c r="A195" s="81" t="str">
        <f>VLOOKUP(B195,'Master List'!$A$4:$C$1633,3,FALSE)</f>
        <v>51-141</v>
      </c>
      <c r="B195" s="235">
        <v>317</v>
      </c>
      <c r="C195" s="24" t="s">
        <v>106</v>
      </c>
      <c r="D195" s="31">
        <v>0.38924953664557915</v>
      </c>
      <c r="E195" s="43">
        <v>0.17454072768965107</v>
      </c>
      <c r="F195" s="204"/>
      <c r="G195" s="204"/>
      <c r="H195" s="204"/>
      <c r="I195" s="205"/>
      <c r="J195" s="205"/>
    </row>
    <row r="196" spans="1:12">
      <c r="A196" s="81" t="str">
        <f>VLOOKUP(B196,'Master List'!$A$4:$C$1633,3,FALSE)</f>
        <v>51-141</v>
      </c>
      <c r="B196" s="235">
        <v>320</v>
      </c>
      <c r="C196" s="24" t="s">
        <v>105</v>
      </c>
      <c r="D196" s="31">
        <v>0.35149391211996811</v>
      </c>
      <c r="E196" s="43">
        <v>0.18254628802272921</v>
      </c>
      <c r="F196" s="132">
        <f t="shared" ref="F196" si="239">(D196-D197)</f>
        <v>-2.5139811362661579E-2</v>
      </c>
      <c r="G196" s="132">
        <f t="shared" ref="G196" si="240">F196^2</f>
        <v>6.3201011535020824E-4</v>
      </c>
      <c r="H196" s="132">
        <f t="shared" ref="H196" si="241">(_xlfn.STDEV.S(D196:D197)/AVERAGE(D196:D197))*100</f>
        <v>4.882806316663638</v>
      </c>
      <c r="I196" s="132">
        <f t="shared" ref="I196" si="242">AVERAGE(D196:D197)</f>
        <v>0.36406381780129893</v>
      </c>
      <c r="J196" s="132">
        <f>AVERAGE(E196:E197)</f>
        <v>0.19807770775051023</v>
      </c>
      <c r="K196" s="88">
        <v>6</v>
      </c>
    </row>
    <row r="197" spans="1:12">
      <c r="A197" s="81" t="str">
        <f>VLOOKUP(B197,'Master List'!$A$4:$C$1633,3,FALSE)</f>
        <v>51-141</v>
      </c>
      <c r="B197" s="235">
        <v>320</v>
      </c>
      <c r="C197" s="24" t="s">
        <v>106</v>
      </c>
      <c r="D197" s="31">
        <v>0.37663372348262969</v>
      </c>
      <c r="E197" s="43">
        <v>0.21360912747829125</v>
      </c>
      <c r="F197" s="204"/>
      <c r="G197" s="204"/>
      <c r="H197" s="204"/>
      <c r="I197" s="205"/>
      <c r="J197" s="205"/>
    </row>
    <row r="198" spans="1:12">
      <c r="A198" s="81" t="str">
        <f>VLOOKUP(B198,'Master List'!$A$4:$C$1633,3,FALSE)</f>
        <v>51-141</v>
      </c>
      <c r="B198" s="235">
        <v>322</v>
      </c>
      <c r="C198" s="24" t="s">
        <v>105</v>
      </c>
      <c r="D198" s="31">
        <v>0.41429206786862011</v>
      </c>
      <c r="E198" s="43">
        <v>0.12028002892601804</v>
      </c>
      <c r="F198" s="132">
        <f t="shared" ref="F198" si="243">(D198-D199)</f>
        <v>4.8626953387047145E-2</v>
      </c>
      <c r="G198" s="132">
        <f t="shared" ref="G198" si="244">F198^2</f>
        <v>2.3645805957060559E-3</v>
      </c>
      <c r="H198" s="132">
        <f t="shared" ref="H198" si="245">(_xlfn.STDEV.S(D198:D199)/AVERAGE(D198:D199))*100</f>
        <v>8.8170092580761494</v>
      </c>
      <c r="I198" s="132">
        <f t="shared" ref="I198" si="246">AVERAGE(D198:D199)</f>
        <v>0.38997859117509653</v>
      </c>
      <c r="J198" s="132">
        <f>AVERAGE(E198:E199)</f>
        <v>0.12536307088569287</v>
      </c>
      <c r="K198" s="88">
        <v>6</v>
      </c>
    </row>
    <row r="199" spans="1:12">
      <c r="A199" s="81" t="str">
        <f>VLOOKUP(B199,'Master List'!$A$4:$C$1633,3,FALSE)</f>
        <v>51-141</v>
      </c>
      <c r="B199" s="235">
        <v>322</v>
      </c>
      <c r="C199" s="24" t="s">
        <v>106</v>
      </c>
      <c r="D199" s="31">
        <v>0.36566511448157296</v>
      </c>
      <c r="E199" s="43">
        <v>0.1304461128453677</v>
      </c>
      <c r="F199" s="204"/>
      <c r="G199" s="204"/>
      <c r="H199" s="204"/>
      <c r="I199" s="205"/>
      <c r="J199" s="205"/>
    </row>
    <row r="200" spans="1:12">
      <c r="A200" s="81" t="str">
        <f>VLOOKUP(B200,'Master List'!$A$4:$C$1633,3,FALSE)</f>
        <v>51-141</v>
      </c>
      <c r="B200" s="235">
        <v>328</v>
      </c>
      <c r="C200" s="24" t="s">
        <v>105</v>
      </c>
      <c r="D200" s="31">
        <v>0.35164311143522914</v>
      </c>
      <c r="E200" s="43">
        <v>0.1830576170298695</v>
      </c>
      <c r="F200" s="132">
        <f t="shared" ref="F200" si="247">(D200-D201)</f>
        <v>-0.23061459435899306</v>
      </c>
      <c r="G200" s="132">
        <f t="shared" ref="G200" si="248">F200^2</f>
        <v>5.3183091131362915E-2</v>
      </c>
      <c r="H200" s="132">
        <f t="shared" ref="H200" si="249">(_xlfn.STDEV.S(D200:D201)/AVERAGE(D200:D201))*100</f>
        <v>34.922154580739381</v>
      </c>
      <c r="I200" s="132">
        <f t="shared" ref="I200" si="250">AVERAGE(D200:D201)</f>
        <v>0.4669504086147257</v>
      </c>
      <c r="J200" s="132">
        <f>AVERAGE(E200:E201)</f>
        <v>0.10132741096843223</v>
      </c>
      <c r="K200" s="88">
        <v>46</v>
      </c>
      <c r="L200" s="238" t="s">
        <v>239</v>
      </c>
    </row>
    <row r="201" spans="1:12">
      <c r="A201" s="81" t="str">
        <f>VLOOKUP(B201,'Master List'!$A$4:$C$1633,3,FALSE)</f>
        <v>51-141</v>
      </c>
      <c r="B201" s="235">
        <v>328</v>
      </c>
      <c r="C201" s="24" t="s">
        <v>106</v>
      </c>
      <c r="D201" s="31">
        <v>0.5822577057942222</v>
      </c>
      <c r="E201" s="43">
        <v>1.9597204906994972E-2</v>
      </c>
      <c r="F201" s="204"/>
      <c r="G201" s="204"/>
      <c r="H201" s="204"/>
      <c r="I201" s="205"/>
      <c r="J201" s="205"/>
    </row>
    <row r="202" spans="1:12">
      <c r="A202" s="81" t="str">
        <f>VLOOKUP(B202,'Master List'!$A$4:$C$1633,3,FALSE)</f>
        <v>52-141</v>
      </c>
      <c r="B202" s="235">
        <v>332</v>
      </c>
      <c r="C202" s="123" t="s">
        <v>105</v>
      </c>
      <c r="D202" s="31">
        <v>1.3267262187825486E-2</v>
      </c>
      <c r="E202" s="43">
        <v>4.7647345113654781E-2</v>
      </c>
      <c r="F202" s="132"/>
      <c r="G202" s="132"/>
      <c r="H202" s="132"/>
      <c r="I202" s="132">
        <f t="shared" ref="I202" si="251">AVERAGE(D202:D203)</f>
        <v>1.4877849667950785E-2</v>
      </c>
      <c r="J202" s="132">
        <f>AVERAGE(E202:E203)</f>
        <v>5.0929220968216976E-2</v>
      </c>
      <c r="K202" s="226">
        <v>26</v>
      </c>
      <c r="L202" s="65" t="s">
        <v>233</v>
      </c>
    </row>
    <row r="203" spans="1:12">
      <c r="A203" s="81" t="str">
        <f>VLOOKUP(B203,'Master List'!$A$4:$C$1633,3,FALSE)</f>
        <v>52-141</v>
      </c>
      <c r="B203" s="235">
        <v>332</v>
      </c>
      <c r="C203" s="24" t="s">
        <v>106</v>
      </c>
      <c r="D203" s="31">
        <v>1.6488437148076084E-2</v>
      </c>
      <c r="E203" s="43">
        <v>5.4211096822779171E-2</v>
      </c>
      <c r="F203" s="204"/>
      <c r="G203" s="204"/>
      <c r="H203" s="204"/>
      <c r="I203" s="205"/>
      <c r="J203" s="205"/>
    </row>
    <row r="204" spans="1:12">
      <c r="A204" s="81" t="str">
        <f>VLOOKUP(B204,'Master List'!$A$4:$C$1633,3,FALSE)</f>
        <v>52-141</v>
      </c>
      <c r="B204" s="235">
        <v>336</v>
      </c>
      <c r="C204" s="24" t="s">
        <v>105</v>
      </c>
      <c r="D204" s="31">
        <v>0.11718431200830216</v>
      </c>
      <c r="E204" s="43">
        <v>0.11904868970975704</v>
      </c>
      <c r="F204" s="132">
        <f t="shared" ref="F204" si="252">(D204-D205)</f>
        <v>1.1412927841010057E-2</v>
      </c>
      <c r="G204" s="132">
        <f t="shared" ref="G204" si="253">F204^2</f>
        <v>1.3025492190410246E-4</v>
      </c>
      <c r="H204" s="132">
        <f t="shared" ref="H204" si="254">(_xlfn.STDEV.S(D204:D205)/AVERAGE(D204:D205))*100</f>
        <v>7.2392487009751925</v>
      </c>
      <c r="I204" s="132">
        <f t="shared" ref="I204" si="255">AVERAGE(D204:D205)</f>
        <v>0.11147784808779714</v>
      </c>
      <c r="J204" s="132">
        <f>AVERAGE(E204:E205)</f>
        <v>0.11868974785526203</v>
      </c>
      <c r="K204" s="88">
        <v>6</v>
      </c>
    </row>
    <row r="205" spans="1:12">
      <c r="A205" s="81" t="str">
        <f>VLOOKUP(B205,'Master List'!$A$4:$C$1633,3,FALSE)</f>
        <v>52-141</v>
      </c>
      <c r="B205" s="235">
        <v>336</v>
      </c>
      <c r="C205" s="24" t="s">
        <v>106</v>
      </c>
      <c r="D205" s="31">
        <v>0.10577138416729211</v>
      </c>
      <c r="E205" s="43">
        <v>0.11833080600076701</v>
      </c>
      <c r="F205" s="204"/>
      <c r="G205" s="204"/>
      <c r="H205" s="204"/>
      <c r="I205" s="205"/>
      <c r="J205" s="205"/>
    </row>
    <row r="206" spans="1:12">
      <c r="A206" s="81" t="str">
        <f>VLOOKUP(B206,'Master List'!$A$4:$C$1633,3,FALSE)</f>
        <v>52-141</v>
      </c>
      <c r="B206" s="235">
        <v>337</v>
      </c>
      <c r="C206" s="24" t="s">
        <v>105</v>
      </c>
      <c r="D206" s="231">
        <v>0.19288574919765947</v>
      </c>
      <c r="E206" s="232">
        <v>0.12970370197128783</v>
      </c>
      <c r="F206" s="132">
        <f t="shared" ref="F206" si="256">(D206-D207)</f>
        <v>0.1370633445845077</v>
      </c>
      <c r="G206" s="132">
        <f t="shared" ref="G206" si="257">F206^2</f>
        <v>1.8786360428691494E-2</v>
      </c>
      <c r="H206" s="132">
        <f t="shared" ref="H206" si="258">(_xlfn.STDEV.S(D206:D207)/AVERAGE(D206:D207))*100</f>
        <v>77.937469216661313</v>
      </c>
      <c r="I206" s="132"/>
      <c r="J206" s="132"/>
      <c r="K206" s="236">
        <v>2</v>
      </c>
      <c r="L206" s="119" t="s">
        <v>262</v>
      </c>
    </row>
    <row r="207" spans="1:12">
      <c r="A207" s="81" t="str">
        <f>VLOOKUP(B207,'Master List'!$A$4:$C$1633,3,FALSE)</f>
        <v>52-141</v>
      </c>
      <c r="B207" s="235">
        <v>337</v>
      </c>
      <c r="C207" s="24" t="s">
        <v>106</v>
      </c>
      <c r="D207" s="31">
        <v>5.5822404613151765E-2</v>
      </c>
      <c r="E207" s="43">
        <v>0.39388283503122323</v>
      </c>
      <c r="F207" s="204"/>
      <c r="G207" s="204"/>
      <c r="H207" s="204"/>
      <c r="I207" s="205"/>
      <c r="J207" s="205"/>
      <c r="L207" s="119" t="s">
        <v>256</v>
      </c>
    </row>
    <row r="208" spans="1:12">
      <c r="A208" s="81" t="str">
        <f>VLOOKUP(B208,'Master List'!$A$4:$C$1633,3,FALSE)</f>
        <v>52-141</v>
      </c>
      <c r="B208" s="235">
        <v>340</v>
      </c>
      <c r="C208" s="24" t="s">
        <v>105</v>
      </c>
      <c r="D208" s="31">
        <v>0.21046394251654302</v>
      </c>
      <c r="E208" s="43">
        <v>0.14438295150161487</v>
      </c>
      <c r="F208" s="132">
        <f t="shared" ref="F208" si="259">(D208-D209)</f>
        <v>1.5345668766351628E-2</v>
      </c>
      <c r="G208" s="132">
        <f t="shared" ref="G208" si="260">F208^2</f>
        <v>2.354895498865799E-4</v>
      </c>
      <c r="H208" s="132">
        <f t="shared" ref="H208" si="261">(_xlfn.STDEV.S(D208:D209)/AVERAGE(D208:D209))*100</f>
        <v>5.3508393668787351</v>
      </c>
      <c r="I208" s="132">
        <f t="shared" ref="I208" si="262">AVERAGE(D208:D209)</f>
        <v>0.2027911081333672</v>
      </c>
      <c r="J208" s="132">
        <f>AVERAGE(E208:E209)</f>
        <v>0.14091107223187949</v>
      </c>
      <c r="K208" s="88">
        <v>6</v>
      </c>
    </row>
    <row r="209" spans="1:12">
      <c r="A209" s="81" t="str">
        <f>VLOOKUP(B209,'Master List'!$A$4:$C$1633,3,FALSE)</f>
        <v>52-141</v>
      </c>
      <c r="B209" s="235">
        <v>340</v>
      </c>
      <c r="C209" s="24" t="s">
        <v>106</v>
      </c>
      <c r="D209" s="31">
        <v>0.19511827375019139</v>
      </c>
      <c r="E209" s="43">
        <v>0.13743919296214407</v>
      </c>
      <c r="F209" s="204"/>
      <c r="G209" s="204"/>
      <c r="H209" s="204"/>
      <c r="I209" s="205"/>
      <c r="J209" s="205"/>
    </row>
    <row r="210" spans="1:12">
      <c r="A210" s="81" t="str">
        <f>VLOOKUP(B210,'Master List'!$A$4:$C$1633,3,FALSE)</f>
        <v>52-141</v>
      </c>
      <c r="B210" s="235">
        <v>342</v>
      </c>
      <c r="C210" s="24" t="s">
        <v>105</v>
      </c>
      <c r="D210" s="31">
        <v>0.39530221948995914</v>
      </c>
      <c r="E210" s="43">
        <v>0.12841035978244214</v>
      </c>
      <c r="F210" s="132">
        <f t="shared" ref="F210" si="263">(D210-D211)</f>
        <v>7.8709470270661996E-3</v>
      </c>
      <c r="G210" s="132">
        <f t="shared" ref="G210" si="264">F210^2</f>
        <v>6.1951807102882253E-5</v>
      </c>
      <c r="H210" s="132">
        <f t="shared" ref="H210" si="265">(_xlfn.STDEV.S(D210:D211)/AVERAGE(D210:D211))*100</f>
        <v>1.422093234649489</v>
      </c>
      <c r="I210" s="132">
        <f t="shared" ref="I210" si="266">AVERAGE(D210:D211)</f>
        <v>0.39136674597642607</v>
      </c>
      <c r="J210" s="132">
        <f>AVERAGE(E210:E211)</f>
        <v>0.13519356947485678</v>
      </c>
      <c r="K210" s="88">
        <v>6</v>
      </c>
    </row>
    <row r="211" spans="1:12">
      <c r="A211" s="81" t="str">
        <f>VLOOKUP(B211,'Master List'!$A$4:$C$1633,3,FALSE)</f>
        <v>52-141</v>
      </c>
      <c r="B211" s="235">
        <v>342</v>
      </c>
      <c r="C211" s="24" t="s">
        <v>106</v>
      </c>
      <c r="D211" s="31">
        <v>0.38743127246289294</v>
      </c>
      <c r="E211" s="43">
        <v>0.14197677916727142</v>
      </c>
      <c r="F211" s="204"/>
      <c r="G211" s="204"/>
      <c r="H211" s="204"/>
      <c r="I211" s="205"/>
      <c r="J211" s="205"/>
    </row>
    <row r="212" spans="1:12">
      <c r="A212" s="81" t="str">
        <f>VLOOKUP(B212,'Master List'!$A$4:$C$1633,3,FALSE)</f>
        <v>52-141</v>
      </c>
      <c r="B212" s="235">
        <v>348</v>
      </c>
      <c r="C212" s="24" t="s">
        <v>105</v>
      </c>
      <c r="D212" s="31">
        <v>0.42137111083776269</v>
      </c>
      <c r="E212" s="43">
        <v>0.19343100000809255</v>
      </c>
      <c r="F212" s="132">
        <f t="shared" ref="F212" si="267">(D212-D213)</f>
        <v>5.6186385360272095E-2</v>
      </c>
      <c r="G212" s="132">
        <f t="shared" ref="G212" si="268">F212^2</f>
        <v>3.1569098998529984E-3</v>
      </c>
      <c r="H212" s="132">
        <f t="shared" ref="H212" si="269">(_xlfn.STDEV.S(D212:D213)/AVERAGE(D212:D213))*100</f>
        <v>10.102213285894475</v>
      </c>
      <c r="I212" s="132">
        <f t="shared" ref="I212" si="270">AVERAGE(D212:D213)</f>
        <v>0.39327791815762664</v>
      </c>
      <c r="J212" s="132">
        <f>AVERAGE(E212:E213)</f>
        <v>0.18043036437462651</v>
      </c>
      <c r="K212" s="120">
        <v>36</v>
      </c>
      <c r="L212" s="31" t="s">
        <v>238</v>
      </c>
    </row>
    <row r="213" spans="1:12">
      <c r="A213" s="81" t="str">
        <f>VLOOKUP(B213,'Master List'!$A$4:$C$1633,3,FALSE)</f>
        <v>52-141</v>
      </c>
      <c r="B213" s="235">
        <v>348</v>
      </c>
      <c r="C213" s="24" t="s">
        <v>106</v>
      </c>
      <c r="D213" s="31">
        <v>0.36518472547749059</v>
      </c>
      <c r="E213" s="43">
        <v>0.16742972874116049</v>
      </c>
      <c r="F213" s="204"/>
      <c r="G213" s="204"/>
      <c r="H213" s="204"/>
      <c r="I213" s="205"/>
      <c r="J213" s="205"/>
    </row>
    <row r="214" spans="1:12">
      <c r="A214" s="81" t="str">
        <f>VLOOKUP(B214,'Master List'!$A$4:$C$1633,3,FALSE)</f>
        <v>53-141</v>
      </c>
      <c r="B214" s="235">
        <v>352</v>
      </c>
      <c r="C214" s="24" t="s">
        <v>105</v>
      </c>
      <c r="D214" s="31">
        <v>1.5855569722902998E-2</v>
      </c>
      <c r="E214" s="43">
        <v>4.6534546119662783E-2</v>
      </c>
      <c r="F214" s="132"/>
      <c r="G214" s="132"/>
      <c r="H214" s="132"/>
      <c r="I214" s="132">
        <f t="shared" ref="I214" si="271">AVERAGE(D214:D215)</f>
        <v>1.5602532056361433E-2</v>
      </c>
      <c r="J214" s="132">
        <f>AVERAGE(E214:E215)</f>
        <v>4.4510709327322776E-2</v>
      </c>
      <c r="K214" s="226">
        <v>26</v>
      </c>
      <c r="L214" s="65" t="s">
        <v>233</v>
      </c>
    </row>
    <row r="215" spans="1:12">
      <c r="A215" s="81" t="str">
        <f>VLOOKUP(B215,'Master List'!$A$4:$C$1633,3,FALSE)</f>
        <v>53-141</v>
      </c>
      <c r="B215" s="235">
        <v>352</v>
      </c>
      <c r="C215" s="24" t="s">
        <v>106</v>
      </c>
      <c r="D215" s="31">
        <v>1.5349494389819869E-2</v>
      </c>
      <c r="E215" s="43">
        <v>4.2486872534982768E-2</v>
      </c>
      <c r="F215" s="204"/>
      <c r="G215" s="204"/>
      <c r="H215" s="204"/>
      <c r="I215" s="205"/>
      <c r="J215" s="205"/>
    </row>
    <row r="216" spans="1:12">
      <c r="A216" s="81" t="str">
        <f>VLOOKUP(B216,'Master List'!$A$4:$C$1633,3,FALSE)</f>
        <v>53-141</v>
      </c>
      <c r="B216" s="235">
        <v>356</v>
      </c>
      <c r="C216" s="24" t="s">
        <v>105</v>
      </c>
      <c r="D216" s="31">
        <v>0.15030273437277894</v>
      </c>
      <c r="E216" s="43">
        <v>0.16416836833896439</v>
      </c>
      <c r="F216" s="132">
        <f t="shared" ref="F216" si="272">(D216-D217)</f>
        <v>1.725356184172247E-2</v>
      </c>
      <c r="G216" s="132">
        <f t="shared" ref="G216" si="273">F216^2</f>
        <v>2.9768539622614169E-4</v>
      </c>
      <c r="H216" s="132">
        <f t="shared" ref="H216" si="274">(_xlfn.STDEV.S(D216:D217)/AVERAGE(D216:D217))*100</f>
        <v>8.6112782590476211</v>
      </c>
      <c r="I216" s="132">
        <f t="shared" ref="I216" si="275">AVERAGE(D216:D217)</f>
        <v>0.14167595345191769</v>
      </c>
      <c r="J216" s="132">
        <f>AVERAGE(E216:E217)</f>
        <v>0.1528532499399079</v>
      </c>
      <c r="K216" s="88">
        <v>6</v>
      </c>
    </row>
    <row r="217" spans="1:12">
      <c r="A217" s="81" t="str">
        <f>VLOOKUP(B217,'Master List'!$A$4:$C$1633,3,FALSE)</f>
        <v>53-141</v>
      </c>
      <c r="B217" s="235">
        <v>356</v>
      </c>
      <c r="C217" s="24" t="s">
        <v>106</v>
      </c>
      <c r="D217" s="31">
        <v>0.13304917253105647</v>
      </c>
      <c r="E217" s="43">
        <v>0.14153813154085138</v>
      </c>
      <c r="F217" s="204"/>
      <c r="G217" s="204"/>
      <c r="H217" s="204"/>
      <c r="I217" s="205"/>
      <c r="J217" s="205"/>
    </row>
    <row r="218" spans="1:12">
      <c r="A218" s="81" t="str">
        <f>VLOOKUP(B218,'Master List'!$A$4:$C$1633,3,FALSE)</f>
        <v>53-141</v>
      </c>
      <c r="B218" s="235">
        <v>357</v>
      </c>
      <c r="C218" s="24" t="s">
        <v>105</v>
      </c>
      <c r="D218" s="31">
        <v>0.32367671084718308</v>
      </c>
      <c r="E218" s="43">
        <v>0.16447249775344175</v>
      </c>
      <c r="F218" s="132">
        <f t="shared" ref="F218" si="276">(D218-D219)</f>
        <v>3.4245341734689905E-2</v>
      </c>
      <c r="G218" s="132">
        <f t="shared" ref="G218" si="277">F218^2</f>
        <v>1.1727434305256943E-3</v>
      </c>
      <c r="H218" s="132">
        <f t="shared" ref="H218" si="278">(_xlfn.STDEV.S(D218:D219)/AVERAGE(D218:D219))*100</f>
        <v>7.899133662124477</v>
      </c>
      <c r="I218" s="132">
        <f t="shared" ref="I218" si="279">AVERAGE(D218:D219)</f>
        <v>0.3065540399798381</v>
      </c>
      <c r="J218" s="132">
        <f>AVERAGE(E218:E219)</f>
        <v>0.15794360703817156</v>
      </c>
      <c r="K218" s="88">
        <v>6</v>
      </c>
    </row>
    <row r="219" spans="1:12">
      <c r="A219" s="81" t="str">
        <f>VLOOKUP(B219,'Master List'!$A$4:$C$1633,3,FALSE)</f>
        <v>53-141</v>
      </c>
      <c r="B219" s="235">
        <v>357</v>
      </c>
      <c r="C219" s="24" t="s">
        <v>106</v>
      </c>
      <c r="D219" s="31">
        <v>0.28943136911249318</v>
      </c>
      <c r="E219" s="43">
        <v>0.15141471632290138</v>
      </c>
      <c r="F219" s="204"/>
      <c r="G219" s="204"/>
      <c r="H219" s="204"/>
      <c r="I219" s="205"/>
      <c r="J219" s="205"/>
    </row>
    <row r="220" spans="1:12">
      <c r="A220" s="81" t="str">
        <f>VLOOKUP(B220,'Master List'!$A$4:$C$1633,3,FALSE)</f>
        <v>53-141</v>
      </c>
      <c r="B220" s="235">
        <v>360</v>
      </c>
      <c r="C220" s="220" t="s">
        <v>105</v>
      </c>
      <c r="D220" s="31">
        <v>0.31157735685244475</v>
      </c>
      <c r="E220" s="43">
        <v>0.25782199944870643</v>
      </c>
      <c r="F220" s="132">
        <f t="shared" ref="F220" si="280">(D220-D221)</f>
        <v>1.3479311031493357E-2</v>
      </c>
      <c r="G220" s="132">
        <f t="shared" ref="G220" si="281">F220^2</f>
        <v>1.8169182588373851E-4</v>
      </c>
      <c r="H220" s="132">
        <f t="shared" ref="H220" si="282">(_xlfn.STDEV.S(D220:D221)/AVERAGE(D220:D221))*100</f>
        <v>3.1266841976229518</v>
      </c>
      <c r="I220" s="132">
        <f t="shared" ref="I220" si="283">AVERAGE(D220:D221)</f>
        <v>0.30483770133669807</v>
      </c>
      <c r="J220" s="132">
        <f>AVERAGE(E220:E221)</f>
        <v>0.21749443477150904</v>
      </c>
      <c r="K220" s="88">
        <v>6</v>
      </c>
    </row>
    <row r="221" spans="1:12">
      <c r="A221" s="81" t="str">
        <f>VLOOKUP(B221,'Master List'!$A$4:$C$1633,3,FALSE)</f>
        <v>53-141</v>
      </c>
      <c r="B221" s="235">
        <v>360</v>
      </c>
      <c r="C221" s="24" t="s">
        <v>106</v>
      </c>
      <c r="D221" s="31">
        <v>0.2980980458209514</v>
      </c>
      <c r="E221" s="43">
        <v>0.17716687009431162</v>
      </c>
      <c r="F221" s="204"/>
      <c r="G221" s="204"/>
      <c r="H221" s="204"/>
      <c r="I221" s="205"/>
      <c r="J221" s="205"/>
    </row>
    <row r="222" spans="1:12">
      <c r="A222" s="81" t="str">
        <f>VLOOKUP(B222,'Master List'!$A$4:$C$1633,3,FALSE)</f>
        <v>53-141</v>
      </c>
      <c r="B222" s="235">
        <v>362</v>
      </c>
      <c r="C222" s="24" t="s">
        <v>105</v>
      </c>
      <c r="D222" s="31">
        <v>0.34464058093545114</v>
      </c>
      <c r="E222" s="43">
        <v>0.28306084527260794</v>
      </c>
      <c r="F222" s="132">
        <f t="shared" ref="F222" si="284">(D222-D223)</f>
        <v>3.8920800130506694E-2</v>
      </c>
      <c r="G222" s="132">
        <f t="shared" ref="G222" si="285">F222^2</f>
        <v>1.51482868279885E-3</v>
      </c>
      <c r="H222" s="132">
        <f t="shared" ref="H222" si="286">(_xlfn.STDEV.S(D222:D223)/AVERAGE(D222:D223))*100</f>
        <v>8.4633576461639208</v>
      </c>
      <c r="I222" s="132">
        <f t="shared" ref="I222" si="287">AVERAGE(D222:D223)</f>
        <v>0.32518018087019779</v>
      </c>
      <c r="J222" s="132">
        <f>AVERAGE(E222:E223)</f>
        <v>0.24393538767623302</v>
      </c>
      <c r="K222" s="88">
        <v>6</v>
      </c>
    </row>
    <row r="223" spans="1:12">
      <c r="A223" s="81" t="str">
        <f>VLOOKUP(B223,'Master List'!$A$4:$C$1633,3,FALSE)</f>
        <v>53-141</v>
      </c>
      <c r="B223" s="235">
        <v>362</v>
      </c>
      <c r="C223" s="24" t="s">
        <v>106</v>
      </c>
      <c r="D223" s="31">
        <v>0.30571978080494444</v>
      </c>
      <c r="E223" s="43">
        <v>0.20480993007985809</v>
      </c>
      <c r="F223" s="204"/>
      <c r="G223" s="204"/>
      <c r="H223" s="204"/>
      <c r="I223" s="205"/>
      <c r="J223" s="205"/>
    </row>
    <row r="224" spans="1:12">
      <c r="A224" s="81" t="str">
        <f>VLOOKUP(B224,'Master List'!$A$4:$C$1633,3,FALSE)</f>
        <v>53-141</v>
      </c>
      <c r="B224" s="235">
        <v>368</v>
      </c>
      <c r="C224" s="24" t="s">
        <v>105</v>
      </c>
      <c r="D224" s="31">
        <v>0.35315696529337204</v>
      </c>
      <c r="E224" s="43">
        <v>0.19206996505152923</v>
      </c>
      <c r="F224" s="132">
        <f t="shared" ref="F224" si="288">(D224-D225)</f>
        <v>2.3834727242356635E-2</v>
      </c>
      <c r="G224" s="132">
        <f t="shared" ref="G224" si="289">F224^2</f>
        <v>5.6809422271753755E-4</v>
      </c>
      <c r="H224" s="132">
        <f t="shared" ref="H224" si="290">(_xlfn.STDEV.S(D224:D225)/AVERAGE(D224:D225))*100</f>
        <v>4.9389628806894308</v>
      </c>
      <c r="I224" s="132">
        <f t="shared" ref="I224" si="291">AVERAGE(D224:D225)</f>
        <v>0.34123960167219369</v>
      </c>
      <c r="J224" s="132">
        <f>AVERAGE(E224:E225)</f>
        <v>0.16858944217552002</v>
      </c>
      <c r="K224" s="88">
        <v>6</v>
      </c>
    </row>
    <row r="225" spans="1:12">
      <c r="A225" s="81" t="str">
        <f>VLOOKUP(B225,'Master List'!$A$4:$C$1633,3,FALSE)</f>
        <v>53-141</v>
      </c>
      <c r="B225" s="235">
        <v>368</v>
      </c>
      <c r="C225" s="24" t="s">
        <v>106</v>
      </c>
      <c r="D225" s="31">
        <v>0.3293222380510154</v>
      </c>
      <c r="E225" s="43">
        <v>0.14510891929951078</v>
      </c>
      <c r="F225" s="204"/>
      <c r="G225" s="204"/>
      <c r="H225" s="204"/>
      <c r="I225" s="205"/>
      <c r="J225" s="205"/>
    </row>
    <row r="226" spans="1:12">
      <c r="A226" s="81" t="str">
        <f>VLOOKUP(B226,'Master List'!$A$4:$C$1633,3,FALSE)</f>
        <v>53-138</v>
      </c>
      <c r="B226" s="235">
        <v>372</v>
      </c>
      <c r="C226" s="24" t="s">
        <v>105</v>
      </c>
      <c r="D226" s="31">
        <v>1.0194740025197595E-2</v>
      </c>
      <c r="E226" s="43">
        <v>4.76439741928616E-2</v>
      </c>
      <c r="F226" s="132"/>
      <c r="G226" s="132"/>
      <c r="H226" s="132"/>
      <c r="I226" s="132">
        <f t="shared" ref="I226" si="292">AVERAGE(D226:D227)</f>
        <v>9.8640968540147644E-3</v>
      </c>
      <c r="J226" s="132">
        <f>AVERAGE(E226:E227)</f>
        <v>4.4671506293386537E-2</v>
      </c>
      <c r="K226" s="226">
        <v>26</v>
      </c>
      <c r="L226" s="65" t="s">
        <v>233</v>
      </c>
    </row>
    <row r="227" spans="1:12">
      <c r="A227" s="81" t="str">
        <f>VLOOKUP(B227,'Master List'!$A$4:$C$1633,3,FALSE)</f>
        <v>53-138</v>
      </c>
      <c r="B227" s="235">
        <v>372</v>
      </c>
      <c r="C227" s="24" t="s">
        <v>106</v>
      </c>
      <c r="D227" s="31">
        <v>9.5334536828319359E-3</v>
      </c>
      <c r="E227" s="43">
        <v>4.1699038393911474E-2</v>
      </c>
      <c r="F227" s="204"/>
      <c r="G227" s="204"/>
      <c r="H227" s="204"/>
      <c r="I227" s="205"/>
      <c r="J227" s="205"/>
    </row>
    <row r="228" spans="1:12">
      <c r="A228" s="81" t="str">
        <f>VLOOKUP(B228,'Master List'!$A$4:$C$1633,3,FALSE)</f>
        <v>53-138</v>
      </c>
      <c r="B228" s="235">
        <v>376</v>
      </c>
      <c r="C228" s="24" t="s">
        <v>105</v>
      </c>
      <c r="D228" s="31">
        <v>5.0052817905420939E-2</v>
      </c>
      <c r="E228" s="43">
        <v>7.3081961206848747E-2</v>
      </c>
      <c r="F228" s="132">
        <f t="shared" ref="F228" si="293">(D228-D229)</f>
        <v>7.57200187890604E-3</v>
      </c>
      <c r="G228" s="132">
        <f t="shared" ref="G228" si="294">F228^2</f>
        <v>5.7335212454156602E-5</v>
      </c>
      <c r="H228" s="132">
        <f t="shared" ref="H228" si="295">(_xlfn.STDEV.S(D228:D229)/AVERAGE(D228:D229))*100</f>
        <v>11.57247078326156</v>
      </c>
      <c r="I228" s="132">
        <f t="shared" ref="I228" si="296">AVERAGE(D228:D229)</f>
        <v>4.6266816965967919E-2</v>
      </c>
      <c r="J228" s="132">
        <f>AVERAGE(E228:E229)</f>
        <v>6.7779242656828109E-2</v>
      </c>
      <c r="K228" s="88">
        <v>36</v>
      </c>
      <c r="L228" s="31" t="s">
        <v>238</v>
      </c>
    </row>
    <row r="229" spans="1:12">
      <c r="A229" s="81" t="str">
        <f>VLOOKUP(B229,'Master List'!$A$4:$C$1633,3,FALSE)</f>
        <v>53-138</v>
      </c>
      <c r="B229" s="235">
        <v>376</v>
      </c>
      <c r="C229" s="24" t="s">
        <v>106</v>
      </c>
      <c r="D229" s="31">
        <v>4.2480816026514899E-2</v>
      </c>
      <c r="E229" s="43">
        <v>6.2476524106807478E-2</v>
      </c>
      <c r="F229" s="204"/>
      <c r="G229" s="204"/>
      <c r="H229" s="204"/>
      <c r="I229" s="205"/>
      <c r="J229" s="205"/>
    </row>
    <row r="230" spans="1:12">
      <c r="A230" s="81" t="str">
        <f>VLOOKUP(B230,'Master List'!$A$4:$C$1633,3,FALSE)</f>
        <v>53-138</v>
      </c>
      <c r="B230" s="235">
        <v>377</v>
      </c>
      <c r="C230" s="24" t="s">
        <v>105</v>
      </c>
      <c r="D230" s="31">
        <v>0.33201766304320335</v>
      </c>
      <c r="E230" s="43">
        <v>0.18795990319932937</v>
      </c>
      <c r="F230" s="132">
        <f t="shared" ref="F230" si="297">(D230-D231)</f>
        <v>4.0366339283859576E-2</v>
      </c>
      <c r="G230" s="132">
        <f t="shared" ref="G230" si="298">F230^2</f>
        <v>1.6294413471796647E-3</v>
      </c>
      <c r="H230" s="132">
        <f t="shared" ref="H230" si="299">(_xlfn.STDEV.S(D230:D231)/AVERAGE(D230:D231))*100</f>
        <v>9.1533530905973404</v>
      </c>
      <c r="I230" s="132">
        <f t="shared" ref="I230" si="300">AVERAGE(D230:D231)</f>
        <v>0.31183449340127356</v>
      </c>
      <c r="J230" s="132">
        <f>AVERAGE(E230:E231)</f>
        <v>0.1872324455943512</v>
      </c>
      <c r="K230" s="88">
        <v>6</v>
      </c>
    </row>
    <row r="231" spans="1:12">
      <c r="A231" s="81" t="str">
        <f>VLOOKUP(B231,'Master List'!$A$4:$C$1633,3,FALSE)</f>
        <v>53-138</v>
      </c>
      <c r="B231" s="235">
        <v>377</v>
      </c>
      <c r="C231" s="24" t="s">
        <v>106</v>
      </c>
      <c r="D231" s="31">
        <v>0.29165132375934377</v>
      </c>
      <c r="E231" s="43">
        <v>0.18650498798937307</v>
      </c>
      <c r="F231" s="204"/>
      <c r="G231" s="204"/>
      <c r="H231" s="204"/>
      <c r="I231" s="205"/>
      <c r="J231" s="205"/>
    </row>
    <row r="232" spans="1:12">
      <c r="A232" s="81" t="str">
        <f>VLOOKUP(B232,'Master List'!$A$4:$C$1633,3,FALSE)</f>
        <v>53-138</v>
      </c>
      <c r="B232" s="235">
        <v>380</v>
      </c>
      <c r="C232" s="24" t="s">
        <v>105</v>
      </c>
      <c r="D232" s="31">
        <v>0.35766682884477813</v>
      </c>
      <c r="E232" s="43">
        <v>0.2550166151076888</v>
      </c>
      <c r="F232" s="132">
        <f t="shared" ref="F232" si="301">(D232-D233)</f>
        <v>4.5480651343246414E-2</v>
      </c>
      <c r="G232" s="132">
        <f t="shared" ref="G232" si="302">F232^2</f>
        <v>2.0684896466059417E-3</v>
      </c>
      <c r="H232" s="132">
        <f t="shared" ref="H232" si="303">(_xlfn.STDEV.S(D232:D233)/AVERAGE(D232:D233))*100</f>
        <v>9.6020101941482494</v>
      </c>
      <c r="I232" s="132">
        <f t="shared" ref="I232" si="304">AVERAGE(D232:D233)</f>
        <v>0.33492650317315492</v>
      </c>
      <c r="J232" s="132">
        <f>AVERAGE(E232:E233)</f>
        <v>0.21015794647107192</v>
      </c>
      <c r="K232" s="88">
        <v>6</v>
      </c>
    </row>
    <row r="233" spans="1:12">
      <c r="A233" s="81" t="str">
        <f>VLOOKUP(B233,'Master List'!$A$4:$C$1633,3,FALSE)</f>
        <v>53-138</v>
      </c>
      <c r="B233" s="235">
        <v>380</v>
      </c>
      <c r="C233" s="24" t="s">
        <v>106</v>
      </c>
      <c r="D233" s="31">
        <v>0.31218617750153171</v>
      </c>
      <c r="E233" s="43">
        <v>0.16529927783445503</v>
      </c>
      <c r="F233" s="204"/>
      <c r="G233" s="204"/>
      <c r="H233" s="204"/>
      <c r="I233" s="205"/>
      <c r="J233" s="205"/>
    </row>
    <row r="234" spans="1:12">
      <c r="A234" s="81" t="str">
        <f>VLOOKUP(B234,'Master List'!$A$4:$C$1633,3,FALSE)</f>
        <v>53-138</v>
      </c>
      <c r="B234" s="235">
        <v>382</v>
      </c>
      <c r="C234" s="24" t="s">
        <v>105</v>
      </c>
      <c r="D234" s="31">
        <v>0.38283997778337719</v>
      </c>
      <c r="E234" s="43">
        <v>0.26224268553099778</v>
      </c>
      <c r="F234" s="132">
        <f t="shared" ref="F234" si="305">(D234-D235)</f>
        <v>4.6211345425678452E-2</v>
      </c>
      <c r="G234" s="132">
        <f t="shared" ref="G234" si="306">F234^2</f>
        <v>2.135488446051373E-3</v>
      </c>
      <c r="H234" s="132">
        <f t="shared" ref="H234" si="307">(_xlfn.STDEV.S(D234:D235)/AVERAGE(D234:D235))*100</f>
        <v>9.0834694544474672</v>
      </c>
      <c r="I234" s="132">
        <f t="shared" ref="I234" si="308">AVERAGE(D234:D235)</f>
        <v>0.35973430507053794</v>
      </c>
      <c r="J234" s="132">
        <f>AVERAGE(E234:E235)</f>
        <v>0.23737390920722512</v>
      </c>
      <c r="K234" s="88">
        <v>6</v>
      </c>
    </row>
    <row r="235" spans="1:12">
      <c r="A235" s="81" t="str">
        <f>VLOOKUP(B235,'Master List'!$A$4:$C$1633,3,FALSE)</f>
        <v>53-138</v>
      </c>
      <c r="B235" s="235">
        <v>382</v>
      </c>
      <c r="C235" s="24" t="s">
        <v>106</v>
      </c>
      <c r="D235" s="31">
        <v>0.33662863235769874</v>
      </c>
      <c r="E235" s="43">
        <v>0.21250513288345246</v>
      </c>
      <c r="F235" s="204"/>
      <c r="G235" s="204"/>
      <c r="H235" s="204"/>
      <c r="I235" s="205"/>
      <c r="J235" s="205"/>
    </row>
    <row r="236" spans="1:12">
      <c r="A236" s="81" t="str">
        <f>VLOOKUP(B236,'Master List'!$A$4:$C$1633,3,FALSE)</f>
        <v>53-138</v>
      </c>
      <c r="B236" s="235">
        <v>388</v>
      </c>
      <c r="C236" s="24" t="s">
        <v>105</v>
      </c>
      <c r="D236" s="31">
        <v>0.39814739031504659</v>
      </c>
      <c r="E236" s="43">
        <v>0.25646481416238742</v>
      </c>
      <c r="F236" s="132">
        <f t="shared" ref="F236" si="309">(D236-D237)</f>
        <v>5.2250365329100601E-2</v>
      </c>
      <c r="G236" s="132">
        <f t="shared" ref="G236" si="310">F236^2</f>
        <v>2.7301006770244782E-3</v>
      </c>
      <c r="H236" s="132">
        <f t="shared" ref="H236" si="311">(_xlfn.STDEV.S(D236:D237)/AVERAGE(D236:D237))*100</f>
        <v>9.9312855211030069</v>
      </c>
      <c r="I236" s="132">
        <f t="shared" ref="I236" si="312">AVERAGE(D236:D237)</f>
        <v>0.37202220765049632</v>
      </c>
      <c r="J236" s="132">
        <f>AVERAGE(E236:E237)</f>
        <v>0.23819939513447067</v>
      </c>
      <c r="K236" s="88">
        <v>6</v>
      </c>
    </row>
    <row r="237" spans="1:12">
      <c r="A237" s="81" t="str">
        <f>VLOOKUP(B237,'Master List'!$A$4:$C$1633,3,FALSE)</f>
        <v>53-138</v>
      </c>
      <c r="B237" s="235">
        <v>388</v>
      </c>
      <c r="C237" s="24" t="s">
        <v>106</v>
      </c>
      <c r="D237" s="31">
        <v>0.34589702498594599</v>
      </c>
      <c r="E237" s="43">
        <v>0.21993397610655391</v>
      </c>
      <c r="F237" s="204"/>
      <c r="G237" s="204"/>
      <c r="H237" s="204"/>
      <c r="I237" s="205"/>
      <c r="J237" s="205"/>
    </row>
    <row r="238" spans="1:12">
      <c r="A238" s="81" t="str">
        <f>VLOOKUP(B238,'Master List'!$A$4:$C$1633,3,FALSE)</f>
        <v>52-138</v>
      </c>
      <c r="B238" s="235">
        <v>392</v>
      </c>
      <c r="C238" s="24" t="s">
        <v>105</v>
      </c>
      <c r="D238" s="31">
        <v>1.0761478816134111E-2</v>
      </c>
      <c r="E238" s="43">
        <v>5.2302310191069838E-2</v>
      </c>
      <c r="F238" s="132"/>
      <c r="G238" s="132"/>
      <c r="H238" s="132"/>
      <c r="I238" s="132">
        <f t="shared" ref="I238" si="313">AVERAGE(D238:D239)</f>
        <v>1.1331769971719717E-2</v>
      </c>
      <c r="J238" s="132">
        <f>AVERAGE(E238:E239)</f>
        <v>5.4615668801191453E-2</v>
      </c>
      <c r="K238" s="226">
        <v>26</v>
      </c>
      <c r="L238" s="65" t="s">
        <v>233</v>
      </c>
    </row>
    <row r="239" spans="1:12">
      <c r="A239" s="81" t="str">
        <f>VLOOKUP(B239,'Master List'!$A$4:$C$1633,3,FALSE)</f>
        <v>52-138</v>
      </c>
      <c r="B239" s="235">
        <v>392</v>
      </c>
      <c r="C239" s="24" t="s">
        <v>106</v>
      </c>
      <c r="D239" s="31">
        <v>1.1902061127305321E-2</v>
      </c>
      <c r="E239" s="43">
        <v>5.6929027411313067E-2</v>
      </c>
      <c r="F239" s="204"/>
      <c r="G239" s="204"/>
      <c r="H239" s="204"/>
      <c r="I239" s="205"/>
      <c r="J239" s="205"/>
    </row>
    <row r="240" spans="1:12">
      <c r="A240" s="81" t="str">
        <f>VLOOKUP(B240,'Master List'!$A$4:$C$1633,3,FALSE)</f>
        <v>52-138</v>
      </c>
      <c r="B240" s="235">
        <v>396</v>
      </c>
      <c r="C240" s="24" t="s">
        <v>105</v>
      </c>
      <c r="D240" s="31">
        <v>3.3784080847948983E-2</v>
      </c>
      <c r="E240" s="43">
        <v>6.6916208235241761E-2</v>
      </c>
      <c r="F240" s="132">
        <f t="shared" ref="F240" si="314">(D240-D241)</f>
        <v>5.3924895372909412E-3</v>
      </c>
      <c r="G240" s="132">
        <f t="shared" ref="G240" si="315">F240^2</f>
        <v>2.9078943409792268E-5</v>
      </c>
      <c r="H240" s="132">
        <f t="shared" ref="H240" si="316">(_xlfn.STDEV.S(D240:D241)/AVERAGE(D240:D241))*100</f>
        <v>12.265459421392316</v>
      </c>
      <c r="I240" s="132">
        <f t="shared" ref="I240" si="317">AVERAGE(D240:D241)</f>
        <v>3.1087836079303512E-2</v>
      </c>
      <c r="J240" s="132">
        <f>AVERAGE(E240:E241)</f>
        <v>7.8144159803574725E-2</v>
      </c>
      <c r="K240" s="88">
        <v>36</v>
      </c>
      <c r="L240" s="31" t="s">
        <v>238</v>
      </c>
    </row>
    <row r="241" spans="1:12">
      <c r="A241" s="81" t="str">
        <f>VLOOKUP(B241,'Master List'!$A$4:$C$1633,3,FALSE)</f>
        <v>52-138</v>
      </c>
      <c r="B241" s="235">
        <v>396</v>
      </c>
      <c r="C241" s="24" t="s">
        <v>106</v>
      </c>
      <c r="D241" s="31">
        <v>2.8391591310658042E-2</v>
      </c>
      <c r="E241" s="43">
        <v>8.9372111371907703E-2</v>
      </c>
      <c r="F241" s="204"/>
      <c r="G241" s="204"/>
      <c r="H241" s="204"/>
      <c r="I241" s="205"/>
      <c r="J241" s="205"/>
    </row>
    <row r="242" spans="1:12">
      <c r="A242" s="81" t="str">
        <f>VLOOKUP(B242,'Master List'!$A$4:$C$1633,3,FALSE)</f>
        <v>52-138</v>
      </c>
      <c r="B242" s="235">
        <v>397</v>
      </c>
      <c r="C242" s="24" t="s">
        <v>105</v>
      </c>
      <c r="D242" s="31">
        <v>0.26811062300640282</v>
      </c>
      <c r="E242" s="43">
        <v>0.37284596822155758</v>
      </c>
      <c r="F242" s="132">
        <f t="shared" ref="F242" si="318">(D242-D243)</f>
        <v>5.5461156454223171E-2</v>
      </c>
      <c r="G242" s="132">
        <f t="shared" ref="G242" si="319">F242^2</f>
        <v>3.0759398752398205E-3</v>
      </c>
      <c r="H242" s="132">
        <f t="shared" ref="H242" si="320">(_xlfn.STDEV.S(D242:D243)/AVERAGE(D242:D243))*100</f>
        <v>16.31456548618133</v>
      </c>
      <c r="I242" s="132">
        <f t="shared" ref="I242" si="321">AVERAGE(D242:D243)</f>
        <v>0.24038004477929123</v>
      </c>
      <c r="J242" s="132">
        <f>AVERAGE(E242:E243)</f>
        <v>0.31687582458827446</v>
      </c>
      <c r="K242" s="120">
        <v>36</v>
      </c>
      <c r="L242" s="31" t="s">
        <v>238</v>
      </c>
    </row>
    <row r="243" spans="1:12">
      <c r="A243" s="81" t="str">
        <f>VLOOKUP(B243,'Master List'!$A$4:$C$1633,3,FALSE)</f>
        <v>52-138</v>
      </c>
      <c r="B243" s="235">
        <v>397</v>
      </c>
      <c r="C243" s="24" t="s">
        <v>106</v>
      </c>
      <c r="D243" s="31">
        <v>0.21264946655217964</v>
      </c>
      <c r="E243" s="43">
        <v>0.26090568095499128</v>
      </c>
      <c r="F243" s="204"/>
      <c r="G243" s="204"/>
      <c r="H243" s="204"/>
      <c r="I243" s="205"/>
      <c r="J243" s="205"/>
    </row>
    <row r="244" spans="1:12">
      <c r="A244" s="81" t="str">
        <f>VLOOKUP(B244,'Master List'!$A$4:$C$1633,3,FALSE)</f>
        <v>52-138</v>
      </c>
      <c r="B244" s="235">
        <v>400</v>
      </c>
      <c r="C244" s="24" t="s">
        <v>105</v>
      </c>
      <c r="D244" s="31">
        <v>0.59439367647072783</v>
      </c>
      <c r="E244" s="43">
        <v>0.37690265880075241</v>
      </c>
      <c r="F244" s="132">
        <f t="shared" ref="F244" si="322">(D244-D245)</f>
        <v>9.4328944373812895E-2</v>
      </c>
      <c r="G244" s="132">
        <f t="shared" ref="G244" si="323">F244^2</f>
        <v>8.8979497466778867E-3</v>
      </c>
      <c r="H244" s="132">
        <f t="shared" ref="H244" si="324">(_xlfn.STDEV.S(D244:D245)/AVERAGE(D244:D245))*100</f>
        <v>12.188793234488509</v>
      </c>
      <c r="I244" s="132">
        <f t="shared" ref="I244" si="325">AVERAGE(D244:D245)</f>
        <v>0.54722920428382138</v>
      </c>
      <c r="J244" s="132">
        <f>AVERAGE(E244:E245)</f>
        <v>0.384831889474616</v>
      </c>
      <c r="K244" s="88">
        <v>36</v>
      </c>
      <c r="L244" s="31" t="s">
        <v>238</v>
      </c>
    </row>
    <row r="245" spans="1:12">
      <c r="A245" s="81" t="str">
        <f>VLOOKUP(B245,'Master List'!$A$4:$C$1633,3,FALSE)</f>
        <v>52-138</v>
      </c>
      <c r="B245" s="235">
        <v>400</v>
      </c>
      <c r="C245" s="24" t="s">
        <v>106</v>
      </c>
      <c r="D245" s="31">
        <v>0.50006473209691493</v>
      </c>
      <c r="E245" s="43">
        <v>0.39276112014847964</v>
      </c>
      <c r="F245" s="204"/>
      <c r="G245" s="204"/>
      <c r="H245" s="204"/>
      <c r="I245" s="205"/>
      <c r="J245" s="205"/>
    </row>
    <row r="246" spans="1:12">
      <c r="A246" s="81" t="str">
        <f>VLOOKUP(B246,'Master List'!$A$4:$C$1633,3,FALSE)</f>
        <v>52-138</v>
      </c>
      <c r="B246" s="235">
        <v>402</v>
      </c>
      <c r="C246" s="24" t="s">
        <v>105</v>
      </c>
      <c r="D246" s="31">
        <v>0.57863647992272194</v>
      </c>
      <c r="E246" s="43">
        <v>0.46960271992346203</v>
      </c>
      <c r="F246" s="132">
        <f t="shared" ref="F246" si="326">(D246-D247)</f>
        <v>4.325905714348055E-2</v>
      </c>
      <c r="G246" s="132">
        <f t="shared" ref="G246" si="327">F246^2</f>
        <v>1.8713460249429156E-3</v>
      </c>
      <c r="H246" s="132">
        <f t="shared" ref="H246" si="328">(_xlfn.STDEV.S(D246:D247)/AVERAGE(D246:D247))*100</f>
        <v>5.4916321205149261</v>
      </c>
      <c r="I246" s="132">
        <f t="shared" ref="I246" si="329">AVERAGE(D246:D247)</f>
        <v>0.55700695135098166</v>
      </c>
      <c r="J246" s="132">
        <f>AVERAGE(E246:E247)</f>
        <v>0.43598353765645226</v>
      </c>
      <c r="K246" s="88">
        <v>6</v>
      </c>
    </row>
    <row r="247" spans="1:12">
      <c r="A247" s="81" t="str">
        <f>VLOOKUP(B247,'Master List'!$A$4:$C$1633,3,FALSE)</f>
        <v>52-138</v>
      </c>
      <c r="B247" s="235">
        <v>402</v>
      </c>
      <c r="C247" s="24" t="s">
        <v>106</v>
      </c>
      <c r="D247" s="31">
        <v>0.53537742277924139</v>
      </c>
      <c r="E247" s="43">
        <v>0.40236435538944249</v>
      </c>
      <c r="F247" s="204"/>
      <c r="G247" s="204"/>
      <c r="H247" s="204"/>
      <c r="I247" s="205"/>
      <c r="J247" s="205"/>
    </row>
    <row r="248" spans="1:12">
      <c r="A248" s="81" t="str">
        <f>VLOOKUP(B248,'Master List'!$A$4:$C$1633,3,FALSE)</f>
        <v>52-138</v>
      </c>
      <c r="B248" s="235">
        <v>408</v>
      </c>
      <c r="C248" s="24" t="s">
        <v>105</v>
      </c>
      <c r="D248" s="231">
        <v>0.65237482575523864</v>
      </c>
      <c r="E248" s="232">
        <v>0.38397815049828066</v>
      </c>
      <c r="F248" s="132">
        <f t="shared" ref="F248" si="330">(D248-D249)</f>
        <v>0.13373669172006153</v>
      </c>
      <c r="G248" s="132">
        <f t="shared" ref="G248" si="331">F248^2</f>
        <v>1.7885502712226775E-2</v>
      </c>
      <c r="H248" s="132">
        <f t="shared" ref="H248" si="332">(_xlfn.STDEV.S(D248:D249)/AVERAGE(D248:D249))*100</f>
        <v>16.151165675508008</v>
      </c>
      <c r="I248" s="132"/>
      <c r="J248" s="132"/>
      <c r="K248" s="237">
        <v>2</v>
      </c>
      <c r="L248" s="119" t="s">
        <v>261</v>
      </c>
    </row>
    <row r="249" spans="1:12">
      <c r="A249" s="81" t="str">
        <f>VLOOKUP(B249,'Master List'!$A$4:$C$1633,3,FALSE)</f>
        <v>52-138</v>
      </c>
      <c r="B249" s="235">
        <v>408</v>
      </c>
      <c r="C249" s="24" t="s">
        <v>106</v>
      </c>
      <c r="D249" s="31">
        <v>0.51863813403517711</v>
      </c>
      <c r="E249" s="43">
        <v>0.41559444071492141</v>
      </c>
      <c r="F249" s="204"/>
      <c r="G249" s="204"/>
      <c r="H249" s="204"/>
      <c r="I249" s="205"/>
      <c r="J249" s="205"/>
      <c r="L249" s="119" t="s">
        <v>257</v>
      </c>
    </row>
    <row r="250" spans="1:12">
      <c r="A250" s="81" t="str">
        <f>VLOOKUP(B250,'Master List'!$A$4:$C$1633,3,FALSE)</f>
        <v>52-135</v>
      </c>
      <c r="B250" s="235">
        <v>412</v>
      </c>
      <c r="C250" s="24" t="s">
        <v>105</v>
      </c>
      <c r="D250" s="31">
        <v>8.6568393909686441E-4</v>
      </c>
      <c r="E250" s="43">
        <v>7.5303512778238643E-2</v>
      </c>
      <c r="F250" s="132"/>
      <c r="G250" s="132"/>
      <c r="H250" s="132"/>
      <c r="I250" s="132">
        <f t="shared" ref="I250" si="333">AVERAGE(D250:D251)</f>
        <v>8.7478345777487546E-3</v>
      </c>
      <c r="J250" s="132">
        <f>AVERAGE(E250:E251)</f>
        <v>5.8246731716922281E-2</v>
      </c>
      <c r="K250" s="226">
        <v>26</v>
      </c>
      <c r="L250" s="65" t="s">
        <v>233</v>
      </c>
    </row>
    <row r="251" spans="1:12">
      <c r="A251" s="81" t="str">
        <f>VLOOKUP(B251,'Master List'!$A$4:$C$1633,3,FALSE)</f>
        <v>52-135</v>
      </c>
      <c r="B251" s="235">
        <v>412</v>
      </c>
      <c r="C251" s="24" t="s">
        <v>106</v>
      </c>
      <c r="D251" s="31">
        <v>1.6629985216400644E-2</v>
      </c>
      <c r="E251" s="43">
        <v>4.1189950655605927E-2</v>
      </c>
      <c r="F251" s="204"/>
      <c r="G251" s="204"/>
      <c r="H251" s="204"/>
      <c r="I251" s="205"/>
      <c r="J251" s="205"/>
    </row>
    <row r="252" spans="1:12">
      <c r="A252" s="81" t="str">
        <f>VLOOKUP(B252,'Master List'!$A$4:$C$1633,3,FALSE)</f>
        <v>52-135</v>
      </c>
      <c r="B252" s="235">
        <v>416</v>
      </c>
      <c r="C252" s="24" t="s">
        <v>105</v>
      </c>
      <c r="D252" s="31">
        <v>4.4285963785881677E-2</v>
      </c>
      <c r="E252" s="43">
        <v>0.1109734013772762</v>
      </c>
      <c r="F252" s="132">
        <f t="shared" ref="F252" si="334">(D252-D253)</f>
        <v>1.4590927907833468E-2</v>
      </c>
      <c r="G252" s="132">
        <f t="shared" ref="G252" si="335">F252^2</f>
        <v>2.1289517721159354E-4</v>
      </c>
      <c r="H252" s="132">
        <f t="shared" ref="H252" si="336">(_xlfn.STDEV.S(D252:D253)/AVERAGE(D252:D253))*100</f>
        <v>27.8918752498647</v>
      </c>
      <c r="I252" s="132">
        <f t="shared" ref="I252" si="337">AVERAGE(D252:D253)</f>
        <v>3.6990499831964944E-2</v>
      </c>
      <c r="J252" s="132">
        <f>AVERAGE(E252:E253)</f>
        <v>0.10316192066117648</v>
      </c>
      <c r="K252" s="88">
        <v>36</v>
      </c>
      <c r="L252" s="31" t="s">
        <v>238</v>
      </c>
    </row>
    <row r="253" spans="1:12">
      <c r="A253" s="81" t="str">
        <f>VLOOKUP(B253,'Master List'!$A$4:$C$1633,3,FALSE)</f>
        <v>52-135</v>
      </c>
      <c r="B253" s="235">
        <v>416</v>
      </c>
      <c r="C253" s="24" t="s">
        <v>106</v>
      </c>
      <c r="D253" s="31">
        <v>2.9695035878048209E-2</v>
      </c>
      <c r="E253" s="43">
        <v>9.5350439945076762E-2</v>
      </c>
      <c r="F253" s="204"/>
      <c r="G253" s="204"/>
      <c r="H253" s="204"/>
      <c r="I253" s="205"/>
      <c r="J253" s="205"/>
    </row>
    <row r="254" spans="1:12">
      <c r="A254" s="81" t="str">
        <f>VLOOKUP(B254,'Master List'!$A$4:$C$1633,3,FALSE)</f>
        <v>52-135</v>
      </c>
      <c r="B254" s="235">
        <v>417</v>
      </c>
      <c r="C254" s="24" t="s">
        <v>105</v>
      </c>
      <c r="D254" s="31">
        <v>0.14621478243815475</v>
      </c>
      <c r="E254" s="43">
        <v>0.14095636078227283</v>
      </c>
      <c r="F254" s="132">
        <f t="shared" ref="F254" si="338">(D254-D255)</f>
        <v>8.3671850426598193E-3</v>
      </c>
      <c r="G254" s="132">
        <f t="shared" ref="G254" si="339">F254^2</f>
        <v>7.00097855381102E-5</v>
      </c>
      <c r="H254" s="132">
        <f t="shared" ref="H254" si="340">(_xlfn.STDEV.S(D254:D255)/AVERAGE(D254:D255))*100</f>
        <v>4.1656295962683823</v>
      </c>
      <c r="I254" s="132">
        <f t="shared" ref="I254" si="341">AVERAGE(D254:D255)</f>
        <v>0.14203118991682484</v>
      </c>
      <c r="J254" s="132">
        <f>AVERAGE(E254:E255)</f>
        <v>0.14276895238513235</v>
      </c>
      <c r="K254" s="88">
        <v>6</v>
      </c>
    </row>
    <row r="255" spans="1:12">
      <c r="A255" s="81" t="str">
        <f>VLOOKUP(B255,'Master List'!$A$4:$C$1633,3,FALSE)</f>
        <v>52-135</v>
      </c>
      <c r="B255" s="235">
        <v>417</v>
      </c>
      <c r="C255" s="24" t="s">
        <v>106</v>
      </c>
      <c r="D255" s="31">
        <v>0.13784759739549493</v>
      </c>
      <c r="E255" s="43">
        <v>0.14458154398799186</v>
      </c>
      <c r="F255" s="204"/>
      <c r="G255" s="204"/>
      <c r="H255" s="204"/>
      <c r="I255" s="205"/>
      <c r="J255" s="205"/>
    </row>
    <row r="256" spans="1:12">
      <c r="A256" s="81" t="str">
        <f>VLOOKUP(B256,'Master List'!$A$4:$C$1633,3,FALSE)</f>
        <v>52-135</v>
      </c>
      <c r="B256" s="235">
        <v>420</v>
      </c>
      <c r="C256" s="24" t="s">
        <v>105</v>
      </c>
      <c r="D256" s="31">
        <v>0.41925608757746902</v>
      </c>
      <c r="E256" s="43">
        <v>0.33370254030545848</v>
      </c>
      <c r="F256" s="132">
        <f t="shared" ref="F256" si="342">(D256-D257)</f>
        <v>3.9709971600236371E-3</v>
      </c>
      <c r="G256" s="132">
        <f t="shared" ref="G256" si="343">F256^2</f>
        <v>1.5768818444915792E-5</v>
      </c>
      <c r="H256" s="132">
        <f t="shared" ref="H256" si="344">(_xlfn.STDEV.S(D256:D257)/AVERAGE(D256:D257))*100</f>
        <v>0.67292521782366677</v>
      </c>
      <c r="I256" s="132">
        <f t="shared" ref="I256" si="345">AVERAGE(D256:D257)</f>
        <v>0.41727058899745717</v>
      </c>
      <c r="J256" s="132">
        <f>AVERAGE(E256:E257)</f>
        <v>0.31385633376468081</v>
      </c>
      <c r="K256" s="88">
        <v>6</v>
      </c>
    </row>
    <row r="257" spans="1:12">
      <c r="A257" s="81" t="str">
        <f>VLOOKUP(B257,'Master List'!$A$4:$C$1633,3,FALSE)</f>
        <v>52-135</v>
      </c>
      <c r="B257" s="235">
        <v>420</v>
      </c>
      <c r="C257" s="24" t="s">
        <v>106</v>
      </c>
      <c r="D257" s="31">
        <v>0.41528509041744538</v>
      </c>
      <c r="E257" s="43">
        <v>0.29401012722390313</v>
      </c>
      <c r="F257" s="204"/>
      <c r="G257" s="204"/>
      <c r="H257" s="204"/>
      <c r="I257" s="205"/>
      <c r="J257" s="205"/>
    </row>
    <row r="258" spans="1:12">
      <c r="A258" s="81" t="str">
        <f>VLOOKUP(B258,'Master List'!$A$4:$C$1633,3,FALSE)</f>
        <v>52-135</v>
      </c>
      <c r="B258" s="235">
        <v>422</v>
      </c>
      <c r="C258" s="24" t="s">
        <v>105</v>
      </c>
      <c r="D258" s="31">
        <v>0.85035138675383715</v>
      </c>
      <c r="E258" s="43">
        <v>0.41818926601935347</v>
      </c>
      <c r="F258" s="132">
        <f t="shared" ref="F258" si="346">(D258-D259)</f>
        <v>7.5443480864071266E-2</v>
      </c>
      <c r="G258" s="132">
        <f t="shared" ref="G258" si="347">F258^2</f>
        <v>5.6917188048874875E-3</v>
      </c>
      <c r="H258" s="132">
        <f t="shared" ref="H258" si="348">(_xlfn.STDEV.S(D258:D259)/AVERAGE(D258:D259))*100</f>
        <v>6.5646875125420987</v>
      </c>
      <c r="I258" s="132">
        <f t="shared" ref="I258" si="349">AVERAGE(D258:D259)</f>
        <v>0.81262964632180146</v>
      </c>
      <c r="J258" s="132">
        <f>AVERAGE(E258:E259)</f>
        <v>0.37482164833893838</v>
      </c>
      <c r="K258" s="88">
        <v>6</v>
      </c>
    </row>
    <row r="259" spans="1:12">
      <c r="A259" s="81" t="str">
        <f>VLOOKUP(B259,'Master List'!$A$4:$C$1633,3,FALSE)</f>
        <v>52-135</v>
      </c>
      <c r="B259" s="235">
        <v>422</v>
      </c>
      <c r="C259" s="24" t="s">
        <v>106</v>
      </c>
      <c r="D259" s="31">
        <v>0.77490790588976588</v>
      </c>
      <c r="E259" s="43">
        <v>0.33145403065852336</v>
      </c>
      <c r="F259" s="204"/>
      <c r="G259" s="204"/>
      <c r="H259" s="204"/>
      <c r="I259" s="205"/>
      <c r="J259" s="205"/>
    </row>
    <row r="260" spans="1:12">
      <c r="A260" s="81" t="str">
        <f>VLOOKUP(B260,'Master List'!$A$4:$C$1633,3,FALSE)</f>
        <v>52-135</v>
      </c>
      <c r="B260" s="235">
        <v>428</v>
      </c>
      <c r="C260" s="24" t="s">
        <v>105</v>
      </c>
      <c r="D260" s="231">
        <v>0.79015192237539078</v>
      </c>
      <c r="E260" s="232">
        <v>0.4124035002034574</v>
      </c>
      <c r="F260" s="132">
        <f t="shared" ref="F260" si="350">(D260-D261)</f>
        <v>0.12949407529379364</v>
      </c>
      <c r="G260" s="132">
        <f t="shared" ref="G260" si="351">F260^2</f>
        <v>1.6768715536194696E-2</v>
      </c>
      <c r="H260" s="132">
        <f t="shared" ref="H260" si="352">(_xlfn.STDEV.S(D260:D261)/AVERAGE(D260:D261))*100</f>
        <v>12.622762913706381</v>
      </c>
      <c r="I260" s="132"/>
      <c r="J260" s="132"/>
      <c r="K260" s="88">
        <v>2</v>
      </c>
      <c r="L260" s="119" t="s">
        <v>260</v>
      </c>
    </row>
    <row r="261" spans="1:12">
      <c r="A261" s="81" t="str">
        <f>VLOOKUP(B261,'Master List'!$A$4:$C$1633,3,FALSE)</f>
        <v>52-135</v>
      </c>
      <c r="B261" s="235">
        <v>428</v>
      </c>
      <c r="C261" s="24" t="s">
        <v>106</v>
      </c>
      <c r="D261" s="31">
        <v>0.66065784708159714</v>
      </c>
      <c r="E261" s="43">
        <v>0.31796392098501447</v>
      </c>
      <c r="F261" s="204"/>
      <c r="G261" s="204"/>
      <c r="H261" s="204"/>
      <c r="I261" s="205"/>
      <c r="J261" s="205"/>
      <c r="L261" s="119" t="s">
        <v>257</v>
      </c>
    </row>
    <row r="262" spans="1:12">
      <c r="A262" s="81" t="str">
        <f>VLOOKUP(B262,'Master List'!$A$4:$C$1633,3,FALSE)</f>
        <v>51-135</v>
      </c>
      <c r="B262" s="235">
        <v>432</v>
      </c>
      <c r="C262" s="24" t="s">
        <v>105</v>
      </c>
      <c r="D262" s="31">
        <v>1.5167504016259723E-2</v>
      </c>
      <c r="E262" s="43">
        <v>5.4814227676733697E-2</v>
      </c>
      <c r="F262" s="132"/>
      <c r="G262" s="132"/>
      <c r="H262" s="132"/>
      <c r="I262" s="132">
        <f t="shared" ref="I262" si="353">AVERAGE(D262:D263)</f>
        <v>1.3761860650503947E-2</v>
      </c>
      <c r="J262" s="132">
        <f>AVERAGE(E262:E263)</f>
        <v>5.0525102872703287E-2</v>
      </c>
      <c r="K262" s="226">
        <v>26</v>
      </c>
      <c r="L262" s="65" t="s">
        <v>233</v>
      </c>
    </row>
    <row r="263" spans="1:12">
      <c r="A263" s="81" t="str">
        <f>VLOOKUP(B263,'Master List'!$A$4:$C$1633,3,FALSE)</f>
        <v>51-135</v>
      </c>
      <c r="B263" s="235">
        <v>432</v>
      </c>
      <c r="C263" s="24" t="s">
        <v>106</v>
      </c>
      <c r="D263" s="31">
        <v>1.235621728474817E-2</v>
      </c>
      <c r="E263" s="43">
        <v>4.6235978068672884E-2</v>
      </c>
      <c r="F263" s="204"/>
      <c r="G263" s="204"/>
      <c r="H263" s="204"/>
      <c r="I263" s="205"/>
      <c r="J263" s="205"/>
    </row>
    <row r="264" spans="1:12">
      <c r="A264" s="81" t="str">
        <f>VLOOKUP(B264,'Master List'!$A$4:$C$1633,3,FALSE)</f>
        <v>51-135</v>
      </c>
      <c r="B264" s="235">
        <v>436</v>
      </c>
      <c r="C264" s="24" t="s">
        <v>105</v>
      </c>
      <c r="D264" s="31">
        <v>0.10561398708745631</v>
      </c>
      <c r="E264" s="43">
        <v>0.12047823830353045</v>
      </c>
      <c r="F264" s="132">
        <f t="shared" ref="F264" si="354">(D264-D265)</f>
        <v>1.3623045170370968E-2</v>
      </c>
      <c r="G264" s="132">
        <f t="shared" ref="G264" si="355">F264^2</f>
        <v>1.8558735971396776E-4</v>
      </c>
      <c r="H264" s="132">
        <f t="shared" ref="H264" si="356">(_xlfn.STDEV.S(D264:D265)/AVERAGE(D264:D265))*100</f>
        <v>9.7497037841182177</v>
      </c>
      <c r="I264" s="132">
        <f t="shared" ref="I264" si="357">AVERAGE(D264:D265)</f>
        <v>9.8802464502270829E-2</v>
      </c>
      <c r="J264" s="132">
        <f>AVERAGE(E264:E265)</f>
        <v>0.12127223989615014</v>
      </c>
      <c r="K264" s="88">
        <v>6</v>
      </c>
    </row>
    <row r="265" spans="1:12">
      <c r="A265" s="81" t="str">
        <f>VLOOKUP(B265,'Master List'!$A$4:$C$1633,3,FALSE)</f>
        <v>51-135</v>
      </c>
      <c r="B265" s="235">
        <v>436</v>
      </c>
      <c r="C265" s="24" t="s">
        <v>106</v>
      </c>
      <c r="D265" s="31">
        <v>9.1990941917085345E-2</v>
      </c>
      <c r="E265" s="43">
        <v>0.12206624148876984</v>
      </c>
      <c r="F265" s="204"/>
      <c r="G265" s="204"/>
      <c r="H265" s="204"/>
      <c r="I265" s="205"/>
      <c r="J265" s="205"/>
    </row>
    <row r="266" spans="1:12">
      <c r="A266" s="81" t="str">
        <f>VLOOKUP(B266,'Master List'!$A$4:$C$1633,3,FALSE)</f>
        <v>51-135</v>
      </c>
      <c r="B266" s="235">
        <v>437</v>
      </c>
      <c r="C266" s="24" t="s">
        <v>105</v>
      </c>
      <c r="D266" s="31">
        <v>0.25641842465221187</v>
      </c>
      <c r="E266" s="43">
        <v>0.23577329239489336</v>
      </c>
      <c r="F266" s="132">
        <f t="shared" ref="F266" si="358">(D266-D267)</f>
        <v>3.072631466155562E-2</v>
      </c>
      <c r="G266" s="132">
        <f t="shared" ref="G266" si="359">F266^2</f>
        <v>9.4410641268092785E-4</v>
      </c>
      <c r="H266" s="132">
        <f t="shared" ref="H266" si="360">(_xlfn.STDEV.S(D266:D267)/AVERAGE(D266:D267))*100</f>
        <v>9.0131967243371349</v>
      </c>
      <c r="I266" s="132">
        <f t="shared" ref="I266" si="361">AVERAGE(D266:D267)</f>
        <v>0.24105526732143406</v>
      </c>
      <c r="J266" s="132">
        <f>AVERAGE(E266:E267)</f>
        <v>0.21014637177400994</v>
      </c>
      <c r="K266" s="88">
        <v>6</v>
      </c>
    </row>
    <row r="267" spans="1:12">
      <c r="A267" s="81" t="str">
        <f>VLOOKUP(B267,'Master List'!$A$4:$C$1633,3,FALSE)</f>
        <v>51-135</v>
      </c>
      <c r="B267" s="235">
        <v>437</v>
      </c>
      <c r="C267" s="24" t="s">
        <v>106</v>
      </c>
      <c r="D267" s="31">
        <v>0.22569210999065625</v>
      </c>
      <c r="E267" s="43">
        <v>0.18451945115312651</v>
      </c>
      <c r="F267" s="204"/>
      <c r="G267" s="204"/>
      <c r="H267" s="204"/>
      <c r="I267" s="205"/>
      <c r="J267" s="205"/>
    </row>
    <row r="268" spans="1:12">
      <c r="A268" s="81" t="str">
        <f>VLOOKUP(B268,'Master List'!$A$4:$C$1633,3,FALSE)</f>
        <v>51-135</v>
      </c>
      <c r="B268" s="235">
        <v>440</v>
      </c>
      <c r="C268" s="24" t="s">
        <v>105</v>
      </c>
      <c r="D268" s="231">
        <v>0.52134339634485483</v>
      </c>
      <c r="E268" s="232">
        <v>0.26148923281455272</v>
      </c>
      <c r="F268" s="132">
        <f t="shared" ref="F268" si="362">(D268-D269)</f>
        <v>9.5630202870649716E-2</v>
      </c>
      <c r="G268" s="132">
        <f t="shared" ref="G268" si="363">F268^2</f>
        <v>9.145135701081622E-3</v>
      </c>
      <c r="H268" s="132">
        <f t="shared" ref="H268" si="364">(_xlfn.STDEV.S(D268:D269)/AVERAGE(D268:D269))*100</f>
        <v>14.280195220224615</v>
      </c>
      <c r="I268" s="132"/>
      <c r="J268" s="132"/>
      <c r="K268" s="88">
        <v>2</v>
      </c>
      <c r="L268" s="119" t="s">
        <v>259</v>
      </c>
    </row>
    <row r="269" spans="1:12">
      <c r="A269" s="81" t="str">
        <f>VLOOKUP(B269,'Master List'!$A$4:$C$1633,3,FALSE)</f>
        <v>51-135</v>
      </c>
      <c r="B269" s="235">
        <v>440</v>
      </c>
      <c r="C269" s="24" t="s">
        <v>106</v>
      </c>
      <c r="D269" s="31">
        <v>0.42571319347420511</v>
      </c>
      <c r="E269" s="43">
        <v>0.28612883735053157</v>
      </c>
      <c r="F269" s="204"/>
      <c r="G269" s="204"/>
      <c r="H269" s="204"/>
      <c r="I269" s="205"/>
      <c r="J269" s="205"/>
      <c r="L269" s="119" t="s">
        <v>257</v>
      </c>
    </row>
    <row r="270" spans="1:12">
      <c r="A270" s="81" t="str">
        <f>VLOOKUP(B270,'Master List'!$A$4:$C$1633,3,FALSE)</f>
        <v>51-135</v>
      </c>
      <c r="B270" s="235">
        <v>442</v>
      </c>
      <c r="C270" s="24" t="s">
        <v>105</v>
      </c>
      <c r="D270" s="31">
        <v>0.61712498460131893</v>
      </c>
      <c r="E270" s="43">
        <v>0.42069317210295704</v>
      </c>
      <c r="F270" s="132">
        <f t="shared" ref="F270" si="365">(D270-D271)</f>
        <v>4.3289662131227313E-3</v>
      </c>
      <c r="G270" s="132">
        <f t="shared" ref="G270" si="366">F270^2</f>
        <v>1.873994847435816E-5</v>
      </c>
      <c r="H270" s="132">
        <f t="shared" ref="H270" si="367">(_xlfn.STDEV.S(D270:D271)/AVERAGE(D270:D271))*100</f>
        <v>0.49776227211116697</v>
      </c>
      <c r="I270" s="132">
        <f t="shared" ref="I270" si="368">AVERAGE(D270:D271)</f>
        <v>0.61496050149475756</v>
      </c>
      <c r="J270" s="132">
        <f>AVERAGE(E270:E271)</f>
        <v>0.36721272126905802</v>
      </c>
      <c r="K270" s="88">
        <v>6</v>
      </c>
    </row>
    <row r="271" spans="1:12">
      <c r="A271" s="81" t="str">
        <f>VLOOKUP(B271,'Master List'!$A$4:$C$1633,3,FALSE)</f>
        <v>51-135</v>
      </c>
      <c r="B271" s="235">
        <v>442</v>
      </c>
      <c r="C271" s="24" t="s">
        <v>106</v>
      </c>
      <c r="D271" s="31">
        <v>0.6127960183881962</v>
      </c>
      <c r="E271" s="43">
        <v>0.31373227043515894</v>
      </c>
      <c r="F271" s="204"/>
      <c r="G271" s="204"/>
      <c r="H271" s="204"/>
      <c r="I271" s="205"/>
      <c r="J271" s="205"/>
    </row>
    <row r="272" spans="1:12">
      <c r="A272" s="81" t="str">
        <f>VLOOKUP(B272,'Master List'!$A$4:$C$1633,3,FALSE)</f>
        <v>51-135</v>
      </c>
      <c r="B272" s="235">
        <v>448</v>
      </c>
      <c r="C272" s="24" t="s">
        <v>105</v>
      </c>
      <c r="D272" s="31">
        <v>0.65899807301402336</v>
      </c>
      <c r="E272" s="43">
        <v>0.25872692717985818</v>
      </c>
      <c r="F272" s="132">
        <f t="shared" ref="F272" si="369">(D272-D273)</f>
        <v>4.5550059083313221E-2</v>
      </c>
      <c r="G272" s="132">
        <f t="shared" ref="G272" si="370">F272^2</f>
        <v>2.0748078824933255E-3</v>
      </c>
      <c r="H272" s="132">
        <f t="shared" ref="H272" si="371">(_xlfn.STDEV.S(D272:D273)/AVERAGE(D272:D273))*100</f>
        <v>5.06249435504101</v>
      </c>
      <c r="I272" s="132">
        <f t="shared" ref="I272" si="372">AVERAGE(D272:D273)</f>
        <v>0.6362230434723668</v>
      </c>
      <c r="J272" s="132">
        <f>AVERAGE(E272:E273)</f>
        <v>0.28552310479936016</v>
      </c>
      <c r="K272" s="88">
        <v>6</v>
      </c>
    </row>
    <row r="273" spans="1:12">
      <c r="A273" s="81" t="str">
        <f>VLOOKUP(B273,'Master List'!$A$4:$C$1633,3,FALSE)</f>
        <v>51-135</v>
      </c>
      <c r="B273" s="235">
        <v>448</v>
      </c>
      <c r="C273" s="24" t="s">
        <v>106</v>
      </c>
      <c r="D273" s="31">
        <v>0.61344801393071013</v>
      </c>
      <c r="E273" s="43">
        <v>0.31231928241886214</v>
      </c>
      <c r="F273" s="204"/>
      <c r="G273" s="204"/>
      <c r="H273" s="204"/>
      <c r="I273" s="205"/>
      <c r="J273" s="205"/>
    </row>
    <row r="274" spans="1:12">
      <c r="A274" s="81" t="str">
        <f>VLOOKUP(B274,'Master List'!$A$4:$C$1633,3,FALSE)</f>
        <v>53-135</v>
      </c>
      <c r="B274" s="235">
        <v>452</v>
      </c>
      <c r="C274" s="24" t="s">
        <v>105</v>
      </c>
      <c r="D274" s="31">
        <v>9.7220022680518884E-3</v>
      </c>
      <c r="E274" s="43">
        <v>5.6422843867737577E-2</v>
      </c>
      <c r="F274" s="132"/>
      <c r="G274" s="132"/>
      <c r="H274" s="132"/>
      <c r="I274" s="132">
        <f t="shared" ref="I274" si="373">AVERAGE(D274:D275)</f>
        <v>9.2208455937136148E-3</v>
      </c>
      <c r="J274" s="132">
        <f>AVERAGE(E274:E275)</f>
        <v>6.9365828448572558E-2</v>
      </c>
      <c r="K274" s="88">
        <v>26</v>
      </c>
      <c r="L274" s="65" t="s">
        <v>233</v>
      </c>
    </row>
    <row r="275" spans="1:12">
      <c r="A275" s="81" t="str">
        <f>VLOOKUP(B275,'Master List'!$A$4:$C$1633,3,FALSE)</f>
        <v>53-135</v>
      </c>
      <c r="B275" s="235">
        <v>452</v>
      </c>
      <c r="C275" s="24" t="s">
        <v>106</v>
      </c>
      <c r="D275" s="31">
        <v>8.7196889193753395E-3</v>
      </c>
      <c r="E275" s="43">
        <v>8.2308813029407527E-2</v>
      </c>
      <c r="F275" s="204"/>
      <c r="G275" s="204"/>
      <c r="H275" s="204"/>
      <c r="I275" s="205"/>
      <c r="J275" s="205"/>
    </row>
    <row r="276" spans="1:12">
      <c r="A276" s="81" t="str">
        <f>VLOOKUP(B276,'Master List'!$A$4:$C$1633,3,FALSE)</f>
        <v>53-135</v>
      </c>
      <c r="B276" s="235">
        <v>456</v>
      </c>
      <c r="C276" s="24" t="s">
        <v>105</v>
      </c>
      <c r="D276" s="31">
        <v>3.8455167102659116E-2</v>
      </c>
      <c r="E276" s="43">
        <v>0.12290434377569615</v>
      </c>
      <c r="F276" s="132">
        <f t="shared" ref="F276" si="374">(D276-D277)</f>
        <v>6.7587836330876977E-3</v>
      </c>
      <c r="G276" s="132">
        <f t="shared" ref="G276" si="375">F276^2</f>
        <v>4.5681156198894136E-5</v>
      </c>
      <c r="H276" s="132">
        <f t="shared" ref="H276" si="376">(_xlfn.STDEV.S(D276:D277)/AVERAGE(D276:D277))*100</f>
        <v>13.625306071055823</v>
      </c>
      <c r="I276" s="132">
        <f t="shared" ref="I276" si="377">AVERAGE(D276:D277)</f>
        <v>3.5075775286115267E-2</v>
      </c>
      <c r="J276" s="132">
        <f>AVERAGE(E276:E277)</f>
        <v>0.1051517585912367</v>
      </c>
      <c r="K276" s="88">
        <v>36</v>
      </c>
      <c r="L276" s="31" t="s">
        <v>238</v>
      </c>
    </row>
    <row r="277" spans="1:12">
      <c r="A277" s="81" t="str">
        <f>VLOOKUP(B277,'Master List'!$A$4:$C$1633,3,FALSE)</f>
        <v>53-135</v>
      </c>
      <c r="B277" s="235">
        <v>456</v>
      </c>
      <c r="C277" s="24" t="s">
        <v>106</v>
      </c>
      <c r="D277" s="31">
        <v>3.1696383469571418E-2</v>
      </c>
      <c r="E277" s="43">
        <v>8.7399173406777247E-2</v>
      </c>
      <c r="F277" s="204"/>
      <c r="G277" s="204"/>
      <c r="H277" s="204"/>
      <c r="I277" s="205"/>
      <c r="J277" s="205"/>
    </row>
    <row r="278" spans="1:12">
      <c r="A278" s="81" t="str">
        <f>VLOOKUP(B278,'Master List'!$A$4:$C$1633,3,FALSE)</f>
        <v>53-135</v>
      </c>
      <c r="B278" s="235">
        <v>457</v>
      </c>
      <c r="C278" s="24" t="s">
        <v>105</v>
      </c>
      <c r="D278" s="31">
        <v>0.19972377788830337</v>
      </c>
      <c r="E278" s="43">
        <v>0.34222773944636758</v>
      </c>
      <c r="F278" s="132">
        <f t="shared" ref="F278" si="378">(D278-D279)</f>
        <v>7.4348259516879844E-3</v>
      </c>
      <c r="G278" s="132">
        <f t="shared" ref="G278" si="379">F278^2</f>
        <v>5.5276636931893143E-5</v>
      </c>
      <c r="H278" s="132">
        <f t="shared" ref="H278" si="380">(_xlfn.STDEV.S(D278:D279)/AVERAGE(D278:D279))*100</f>
        <v>2.6821658825866628</v>
      </c>
      <c r="I278" s="132">
        <f t="shared" ref="I278" si="381">AVERAGE(D278:D279)</f>
        <v>0.19600636491245937</v>
      </c>
      <c r="J278" s="132">
        <f>AVERAGE(E278:E279)</f>
        <v>0.29310781594594515</v>
      </c>
      <c r="K278" s="88">
        <v>6</v>
      </c>
    </row>
    <row r="279" spans="1:12">
      <c r="A279" s="81" t="str">
        <f>VLOOKUP(B279,'Master List'!$A$4:$C$1633,3,FALSE)</f>
        <v>53-135</v>
      </c>
      <c r="B279" s="235">
        <v>457</v>
      </c>
      <c r="C279" s="24" t="s">
        <v>106</v>
      </c>
      <c r="D279" s="31">
        <v>0.19228895193661538</v>
      </c>
      <c r="E279" s="43">
        <v>0.24398789244552271</v>
      </c>
      <c r="F279" s="204"/>
      <c r="G279" s="204"/>
      <c r="H279" s="204"/>
      <c r="I279" s="205"/>
      <c r="J279" s="205"/>
    </row>
    <row r="280" spans="1:12">
      <c r="A280" s="81" t="str">
        <f>VLOOKUP(B280,'Master List'!$A$4:$C$1633,3,FALSE)</f>
        <v>53-135</v>
      </c>
      <c r="B280" s="235">
        <v>460</v>
      </c>
      <c r="C280" s="24" t="s">
        <v>105</v>
      </c>
      <c r="D280" s="31">
        <v>0.45627500632662671</v>
      </c>
      <c r="E280" s="43">
        <v>0.39276678480380067</v>
      </c>
      <c r="F280" s="132">
        <f t="shared" ref="F280" si="382">(D280-D281)</f>
        <v>6.0421350539603846E-2</v>
      </c>
      <c r="G280" s="132">
        <f t="shared" ref="G280" si="383">F280^2</f>
        <v>3.6507396010296862E-3</v>
      </c>
      <c r="H280" s="132">
        <f t="shared" ref="H280" si="384">(_xlfn.STDEV.S(D280:D281)/AVERAGE(D280:D281))*100</f>
        <v>10.02767506705581</v>
      </c>
      <c r="I280" s="132">
        <f t="shared" ref="I280" si="385">AVERAGE(D280:D281)</f>
        <v>0.42606433105682479</v>
      </c>
      <c r="J280" s="132">
        <f>AVERAGE(E280:E281)</f>
        <v>0.36427353356116843</v>
      </c>
      <c r="K280" s="120">
        <v>36</v>
      </c>
      <c r="L280" s="31" t="s">
        <v>238</v>
      </c>
    </row>
    <row r="281" spans="1:12">
      <c r="A281" s="81" t="str">
        <f>VLOOKUP(B281,'Master List'!$A$4:$C$1633,3,FALSE)</f>
        <v>53-135</v>
      </c>
      <c r="B281" s="235">
        <v>460</v>
      </c>
      <c r="C281" s="24" t="s">
        <v>106</v>
      </c>
      <c r="D281" s="31">
        <v>0.39585365578702286</v>
      </c>
      <c r="E281" s="43">
        <v>0.33578028231853624</v>
      </c>
      <c r="F281" s="204"/>
      <c r="G281" s="204"/>
      <c r="H281" s="204"/>
      <c r="I281" s="205"/>
      <c r="J281" s="205"/>
    </row>
    <row r="282" spans="1:12">
      <c r="A282" s="81" t="str">
        <f>VLOOKUP(B282,'Master List'!$A$4:$C$1633,3,FALSE)</f>
        <v>53-135</v>
      </c>
      <c r="B282" s="235">
        <v>462</v>
      </c>
      <c r="C282" s="24" t="s">
        <v>105</v>
      </c>
      <c r="D282" s="231">
        <v>0.42159955521057968</v>
      </c>
      <c r="E282" s="232">
        <v>0.27623007378968339</v>
      </c>
      <c r="F282" s="132">
        <f t="shared" ref="F282" si="386">(D282-D283)</f>
        <v>0.11913264738890811</v>
      </c>
      <c r="G282" s="132">
        <f t="shared" ref="G282" si="387">F282^2</f>
        <v>1.4192587673889914E-2</v>
      </c>
      <c r="H282" s="132">
        <f t="shared" ref="H282" si="388">(_xlfn.STDEV.S(D282:D283)/AVERAGE(D282:D283))*100</f>
        <v>23.268444854253783</v>
      </c>
      <c r="I282" s="132"/>
      <c r="J282" s="132"/>
      <c r="K282" s="88">
        <v>2</v>
      </c>
      <c r="L282" s="119" t="s">
        <v>258</v>
      </c>
    </row>
    <row r="283" spans="1:12">
      <c r="A283" s="81" t="str">
        <f>VLOOKUP(B283,'Master List'!$A$4:$C$1633,3,FALSE)</f>
        <v>53-135</v>
      </c>
      <c r="B283" s="235">
        <v>462</v>
      </c>
      <c r="C283" s="24" t="s">
        <v>106</v>
      </c>
      <c r="D283" s="31">
        <v>0.30246690782167157</v>
      </c>
      <c r="E283" s="43">
        <v>0.19159325465767038</v>
      </c>
      <c r="F283" s="204"/>
      <c r="G283" s="204"/>
      <c r="H283" s="204"/>
      <c r="I283" s="205"/>
      <c r="J283" s="205"/>
      <c r="L283" s="119" t="s">
        <v>257</v>
      </c>
    </row>
    <row r="284" spans="1:12">
      <c r="A284" s="81" t="str">
        <f>VLOOKUP(B284,'Master List'!$A$4:$C$1633,3,FALSE)</f>
        <v>53-135</v>
      </c>
      <c r="B284" s="235">
        <v>468</v>
      </c>
      <c r="C284" s="24" t="s">
        <v>105</v>
      </c>
      <c r="D284" s="31">
        <v>0.35143051607392306</v>
      </c>
      <c r="E284" s="43">
        <v>0.1531483369468005</v>
      </c>
      <c r="F284" s="132">
        <f t="shared" ref="F284" si="389">(D284-D285)</f>
        <v>7.1724428335311896E-2</v>
      </c>
      <c r="G284" s="132">
        <f t="shared" ref="G284" si="390">F284^2</f>
        <v>5.1443936200272922E-3</v>
      </c>
      <c r="H284" s="132">
        <f t="shared" ref="H284" si="391">(_xlfn.STDEV.S(D284:D285)/AVERAGE(D284:D285))*100</f>
        <v>16.071585563651496</v>
      </c>
      <c r="I284" s="132">
        <f t="shared" ref="I284" si="392">AVERAGE(D284:D285)</f>
        <v>0.31556830190626711</v>
      </c>
      <c r="J284" s="132">
        <f>AVERAGE(E284:E285)</f>
        <v>0.13113357601631498</v>
      </c>
      <c r="K284" s="120">
        <v>36</v>
      </c>
      <c r="L284" s="31" t="s">
        <v>238</v>
      </c>
    </row>
    <row r="285" spans="1:12">
      <c r="A285" s="81" t="str">
        <f>VLOOKUP(B285,'Master List'!$A$4:$C$1633,3,FALSE)</f>
        <v>53-135</v>
      </c>
      <c r="B285" s="235">
        <v>468</v>
      </c>
      <c r="C285" s="24" t="s">
        <v>106</v>
      </c>
      <c r="D285" s="31">
        <v>0.27970608773861116</v>
      </c>
      <c r="E285" s="43">
        <v>0.10911881508582945</v>
      </c>
      <c r="F285" s="204"/>
      <c r="G285" s="204"/>
      <c r="H285" s="204"/>
      <c r="I285" s="205"/>
      <c r="J285" s="205"/>
    </row>
    <row r="286" spans="1:12">
      <c r="A286" s="81" t="str">
        <f>VLOOKUP(B286,'Master List'!$A$4:$C$1633,3,FALSE)</f>
        <v>55-138</v>
      </c>
      <c r="B286" s="235">
        <v>472</v>
      </c>
      <c r="C286" s="24" t="s">
        <v>105</v>
      </c>
      <c r="D286" s="31">
        <v>7.1424390151875027E-3</v>
      </c>
      <c r="E286" s="43">
        <v>6.5273905243529592E-2</v>
      </c>
      <c r="F286" s="132"/>
      <c r="G286" s="132"/>
      <c r="H286" s="132"/>
      <c r="I286" s="132">
        <f t="shared" ref="I286" si="393">AVERAGE(D286:D287)</f>
        <v>5.5509796524033529E-3</v>
      </c>
      <c r="J286" s="132">
        <f>AVERAGE(E286:E287)</f>
        <v>6.3091621237711767E-2</v>
      </c>
      <c r="K286" s="226">
        <v>26</v>
      </c>
      <c r="L286" s="65" t="s">
        <v>233</v>
      </c>
    </row>
    <row r="287" spans="1:12">
      <c r="A287" s="81" t="str">
        <f>VLOOKUP(B287,'Master List'!$A$4:$C$1633,3,FALSE)</f>
        <v>55-138</v>
      </c>
      <c r="B287" s="235">
        <v>472</v>
      </c>
      <c r="C287" s="24" t="s">
        <v>106</v>
      </c>
      <c r="D287" s="31">
        <v>3.9595202896192038E-3</v>
      </c>
      <c r="E287" s="43">
        <v>6.0909337231893936E-2</v>
      </c>
      <c r="F287" s="204"/>
      <c r="G287" s="204"/>
      <c r="H287" s="204"/>
      <c r="I287" s="205"/>
      <c r="J287" s="205"/>
    </row>
    <row r="288" spans="1:12">
      <c r="A288" s="81" t="str">
        <f>VLOOKUP(B288,'Master List'!$A$4:$C$1633,3,FALSE)</f>
        <v>55-138</v>
      </c>
      <c r="B288" s="235">
        <v>476</v>
      </c>
      <c r="C288" s="24" t="s">
        <v>105</v>
      </c>
      <c r="D288" s="31">
        <v>2.2353664442512709E-2</v>
      </c>
      <c r="E288" s="43">
        <v>9.1177399039789886E-2</v>
      </c>
      <c r="F288" s="132"/>
      <c r="G288" s="132"/>
      <c r="H288" s="132"/>
      <c r="I288" s="132">
        <f t="shared" ref="I288" si="394">AVERAGE(D288:D289)</f>
        <v>1.868243220710664E-2</v>
      </c>
      <c r="J288" s="132">
        <f>AVERAGE(E288:E289)</f>
        <v>0.10385613441799202</v>
      </c>
      <c r="K288" s="226">
        <v>26</v>
      </c>
      <c r="L288" s="65" t="s">
        <v>233</v>
      </c>
    </row>
    <row r="289" spans="1:12">
      <c r="A289" s="81" t="str">
        <f>VLOOKUP(B289,'Master List'!$A$4:$C$1633,3,FALSE)</f>
        <v>55-138</v>
      </c>
      <c r="B289" s="235">
        <v>476</v>
      </c>
      <c r="C289" s="24" t="s">
        <v>106</v>
      </c>
      <c r="D289" s="31">
        <v>1.5011199971700572E-2</v>
      </c>
      <c r="E289" s="43">
        <v>0.11653486979619414</v>
      </c>
      <c r="F289" s="204"/>
      <c r="G289" s="204"/>
      <c r="H289" s="204"/>
      <c r="I289" s="205"/>
      <c r="J289" s="205"/>
    </row>
    <row r="290" spans="1:12">
      <c r="A290" s="81" t="str">
        <f>VLOOKUP(B290,'Master List'!$A$4:$C$1633,3,FALSE)</f>
        <v>55-138</v>
      </c>
      <c r="B290" s="235">
        <v>477</v>
      </c>
      <c r="C290" s="24" t="s">
        <v>105</v>
      </c>
      <c r="D290" s="31">
        <v>7.9727086113213011E-2</v>
      </c>
      <c r="E290" s="43">
        <v>0.12961626297478038</v>
      </c>
      <c r="F290" s="132">
        <f t="shared" ref="F290" si="395">(D290-D291)</f>
        <v>3.424916735815816E-2</v>
      </c>
      <c r="G290" s="132">
        <f t="shared" ref="G290" si="396">F290^2</f>
        <v>1.1730054647271263E-3</v>
      </c>
      <c r="H290" s="132">
        <f t="shared" ref="H290" si="397">(_xlfn.STDEV.S(D290:D291)/AVERAGE(D290:D291))*100</f>
        <v>38.685064569786036</v>
      </c>
      <c r="I290" s="132">
        <f t="shared" ref="I290" si="398">AVERAGE(D290:D291)</f>
        <v>6.2602502434133928E-2</v>
      </c>
      <c r="J290" s="132">
        <f>AVERAGE(E290:E291)</f>
        <v>0.18598641625723117</v>
      </c>
      <c r="K290" s="120">
        <v>46</v>
      </c>
      <c r="L290" s="119" t="s">
        <v>239</v>
      </c>
    </row>
    <row r="291" spans="1:12">
      <c r="A291" s="81" t="str">
        <f>VLOOKUP(B291,'Master List'!$A$4:$C$1633,3,FALSE)</f>
        <v>55-138</v>
      </c>
      <c r="B291" s="235">
        <v>477</v>
      </c>
      <c r="C291" s="24" t="s">
        <v>106</v>
      </c>
      <c r="D291" s="31">
        <v>4.5477918755054851E-2</v>
      </c>
      <c r="E291" s="43">
        <v>0.24235656953968193</v>
      </c>
      <c r="F291" s="204"/>
      <c r="G291" s="204"/>
      <c r="H291" s="204"/>
      <c r="I291" s="205"/>
      <c r="J291" s="205"/>
    </row>
    <row r="292" spans="1:12">
      <c r="A292" s="81" t="str">
        <f>VLOOKUP(B292,'Master List'!$A$4:$C$1633,3,FALSE)</f>
        <v>55-138</v>
      </c>
      <c r="B292" s="235">
        <v>480</v>
      </c>
      <c r="C292" s="24" t="s">
        <v>105</v>
      </c>
      <c r="D292" s="31">
        <v>0.14690722028590469</v>
      </c>
      <c r="E292" s="43">
        <v>0.26679101026120045</v>
      </c>
      <c r="F292" s="132">
        <f t="shared" ref="F292" si="399">(D292-D293)</f>
        <v>2.1970009060414131E-3</v>
      </c>
      <c r="G292" s="132">
        <f t="shared" ref="G292" si="400">F292^2</f>
        <v>4.8268129811467896E-6</v>
      </c>
      <c r="H292" s="132">
        <f t="shared" ref="H292" si="401">(_xlfn.STDEV.S(D292:D293)/AVERAGE(D292:D293))*100</f>
        <v>1.0654467309742546</v>
      </c>
      <c r="I292" s="132">
        <f t="shared" ref="I292" si="402">AVERAGE(D292:D293)</f>
        <v>0.14580871983288399</v>
      </c>
      <c r="J292" s="132">
        <f>AVERAGE(E292:E293)</f>
        <v>0.26180955172103038</v>
      </c>
      <c r="K292" s="88">
        <v>6</v>
      </c>
    </row>
    <row r="293" spans="1:12">
      <c r="A293" s="81" t="str">
        <f>VLOOKUP(B293,'Master List'!$A$4:$C$1633,3,FALSE)</f>
        <v>55-138</v>
      </c>
      <c r="B293" s="235">
        <v>480</v>
      </c>
      <c r="C293" s="24" t="s">
        <v>106</v>
      </c>
      <c r="D293" s="31">
        <v>0.14471021937986328</v>
      </c>
      <c r="E293" s="43">
        <v>0.25682809318086036</v>
      </c>
      <c r="F293" s="204"/>
      <c r="G293" s="204"/>
      <c r="H293" s="204"/>
      <c r="I293" s="205"/>
      <c r="J293" s="205"/>
    </row>
    <row r="294" spans="1:12">
      <c r="A294" s="81" t="str">
        <f>VLOOKUP(B294,'Master List'!$A$4:$C$1633,3,FALSE)</f>
        <v>55-138</v>
      </c>
      <c r="B294" s="235">
        <v>482</v>
      </c>
      <c r="C294" s="24" t="s">
        <v>105</v>
      </c>
      <c r="D294" s="31">
        <v>0.6207052216499449</v>
      </c>
      <c r="E294" s="43">
        <v>0.31111198833913384</v>
      </c>
      <c r="F294" s="132">
        <f t="shared" ref="F294" si="403">(D294-D295)</f>
        <v>3.7476354012430546E-2</v>
      </c>
      <c r="G294" s="132">
        <f t="shared" ref="G294" si="404">F294^2</f>
        <v>1.4044771100650191E-3</v>
      </c>
      <c r="H294" s="132">
        <f t="shared" ref="H294" si="405">(_xlfn.STDEV.S(D294:D295)/AVERAGE(D294:D295))*100</f>
        <v>4.402198474506366</v>
      </c>
      <c r="I294" s="132">
        <f t="shared" ref="I294" si="406">AVERAGE(D294:D295)</f>
        <v>0.60196704464372963</v>
      </c>
      <c r="J294" s="132">
        <f>AVERAGE(E294:E295)</f>
        <v>0.31371440204097417</v>
      </c>
      <c r="K294" s="88">
        <v>6</v>
      </c>
    </row>
    <row r="295" spans="1:12">
      <c r="A295" s="81" t="str">
        <f>VLOOKUP(B295,'Master List'!$A$4:$C$1633,3,FALSE)</f>
        <v>55-138</v>
      </c>
      <c r="B295" s="235">
        <v>482</v>
      </c>
      <c r="C295" s="24" t="s">
        <v>106</v>
      </c>
      <c r="D295" s="31">
        <v>0.58322886763751436</v>
      </c>
      <c r="E295" s="43">
        <v>0.31631681574281451</v>
      </c>
      <c r="F295" s="204"/>
      <c r="G295" s="204"/>
      <c r="H295" s="204"/>
      <c r="I295" s="205"/>
      <c r="J295" s="205"/>
    </row>
    <row r="296" spans="1:12">
      <c r="A296" s="81" t="str">
        <f>VLOOKUP(B296,'Master List'!$A$4:$C$1633,3,FALSE)</f>
        <v>55-138</v>
      </c>
      <c r="B296" s="235">
        <v>488</v>
      </c>
      <c r="C296" s="24" t="s">
        <v>105</v>
      </c>
      <c r="D296" s="31">
        <v>0.74820450756387458</v>
      </c>
      <c r="E296" s="43">
        <v>0.34700496926375674</v>
      </c>
      <c r="F296" s="132">
        <f t="shared" ref="F296" si="407">(D296-D297)</f>
        <v>4.5227067159066658E-2</v>
      </c>
      <c r="G296" s="132">
        <f t="shared" ref="G296" si="408">F296^2</f>
        <v>2.0454876038107257E-3</v>
      </c>
      <c r="H296" s="132">
        <f t="shared" ref="H296" si="409">(_xlfn.STDEV.S(D296:D297)/AVERAGE(D296:D297))*100</f>
        <v>4.4074922412204094</v>
      </c>
      <c r="I296" s="132">
        <f t="shared" ref="I296" si="410">AVERAGE(D296:D297)</f>
        <v>0.72559097398434125</v>
      </c>
      <c r="J296" s="132">
        <f>AVERAGE(E296:E297)</f>
        <v>0.31547536712838886</v>
      </c>
      <c r="K296" s="88">
        <v>6</v>
      </c>
    </row>
    <row r="297" spans="1:12">
      <c r="A297" s="81" t="str">
        <f>VLOOKUP(B297,'Master List'!$A$4:$C$1633,3,FALSE)</f>
        <v>55-138</v>
      </c>
      <c r="B297" s="235">
        <v>488</v>
      </c>
      <c r="C297" s="24" t="s">
        <v>106</v>
      </c>
      <c r="D297" s="31">
        <v>0.70297744040480792</v>
      </c>
      <c r="E297" s="43">
        <v>0.28394576499302093</v>
      </c>
      <c r="F297" s="204"/>
      <c r="G297" s="204"/>
      <c r="H297" s="204"/>
      <c r="I297" s="205"/>
      <c r="J297" s="205"/>
    </row>
    <row r="298" spans="1:12">
      <c r="A298" s="81" t="str">
        <f>VLOOKUP(B298,'Master List'!$A$4:$C$1633,3,FALSE)</f>
        <v>54-138</v>
      </c>
      <c r="B298" s="235">
        <v>493</v>
      </c>
      <c r="C298" s="24" t="s">
        <v>105</v>
      </c>
      <c r="D298" s="31">
        <v>9.4629529074888204E-3</v>
      </c>
      <c r="E298" s="43">
        <v>6.9101891307511168E-2</v>
      </c>
      <c r="F298" s="132"/>
      <c r="G298" s="132"/>
      <c r="H298" s="132"/>
      <c r="I298" s="132">
        <f t="shared" ref="I298" si="411">AVERAGE(D298:D299)</f>
        <v>9.3940916850606543E-3</v>
      </c>
      <c r="J298" s="132">
        <f>AVERAGE(E298:E299)</f>
        <v>5.8164059720514992E-2</v>
      </c>
      <c r="K298" s="226">
        <v>26</v>
      </c>
      <c r="L298" s="65" t="s">
        <v>233</v>
      </c>
    </row>
    <row r="299" spans="1:12">
      <c r="A299" s="81" t="str">
        <f>VLOOKUP(B299,'Master List'!$A$4:$C$1633,3,FALSE)</f>
        <v>54-138</v>
      </c>
      <c r="B299" s="235">
        <v>493</v>
      </c>
      <c r="C299" s="24" t="s">
        <v>106</v>
      </c>
      <c r="D299" s="31">
        <v>9.3252304626324899E-3</v>
      </c>
      <c r="E299" s="43">
        <v>4.7226228133518816E-2</v>
      </c>
      <c r="F299" s="204"/>
      <c r="G299" s="204"/>
      <c r="H299" s="204"/>
      <c r="I299" s="205"/>
      <c r="J299" s="205"/>
    </row>
    <row r="300" spans="1:12">
      <c r="A300" s="81" t="str">
        <f>VLOOKUP(B300,'Master List'!$A$4:$C$1633,3,FALSE)</f>
        <v>54-138</v>
      </c>
      <c r="B300" s="235">
        <v>497</v>
      </c>
      <c r="C300" s="24" t="s">
        <v>105</v>
      </c>
      <c r="D300" s="31">
        <v>0.11852109415162977</v>
      </c>
      <c r="E300" s="43">
        <v>0.2467139809028438</v>
      </c>
      <c r="F300" s="132">
        <f t="shared" ref="F300" si="412">(D300-D301)</f>
        <v>-6.9637277474571685E-3</v>
      </c>
      <c r="G300" s="132">
        <f t="shared" ref="G300" si="413">F300^2</f>
        <v>4.8493504140704888E-5</v>
      </c>
      <c r="H300" s="132">
        <f t="shared" ref="H300" si="414">(_xlfn.STDEV.S(D300:D301)/AVERAGE(D300:D301))*100</f>
        <v>4.0360489550920642</v>
      </c>
      <c r="I300" s="132">
        <f t="shared" ref="I300" si="415">AVERAGE(D300:D301)</f>
        <v>0.12200295802535835</v>
      </c>
      <c r="J300" s="132">
        <f>AVERAGE(E300:E301)</f>
        <v>0.23232753147635207</v>
      </c>
      <c r="K300" s="88">
        <v>6</v>
      </c>
    </row>
    <row r="301" spans="1:12">
      <c r="A301" s="81" t="str">
        <f>VLOOKUP(B301,'Master List'!$A$4:$C$1633,3,FALSE)</f>
        <v>54-138</v>
      </c>
      <c r="B301" s="235">
        <v>497</v>
      </c>
      <c r="C301" s="24" t="s">
        <v>106</v>
      </c>
      <c r="D301" s="31">
        <v>0.12548482189908694</v>
      </c>
      <c r="E301" s="43">
        <v>0.21794108204986035</v>
      </c>
      <c r="F301" s="204"/>
      <c r="G301" s="204"/>
      <c r="H301" s="204"/>
      <c r="I301" s="205"/>
      <c r="J301" s="205"/>
    </row>
    <row r="302" spans="1:12">
      <c r="A302" s="81" t="str">
        <f>VLOOKUP(B302,'Master List'!$A$4:$C$1633,3,FALSE)</f>
        <v>54-138</v>
      </c>
      <c r="B302" s="235">
        <v>498</v>
      </c>
      <c r="C302" s="24" t="s">
        <v>105</v>
      </c>
      <c r="D302" s="31">
        <v>0.23160816342545651</v>
      </c>
      <c r="E302" s="43">
        <v>0.38963632849240526</v>
      </c>
      <c r="F302" s="132">
        <f t="shared" ref="F302" si="416">(D302-D303)</f>
        <v>-6.7986794206831291E-4</v>
      </c>
      <c r="G302" s="132">
        <f t="shared" ref="G302" si="417">F302^2</f>
        <v>4.6222041865220288E-7</v>
      </c>
      <c r="H302" s="132">
        <f t="shared" ref="H302" si="418">(_xlfn.STDEV.S(D302:D303)/AVERAGE(D302:D303))*100</f>
        <v>0.20726155443563485</v>
      </c>
      <c r="I302" s="132">
        <f t="shared" ref="I302" si="419">AVERAGE(D302:D303)</f>
        <v>0.23194809739649067</v>
      </c>
      <c r="J302" s="132">
        <f>AVERAGE(E302:E303)</f>
        <v>0.37585368077026909</v>
      </c>
      <c r="K302" s="88">
        <v>6</v>
      </c>
    </row>
    <row r="303" spans="1:12">
      <c r="A303" s="81" t="str">
        <f>VLOOKUP(B303,'Master List'!$A$4:$C$1633,3,FALSE)</f>
        <v>54-138</v>
      </c>
      <c r="B303" s="235">
        <v>498</v>
      </c>
      <c r="C303" s="24" t="s">
        <v>106</v>
      </c>
      <c r="D303" s="31">
        <v>0.23228803136752482</v>
      </c>
      <c r="E303" s="43">
        <v>0.36207103304813293</v>
      </c>
      <c r="F303" s="204"/>
      <c r="G303" s="204"/>
      <c r="H303" s="204"/>
      <c r="I303" s="205"/>
      <c r="J303" s="205"/>
    </row>
    <row r="304" spans="1:12">
      <c r="A304" s="81" t="str">
        <f>VLOOKUP(B304,'Master List'!$A$4:$C$1633,3,FALSE)</f>
        <v>54-138</v>
      </c>
      <c r="B304" s="235">
        <v>501</v>
      </c>
      <c r="C304" s="24" t="s">
        <v>105</v>
      </c>
      <c r="D304" s="31">
        <v>0.41859261516455026</v>
      </c>
      <c r="E304" s="43">
        <v>0.36740510422202854</v>
      </c>
      <c r="F304" s="132">
        <f t="shared" ref="F304" si="420">(D304-D305)</f>
        <v>2.2270593761488322E-2</v>
      </c>
      <c r="G304" s="132">
        <f t="shared" ref="G304" si="421">F304^2</f>
        <v>4.9597934648924259E-4</v>
      </c>
      <c r="H304" s="132">
        <f t="shared" ref="H304" si="422">(_xlfn.STDEV.S(D304:D305)/AVERAGE(D304:D305))*100</f>
        <v>3.8648680887921816</v>
      </c>
      <c r="I304" s="132">
        <f t="shared" ref="I304" si="423">AVERAGE(D304:D305)</f>
        <v>0.4074573182838061</v>
      </c>
      <c r="J304" s="132">
        <f>AVERAGE(E304:E305)</f>
        <v>0.35297180511750958</v>
      </c>
      <c r="K304" s="88">
        <v>6</v>
      </c>
    </row>
    <row r="305" spans="1:12">
      <c r="A305" s="81" t="str">
        <f>VLOOKUP(B305,'Master List'!$A$4:$C$1633,3,FALSE)</f>
        <v>54-138</v>
      </c>
      <c r="B305" s="235">
        <v>501</v>
      </c>
      <c r="C305" s="24" t="s">
        <v>106</v>
      </c>
      <c r="D305" s="31">
        <v>0.39632202140306194</v>
      </c>
      <c r="E305" s="43">
        <v>0.33853850601299068</v>
      </c>
      <c r="F305" s="204"/>
      <c r="G305" s="204"/>
      <c r="H305" s="204"/>
      <c r="I305" s="205"/>
      <c r="J305" s="205"/>
    </row>
    <row r="306" spans="1:12">
      <c r="A306" s="81" t="str">
        <f>VLOOKUP(B306,'Master List'!$A$4:$C$1633,3,FALSE)</f>
        <v>54-138</v>
      </c>
      <c r="B306" s="235">
        <v>503</v>
      </c>
      <c r="C306" s="24" t="s">
        <v>105</v>
      </c>
      <c r="D306" s="31">
        <v>0.62121730867704927</v>
      </c>
      <c r="E306" s="43">
        <v>0.4239342616194306</v>
      </c>
      <c r="F306" s="132">
        <f t="shared" ref="F306" si="424">(D306-D307)</f>
        <v>5.9650214151936054E-2</v>
      </c>
      <c r="G306" s="132">
        <f t="shared" ref="G306" si="425">F306^2</f>
        <v>3.5581480483718323E-3</v>
      </c>
      <c r="H306" s="132">
        <f t="shared" ref="H306" si="426">(_xlfn.STDEV.S(D306:D307)/AVERAGE(D306:D307))*100</f>
        <v>7.1321655598217184</v>
      </c>
      <c r="I306" s="132">
        <f t="shared" ref="I306" si="427">AVERAGE(D306:D307)</f>
        <v>0.5913922016010813</v>
      </c>
      <c r="J306" s="132">
        <f>AVERAGE(E306:E307)</f>
        <v>0.37051190916284948</v>
      </c>
      <c r="K306" s="88">
        <v>6</v>
      </c>
    </row>
    <row r="307" spans="1:12">
      <c r="A307" s="81" t="str">
        <f>VLOOKUP(B307,'Master List'!$A$4:$C$1633,3,FALSE)</f>
        <v>54-138</v>
      </c>
      <c r="B307" s="235">
        <v>503</v>
      </c>
      <c r="C307" s="24" t="s">
        <v>106</v>
      </c>
      <c r="D307" s="31">
        <v>0.56156709452511322</v>
      </c>
      <c r="E307" s="43">
        <v>0.31708955670626837</v>
      </c>
      <c r="F307" s="204"/>
      <c r="G307" s="204"/>
      <c r="H307" s="204"/>
      <c r="I307" s="205"/>
      <c r="J307" s="205"/>
    </row>
    <row r="308" spans="1:12">
      <c r="A308" s="81" t="str">
        <f>VLOOKUP(B308,'Master List'!$A$4:$C$1633,3,FALSE)</f>
        <v>54-138</v>
      </c>
      <c r="B308" s="235">
        <v>509</v>
      </c>
      <c r="C308" s="24" t="s">
        <v>105</v>
      </c>
      <c r="D308" s="31">
        <v>0.53821822146322218</v>
      </c>
      <c r="E308" s="43">
        <v>0.39407501959829111</v>
      </c>
      <c r="F308" s="132">
        <f t="shared" ref="F308" si="428">(D308-D309)</f>
        <v>-8.9432146334474938E-3</v>
      </c>
      <c r="G308" s="132">
        <f t="shared" ref="G308" si="429">F308^2</f>
        <v>7.9981087979909388E-5</v>
      </c>
      <c r="H308" s="132">
        <f t="shared" ref="H308" si="430">(_xlfn.STDEV.S(D308:D309)/AVERAGE(D308:D309))*100</f>
        <v>1.1652710954864263</v>
      </c>
      <c r="I308" s="132">
        <f t="shared" ref="I308" si="431">AVERAGE(D308:D309)</f>
        <v>0.54268982877994598</v>
      </c>
      <c r="J308" s="132">
        <f>AVERAGE(E308:E309)</f>
        <v>0.37691652695908356</v>
      </c>
      <c r="K308" s="88">
        <v>6</v>
      </c>
    </row>
    <row r="309" spans="1:12">
      <c r="A309" s="81" t="str">
        <f>VLOOKUP(B309,'Master List'!$A$4:$C$1633,3,FALSE)</f>
        <v>54-138</v>
      </c>
      <c r="B309" s="235">
        <v>509</v>
      </c>
      <c r="C309" s="24" t="s">
        <v>106</v>
      </c>
      <c r="D309" s="31">
        <v>0.54716143609666967</v>
      </c>
      <c r="E309" s="43">
        <v>0.35975803431987602</v>
      </c>
      <c r="F309" s="204"/>
      <c r="G309" s="204"/>
      <c r="H309" s="204"/>
      <c r="I309" s="205"/>
      <c r="J309" s="205"/>
    </row>
    <row r="310" spans="1:12">
      <c r="A310" s="81" t="str">
        <f>VLOOKUP(B310,'Master List'!$A$4:$C$1633,3,FALSE)</f>
        <v>54-141</v>
      </c>
      <c r="B310" s="235">
        <v>514</v>
      </c>
      <c r="C310" s="24" t="s">
        <v>105</v>
      </c>
      <c r="D310" s="31">
        <v>1.1216728008853623E-2</v>
      </c>
      <c r="E310" s="43">
        <v>4.2136778254534532E-2</v>
      </c>
      <c r="F310" s="132"/>
      <c r="G310" s="132"/>
      <c r="H310" s="132"/>
      <c r="I310" s="132">
        <f t="shared" ref="I310" si="432">AVERAGE(D310:D311)</f>
        <v>9.2328689817566343E-3</v>
      </c>
      <c r="J310" s="132">
        <f>AVERAGE(E310:E311)</f>
        <v>3.6635823274378226E-2</v>
      </c>
      <c r="K310" s="226">
        <v>26</v>
      </c>
      <c r="L310" s="65" t="s">
        <v>233</v>
      </c>
    </row>
    <row r="311" spans="1:12">
      <c r="A311" s="81" t="str">
        <f>VLOOKUP(B311,'Master List'!$A$4:$C$1633,3,FALSE)</f>
        <v>54-141</v>
      </c>
      <c r="B311" s="235">
        <v>514</v>
      </c>
      <c r="C311" s="24" t="s">
        <v>106</v>
      </c>
      <c r="D311" s="31">
        <v>7.2490099546596454E-3</v>
      </c>
      <c r="E311" s="43">
        <v>3.1134868294221924E-2</v>
      </c>
      <c r="F311" s="204"/>
      <c r="G311" s="204"/>
      <c r="H311" s="204"/>
      <c r="I311" s="205"/>
      <c r="J311" s="205"/>
    </row>
    <row r="312" spans="1:12">
      <c r="A312" s="81" t="str">
        <f>VLOOKUP(B312,'Master List'!$A$4:$C$1633,3,FALSE)</f>
        <v>54-141</v>
      </c>
      <c r="B312" s="235">
        <v>518</v>
      </c>
      <c r="C312" s="24" t="s">
        <v>105</v>
      </c>
      <c r="D312" s="31">
        <v>2.7634664381586592E-2</v>
      </c>
      <c r="E312" s="43">
        <v>3.8430373783479188E-2</v>
      </c>
      <c r="F312" s="132">
        <f t="shared" ref="F312" si="433">(D312-D313)</f>
        <v>1.3444333902640666E-3</v>
      </c>
      <c r="G312" s="132">
        <f t="shared" ref="G312" si="434">F312^2</f>
        <v>1.8075011408569322E-6</v>
      </c>
      <c r="H312" s="132">
        <f t="shared" ref="H312" si="435">(_xlfn.STDEV.S(D312:D313)/AVERAGE(D312:D313))*100</f>
        <v>3.5258592920216763</v>
      </c>
      <c r="I312" s="132">
        <f t="shared" ref="I312" si="436">AVERAGE(D312:D313)</f>
        <v>2.696244768645456E-2</v>
      </c>
      <c r="J312" s="132">
        <f>AVERAGE(E312:E313)</f>
        <v>4.3903274646966486E-2</v>
      </c>
      <c r="K312" s="88">
        <v>6</v>
      </c>
    </row>
    <row r="313" spans="1:12">
      <c r="A313" s="81" t="str">
        <f>VLOOKUP(B313,'Master List'!$A$4:$C$1633,3,FALSE)</f>
        <v>54-141</v>
      </c>
      <c r="B313" s="235">
        <v>518</v>
      </c>
      <c r="C313" s="24" t="s">
        <v>106</v>
      </c>
      <c r="D313" s="31">
        <v>2.6290230991322525E-2</v>
      </c>
      <c r="E313" s="43">
        <v>4.9376175510453778E-2</v>
      </c>
      <c r="F313" s="204"/>
      <c r="G313" s="204"/>
      <c r="H313" s="204"/>
      <c r="I313" s="205"/>
      <c r="J313" s="205"/>
    </row>
    <row r="314" spans="1:12">
      <c r="A314" s="81" t="str">
        <f>VLOOKUP(B314,'Master List'!$A$4:$C$1633,3,FALSE)</f>
        <v>54-141</v>
      </c>
      <c r="B314" s="235">
        <v>519</v>
      </c>
      <c r="C314" s="24" t="s">
        <v>105</v>
      </c>
      <c r="D314" s="31">
        <v>0.12306156269078174</v>
      </c>
      <c r="E314" s="43">
        <v>0.11060303074592877</v>
      </c>
      <c r="F314" s="132">
        <f t="shared" ref="F314" si="437">(D314-D315)</f>
        <v>-4.6541442079223588E-3</v>
      </c>
      <c r="G314" s="132">
        <f t="shared" ref="G314" si="438">F314^2</f>
        <v>2.166105830813724E-5</v>
      </c>
      <c r="H314" s="132">
        <f t="shared" ref="H314" si="439">(_xlfn.STDEV.S(D314:D315)/AVERAGE(D314:D315))*100</f>
        <v>2.6246213904706868</v>
      </c>
      <c r="I314" s="132">
        <f t="shared" ref="I314" si="440">AVERAGE(D314:D315)</f>
        <v>0.12538863479474291</v>
      </c>
      <c r="J314" s="132">
        <f>AVERAGE(E314:E315)</f>
        <v>0.10407477317134259</v>
      </c>
      <c r="K314" s="88">
        <v>6</v>
      </c>
    </row>
    <row r="315" spans="1:12">
      <c r="A315" s="81" t="str">
        <f>VLOOKUP(B315,'Master List'!$A$4:$C$1633,3,FALSE)</f>
        <v>54-141</v>
      </c>
      <c r="B315" s="235">
        <v>519</v>
      </c>
      <c r="C315" s="24" t="s">
        <v>106</v>
      </c>
      <c r="D315" s="31">
        <v>0.1277157068987041</v>
      </c>
      <c r="E315" s="43">
        <v>9.7546515596756395E-2</v>
      </c>
      <c r="F315" s="204"/>
      <c r="G315" s="204"/>
      <c r="H315" s="204"/>
      <c r="I315" s="205"/>
      <c r="J315" s="205"/>
    </row>
    <row r="316" spans="1:12">
      <c r="A316" s="81" t="str">
        <f>VLOOKUP(B316,'Master List'!$A$4:$C$1633,3,FALSE)</f>
        <v>54-141</v>
      </c>
      <c r="B316" s="235">
        <v>522</v>
      </c>
      <c r="C316" s="24" t="s">
        <v>105</v>
      </c>
      <c r="D316" s="31">
        <v>-99</v>
      </c>
      <c r="E316" s="43">
        <v>-99</v>
      </c>
      <c r="F316" s="132"/>
      <c r="G316" s="132"/>
      <c r="H316" s="132"/>
      <c r="I316" s="132"/>
      <c r="J316" s="132"/>
      <c r="K316" s="120">
        <v>2</v>
      </c>
      <c r="L316" s="119" t="s">
        <v>231</v>
      </c>
    </row>
    <row r="317" spans="1:12">
      <c r="A317" s="81" t="str">
        <f>VLOOKUP(B317,'Master List'!$A$4:$C$1633,3,FALSE)</f>
        <v>54-141</v>
      </c>
      <c r="B317" s="235">
        <v>522</v>
      </c>
      <c r="C317" s="24" t="s">
        <v>106</v>
      </c>
      <c r="D317" s="31">
        <v>0.18315937478850094</v>
      </c>
      <c r="E317" s="43">
        <v>0.14641327381876873</v>
      </c>
      <c r="F317" s="204"/>
      <c r="G317" s="204"/>
      <c r="H317" s="204"/>
      <c r="I317" s="205"/>
      <c r="J317" s="205"/>
      <c r="K317" s="120"/>
      <c r="L317" s="119"/>
    </row>
    <row r="318" spans="1:12">
      <c r="A318" s="81" t="str">
        <f>VLOOKUP(B318,'Master List'!$A$4:$C$1633,3,FALSE)</f>
        <v>54-141</v>
      </c>
      <c r="B318" s="235">
        <v>524</v>
      </c>
      <c r="C318" s="24" t="s">
        <v>105</v>
      </c>
      <c r="D318" s="31">
        <v>0.27533449314969971</v>
      </c>
      <c r="E318" s="43">
        <v>0.14541782309207646</v>
      </c>
      <c r="F318" s="132">
        <f t="shared" ref="F318" si="441">(D318-D319)</f>
        <v>-2.3669132397945936E-2</v>
      </c>
      <c r="G318" s="132">
        <f t="shared" ref="G318" si="442">F318^2</f>
        <v>5.6022782847149394E-4</v>
      </c>
      <c r="H318" s="132">
        <f t="shared" ref="H318" si="443">(_xlfn.STDEV.S(D318:D319)/AVERAGE(D318:D319))*100</f>
        <v>5.8281362418883234</v>
      </c>
      <c r="I318" s="132">
        <f t="shared" ref="I318" si="444">AVERAGE(D318:D319)</f>
        <v>0.28716905934867265</v>
      </c>
      <c r="J318" s="132">
        <f>AVERAGE(E318:E319)</f>
        <v>0.14335996803608053</v>
      </c>
      <c r="K318" s="88">
        <v>6</v>
      </c>
    </row>
    <row r="319" spans="1:12">
      <c r="A319" s="81" t="str">
        <f>VLOOKUP(B319,'Master List'!$A$4:$C$1633,3,FALSE)</f>
        <v>54-141</v>
      </c>
      <c r="B319" s="235">
        <v>524</v>
      </c>
      <c r="C319" s="24" t="s">
        <v>106</v>
      </c>
      <c r="D319" s="31">
        <v>0.29900362554764565</v>
      </c>
      <c r="E319" s="43">
        <v>0.14130211298008463</v>
      </c>
      <c r="F319" s="204"/>
      <c r="G319" s="204"/>
      <c r="H319" s="204"/>
      <c r="I319" s="205"/>
      <c r="J319" s="205"/>
    </row>
    <row r="320" spans="1:12">
      <c r="A320" s="81" t="str">
        <f>VLOOKUP(B320,'Master List'!$A$4:$C$1633,3,FALSE)</f>
        <v>54-141</v>
      </c>
      <c r="B320" s="235">
        <v>530</v>
      </c>
      <c r="C320" s="24" t="s">
        <v>105</v>
      </c>
      <c r="D320" s="31">
        <v>0.30429938146295415</v>
      </c>
      <c r="E320" s="43">
        <v>0.14073286676622337</v>
      </c>
      <c r="F320" s="132">
        <f t="shared" ref="F320" si="445">(D320-D321)</f>
        <v>-7.6714680890799802E-3</v>
      </c>
      <c r="G320" s="132">
        <f t="shared" ref="G320" si="446">F320^2</f>
        <v>5.8851422641772446E-5</v>
      </c>
      <c r="H320" s="132">
        <f t="shared" ref="H320" si="447">(_xlfn.STDEV.S(D320:D321)/AVERAGE(D320:D321))*100</f>
        <v>1.7604443097991307</v>
      </c>
      <c r="I320" s="132">
        <f t="shared" ref="I320" si="448">AVERAGE(D320:D321)</f>
        <v>0.30813511550749417</v>
      </c>
      <c r="J320" s="132">
        <f>AVERAGE(E320:E321)</f>
        <v>0.13869351625094328</v>
      </c>
      <c r="K320" s="88">
        <v>6</v>
      </c>
    </row>
    <row r="321" spans="1:12">
      <c r="A321" s="81" t="str">
        <f>VLOOKUP(B321,'Master List'!$A$4:$C$1633,3,FALSE)</f>
        <v>54-141</v>
      </c>
      <c r="B321" s="235">
        <v>530</v>
      </c>
      <c r="C321" s="24" t="s">
        <v>106</v>
      </c>
      <c r="D321" s="31">
        <v>0.31197084955203414</v>
      </c>
      <c r="E321" s="43">
        <v>0.13665416573566316</v>
      </c>
      <c r="F321" s="204"/>
      <c r="G321" s="204"/>
      <c r="H321" s="204"/>
      <c r="I321" s="205"/>
      <c r="J321" s="205"/>
    </row>
    <row r="322" spans="1:12">
      <c r="A322" s="81" t="str">
        <f>VLOOKUP(B322,'Master List'!$A$4:$C$1633,3,FALSE)</f>
        <v>55-141</v>
      </c>
      <c r="B322" s="235">
        <v>535</v>
      </c>
      <c r="C322" s="24" t="s">
        <v>105</v>
      </c>
      <c r="D322" s="31">
        <v>8.4016156538738417E-3</v>
      </c>
      <c r="E322" s="43">
        <v>5.8553985572737992E-2</v>
      </c>
      <c r="F322" s="132"/>
      <c r="G322" s="132"/>
      <c r="H322" s="132"/>
      <c r="I322" s="132">
        <f t="shared" ref="I322" si="449">AVERAGE(D322:D323)</f>
        <v>8.2636199501983573E-3</v>
      </c>
      <c r="J322" s="132">
        <f>AVERAGE(E322:E323)</f>
        <v>4.6009790540443088E-2</v>
      </c>
      <c r="K322" s="226">
        <v>26</v>
      </c>
      <c r="L322" s="65" t="s">
        <v>233</v>
      </c>
    </row>
    <row r="323" spans="1:12">
      <c r="A323" s="81" t="str">
        <f>VLOOKUP(B323,'Master List'!$A$4:$C$1633,3,FALSE)</f>
        <v>55-141</v>
      </c>
      <c r="B323" s="235">
        <v>535</v>
      </c>
      <c r="C323" s="24" t="s">
        <v>106</v>
      </c>
      <c r="D323" s="31">
        <v>8.125624246522873E-3</v>
      </c>
      <c r="E323" s="43">
        <v>3.3465595508148177E-2</v>
      </c>
      <c r="F323" s="204"/>
      <c r="G323" s="204"/>
      <c r="H323" s="204"/>
      <c r="I323" s="205"/>
      <c r="J323" s="205"/>
    </row>
    <row r="324" spans="1:12">
      <c r="A324" s="81" t="str">
        <f>VLOOKUP(B324,'Master List'!$A$4:$C$1633,3,FALSE)</f>
        <v>55-141</v>
      </c>
      <c r="B324" s="235">
        <v>539</v>
      </c>
      <c r="C324" s="24" t="s">
        <v>105</v>
      </c>
      <c r="D324" s="31">
        <v>5.2636206781753549E-2</v>
      </c>
      <c r="E324" s="43">
        <v>7.511945383541746E-2</v>
      </c>
      <c r="F324" s="132">
        <f t="shared" ref="F324" si="450">(D324-D325)</f>
        <v>2.3336303156209354E-4</v>
      </c>
      <c r="G324" s="132">
        <f t="shared" ref="G324" si="451">F324^2</f>
        <v>5.4458304499850667E-8</v>
      </c>
      <c r="H324" s="132">
        <f t="shared" ref="H324" si="452">(_xlfn.STDEV.S(D324:D325)/AVERAGE(D324:D325))*100</f>
        <v>0.31419282878156285</v>
      </c>
      <c r="I324" s="132">
        <f t="shared" ref="I324" si="453">AVERAGE(D324:D325)</f>
        <v>5.2519525265972505E-2</v>
      </c>
      <c r="J324" s="132">
        <f>AVERAGE(E324:E325)</f>
        <v>7.1651818548402468E-2</v>
      </c>
      <c r="K324" s="88">
        <v>6</v>
      </c>
    </row>
    <row r="325" spans="1:12">
      <c r="A325" s="81" t="str">
        <f>VLOOKUP(B325,'Master List'!$A$4:$C$1633,3,FALSE)</f>
        <v>55-141</v>
      </c>
      <c r="B325" s="235">
        <v>539</v>
      </c>
      <c r="C325" s="24" t="s">
        <v>106</v>
      </c>
      <c r="D325" s="31">
        <v>5.2402843750191455E-2</v>
      </c>
      <c r="E325" s="43">
        <v>6.8184183261387463E-2</v>
      </c>
      <c r="F325" s="204"/>
      <c r="G325" s="204"/>
      <c r="H325" s="204"/>
      <c r="I325" s="205"/>
      <c r="J325" s="205"/>
    </row>
    <row r="326" spans="1:12">
      <c r="A326" s="81" t="str">
        <f>VLOOKUP(B326,'Master List'!$A$4:$C$1633,3,FALSE)</f>
        <v>55-141</v>
      </c>
      <c r="B326" s="235">
        <v>540</v>
      </c>
      <c r="C326" s="24" t="s">
        <v>105</v>
      </c>
      <c r="D326" s="31">
        <v>0.27481092925219047</v>
      </c>
      <c r="E326" s="43">
        <v>0.24797399972521075</v>
      </c>
      <c r="F326" s="132">
        <f t="shared" ref="F326" si="454">(D326-D327)</f>
        <v>6.2576269587505395E-4</v>
      </c>
      <c r="G326" s="132">
        <f t="shared" ref="G326" si="455">F326^2</f>
        <v>3.9157895154881527E-7</v>
      </c>
      <c r="H326" s="132">
        <f t="shared" ref="H326" si="456">(_xlfn.STDEV.S(D326:D327)/AVERAGE(D326:D327))*100</f>
        <v>0.161196427094872</v>
      </c>
      <c r="I326" s="132">
        <f t="shared" ref="I326" si="457">AVERAGE(D326:D327)</f>
        <v>0.27449804790425292</v>
      </c>
      <c r="J326" s="132">
        <f>AVERAGE(E326:E327)</f>
        <v>0.23087606807179967</v>
      </c>
      <c r="K326" s="88">
        <v>6</v>
      </c>
    </row>
    <row r="327" spans="1:12">
      <c r="A327" s="81" t="str">
        <f>VLOOKUP(B327,'Master List'!$A$4:$C$1633,3,FALSE)</f>
        <v>55-141</v>
      </c>
      <c r="B327" s="235">
        <v>540</v>
      </c>
      <c r="C327" s="24" t="s">
        <v>106</v>
      </c>
      <c r="D327" s="31">
        <v>0.27418516655631542</v>
      </c>
      <c r="E327" s="43">
        <v>0.21377813641838858</v>
      </c>
      <c r="F327" s="204"/>
      <c r="G327" s="204"/>
      <c r="H327" s="204"/>
      <c r="I327" s="205"/>
      <c r="J327" s="205"/>
    </row>
    <row r="328" spans="1:12">
      <c r="A328" s="81" t="str">
        <f>VLOOKUP(B328,'Master List'!$A$4:$C$1633,3,FALSE)</f>
        <v>55-141</v>
      </c>
      <c r="B328" s="235">
        <v>543</v>
      </c>
      <c r="C328" s="24" t="s">
        <v>105</v>
      </c>
      <c r="D328" s="31">
        <v>0.27354519440184422</v>
      </c>
      <c r="E328" s="43">
        <v>0.1727602256897017</v>
      </c>
      <c r="F328" s="132">
        <f t="shared" ref="F328" si="458">(D328-D329)</f>
        <v>1.5675218902257704E-2</v>
      </c>
      <c r="G328" s="132">
        <f t="shared" ref="G328" si="459">F328^2</f>
        <v>2.4571248763369724E-4</v>
      </c>
      <c r="H328" s="132">
        <f t="shared" ref="H328" si="460">(_xlfn.STDEV.S(D328:D329)/AVERAGE(D328:D329))*100</f>
        <v>4.1715232120399923</v>
      </c>
      <c r="I328" s="132">
        <f t="shared" ref="I328" si="461">AVERAGE(D328:D329)</f>
        <v>0.26570758495071534</v>
      </c>
      <c r="J328" s="132">
        <f>AVERAGE(E328:E329)</f>
        <v>0.18392254130944899</v>
      </c>
      <c r="K328" s="88">
        <v>6</v>
      </c>
    </row>
    <row r="329" spans="1:12">
      <c r="A329" s="81" t="str">
        <f>VLOOKUP(B329,'Master List'!$A$4:$C$1633,3,FALSE)</f>
        <v>55-141</v>
      </c>
      <c r="B329" s="235">
        <v>543</v>
      </c>
      <c r="C329" s="24" t="s">
        <v>106</v>
      </c>
      <c r="D329" s="31">
        <v>0.25786997549958651</v>
      </c>
      <c r="E329" s="43">
        <v>0.19508485692919628</v>
      </c>
      <c r="F329" s="204"/>
      <c r="G329" s="204"/>
      <c r="H329" s="204"/>
      <c r="I329" s="205"/>
      <c r="J329" s="205"/>
    </row>
    <row r="330" spans="1:12">
      <c r="A330" s="81" t="str">
        <f>VLOOKUP(B330,'Master List'!$A$4:$C$1633,3,FALSE)</f>
        <v>55-141</v>
      </c>
      <c r="B330" s="235">
        <v>545</v>
      </c>
      <c r="C330" s="24" t="s">
        <v>105</v>
      </c>
      <c r="D330" s="31">
        <v>0.23776632417403179</v>
      </c>
      <c r="E330" s="43">
        <v>0.13170420683261289</v>
      </c>
      <c r="F330" s="132">
        <f t="shared" ref="F330" si="462">(D330-D331)</f>
        <v>2.2829134787849897E-2</v>
      </c>
      <c r="G330" s="132">
        <f t="shared" ref="G330" si="463">F330^2</f>
        <v>5.2116939516181834E-4</v>
      </c>
      <c r="H330" s="132">
        <f t="shared" ref="H330" si="464">(_xlfn.STDEV.S(D330:D331)/AVERAGE(D330:D331))*100</f>
        <v>7.1316592575830589</v>
      </c>
      <c r="I330" s="132">
        <f t="shared" ref="I330" si="465">AVERAGE(D330:D331)</f>
        <v>0.22635175678010683</v>
      </c>
      <c r="J330" s="132">
        <f>AVERAGE(E330:E331)</f>
        <v>0.13168440458576483</v>
      </c>
      <c r="K330" s="88">
        <v>6</v>
      </c>
    </row>
    <row r="331" spans="1:12">
      <c r="A331" s="81" t="str">
        <f>VLOOKUP(B331,'Master List'!$A$4:$C$1633,3,FALSE)</f>
        <v>55-141</v>
      </c>
      <c r="B331" s="235">
        <v>545</v>
      </c>
      <c r="C331" s="24" t="s">
        <v>106</v>
      </c>
      <c r="D331" s="31">
        <v>0.21493718938618189</v>
      </c>
      <c r="E331" s="43">
        <v>0.13166460233891678</v>
      </c>
      <c r="F331" s="204"/>
      <c r="G331" s="204"/>
      <c r="H331" s="204"/>
      <c r="I331" s="205"/>
      <c r="J331" s="205"/>
    </row>
    <row r="332" spans="1:12">
      <c r="A332" s="81" t="str">
        <f>VLOOKUP(B332,'Master List'!$A$4:$C$1633,3,FALSE)</f>
        <v>55-141</v>
      </c>
      <c r="B332" s="235">
        <v>551</v>
      </c>
      <c r="C332" s="24" t="s">
        <v>105</v>
      </c>
      <c r="D332" s="31">
        <v>0.23410629555021137</v>
      </c>
      <c r="E332" s="43">
        <v>0.1316418978101504</v>
      </c>
      <c r="F332" s="132">
        <f t="shared" ref="F332" si="466">(D332-D333)</f>
        <v>-3.8310886446143166E-3</v>
      </c>
      <c r="G332" s="132">
        <f t="shared" ref="G332" si="467">F332^2</f>
        <v>1.4677240202892761E-5</v>
      </c>
      <c r="H332" s="132">
        <f t="shared" ref="H332" si="468">(_xlfn.STDEV.S(D332:D333)/AVERAGE(D332:D333))*100</f>
        <v>1.1477703764180285</v>
      </c>
      <c r="I332" s="132">
        <f t="shared" ref="I332" si="469">AVERAGE(D332:D333)</f>
        <v>0.23602183987251851</v>
      </c>
      <c r="J332" s="132">
        <f>AVERAGE(E332:E333)</f>
        <v>0.11970857532741561</v>
      </c>
      <c r="K332" s="88">
        <v>6</v>
      </c>
    </row>
    <row r="333" spans="1:12">
      <c r="A333" s="81" t="str">
        <f>VLOOKUP(B333,'Master List'!$A$4:$C$1633,3,FALSE)</f>
        <v>55-141</v>
      </c>
      <c r="B333" s="235">
        <v>551</v>
      </c>
      <c r="C333" s="24" t="s">
        <v>106</v>
      </c>
      <c r="D333" s="31">
        <v>0.23793738419482569</v>
      </c>
      <c r="E333" s="43">
        <v>0.1077752528446808</v>
      </c>
      <c r="F333" s="204"/>
      <c r="G333" s="204"/>
      <c r="H333" s="204"/>
      <c r="I333" s="205"/>
      <c r="J333" s="205"/>
    </row>
    <row r="334" spans="1:12">
      <c r="A334" s="81" t="str">
        <f>VLOOKUP(B334,'Master List'!$A$4:$C$1633,3,FALSE)</f>
        <v>56-141</v>
      </c>
      <c r="B334" s="235">
        <v>556</v>
      </c>
      <c r="C334" s="24" t="s">
        <v>105</v>
      </c>
      <c r="D334" s="31">
        <v>5.0285087901706374E-3</v>
      </c>
      <c r="E334" s="43">
        <v>2.9462618322000415E-2</v>
      </c>
      <c r="F334" s="132"/>
      <c r="G334" s="132"/>
      <c r="H334" s="132"/>
      <c r="I334" s="132">
        <f t="shared" ref="I334" si="470">AVERAGE(D334:D335)</f>
        <v>4.235784955789316E-3</v>
      </c>
      <c r="J334" s="132">
        <f>AVERAGE(E334:E335)</f>
        <v>3.3313395811052783E-2</v>
      </c>
      <c r="K334" s="226">
        <v>26</v>
      </c>
      <c r="L334" s="65" t="s">
        <v>233</v>
      </c>
    </row>
    <row r="335" spans="1:12">
      <c r="A335" s="81" t="str">
        <f>VLOOKUP(B335,'Master List'!$A$4:$C$1633,3,FALSE)</f>
        <v>56-141</v>
      </c>
      <c r="B335" s="235">
        <v>556</v>
      </c>
      <c r="C335" s="24" t="s">
        <v>106</v>
      </c>
      <c r="D335" s="31">
        <v>3.4430611214079951E-3</v>
      </c>
      <c r="E335" s="43">
        <v>3.7164173300105151E-2</v>
      </c>
      <c r="F335" s="204"/>
      <c r="G335" s="204"/>
      <c r="H335" s="204"/>
      <c r="I335" s="205"/>
      <c r="J335" s="205"/>
    </row>
    <row r="336" spans="1:12">
      <c r="A336" s="81" t="str">
        <f>VLOOKUP(B336,'Master List'!$A$4:$C$1633,3,FALSE)</f>
        <v>56-141</v>
      </c>
      <c r="B336" s="235">
        <v>560</v>
      </c>
      <c r="C336" s="24" t="s">
        <v>105</v>
      </c>
      <c r="D336" s="31">
        <v>1.3084178778988728E-2</v>
      </c>
      <c r="E336" s="43">
        <v>4.4538584459465201E-2</v>
      </c>
      <c r="F336" s="132"/>
      <c r="G336" s="132"/>
      <c r="H336" s="132"/>
      <c r="I336" s="132">
        <f t="shared" ref="I336" si="471">AVERAGE(D336:D337)</f>
        <v>1.3633155746679886E-2</v>
      </c>
      <c r="J336" s="132">
        <f>AVERAGE(E336:E337)</f>
        <v>4.5214190383731284E-2</v>
      </c>
      <c r="K336" s="226">
        <v>26</v>
      </c>
      <c r="L336" s="65" t="s">
        <v>233</v>
      </c>
    </row>
    <row r="337" spans="1:12">
      <c r="A337" s="81" t="str">
        <f>VLOOKUP(B337,'Master List'!$A$4:$C$1633,3,FALSE)</f>
        <v>56-141</v>
      </c>
      <c r="B337" s="235">
        <v>560</v>
      </c>
      <c r="C337" s="24" t="s">
        <v>106</v>
      </c>
      <c r="D337" s="31">
        <v>1.4182132714371042E-2</v>
      </c>
      <c r="E337" s="43">
        <v>4.5889796307997374E-2</v>
      </c>
      <c r="F337" s="204"/>
      <c r="G337" s="204"/>
      <c r="H337" s="204"/>
      <c r="I337" s="205"/>
      <c r="J337" s="205"/>
    </row>
    <row r="338" spans="1:12">
      <c r="A338" s="81" t="str">
        <f>VLOOKUP(B338,'Master List'!$A$4:$C$1633,3,FALSE)</f>
        <v>56-141</v>
      </c>
      <c r="B338" s="235">
        <v>561</v>
      </c>
      <c r="C338" s="24" t="s">
        <v>105</v>
      </c>
      <c r="D338" s="31">
        <v>6.0064474521781694E-2</v>
      </c>
      <c r="E338" s="43">
        <v>8.7802325259106473E-2</v>
      </c>
      <c r="F338" s="132">
        <f t="shared" ref="F338" si="472">(D338-D339)</f>
        <v>-1.8581599702837334E-3</v>
      </c>
      <c r="G338" s="132">
        <f t="shared" ref="G338" si="473">F338^2</f>
        <v>3.4527584751648449E-6</v>
      </c>
      <c r="H338" s="132">
        <f t="shared" ref="H338" si="474">(_xlfn.STDEV.S(D338:D339)/AVERAGE(D338:D339))*100</f>
        <v>2.1541907602185653</v>
      </c>
      <c r="I338" s="132">
        <f t="shared" ref="I338" si="475">AVERAGE(D338:D339)</f>
        <v>6.0993554506923564E-2</v>
      </c>
      <c r="J338" s="132">
        <f>AVERAGE(E338:E339)</f>
        <v>8.6541338007484328E-2</v>
      </c>
      <c r="K338" s="88">
        <v>6</v>
      </c>
    </row>
    <row r="339" spans="1:12">
      <c r="A339" s="81" t="str">
        <f>VLOOKUP(B339,'Master List'!$A$4:$C$1633,3,FALSE)</f>
        <v>56-141</v>
      </c>
      <c r="B339" s="235">
        <v>561</v>
      </c>
      <c r="C339" s="24" t="s">
        <v>106</v>
      </c>
      <c r="D339" s="31">
        <v>6.1922634492065427E-2</v>
      </c>
      <c r="E339" s="43">
        <v>8.5280350755862183E-2</v>
      </c>
      <c r="F339" s="204"/>
      <c r="G339" s="204"/>
      <c r="H339" s="204"/>
      <c r="I339" s="205"/>
      <c r="J339" s="205"/>
    </row>
    <row r="340" spans="1:12">
      <c r="A340" s="81" t="str">
        <f>VLOOKUP(B340,'Master List'!$A$4:$C$1633,3,FALSE)</f>
        <v>56-141</v>
      </c>
      <c r="B340" s="235">
        <v>564</v>
      </c>
      <c r="C340" s="24" t="s">
        <v>105</v>
      </c>
      <c r="D340" s="31">
        <v>0.21553835878833261</v>
      </c>
      <c r="E340" s="43">
        <v>0.29423599312650278</v>
      </c>
      <c r="F340" s="132">
        <f t="shared" ref="F340" si="476">(D340-D341)</f>
        <v>-1.428979668911981E-2</v>
      </c>
      <c r="G340" s="132">
        <f t="shared" ref="G340" si="477">F340^2</f>
        <v>2.0419828941637948E-4</v>
      </c>
      <c r="H340" s="132">
        <f t="shared" ref="H340" si="478">(_xlfn.STDEV.S(D340:D341)/AVERAGE(D340:D341))*100</f>
        <v>4.5375715582530747</v>
      </c>
      <c r="I340" s="132">
        <f t="shared" ref="I340" si="479">AVERAGE(D340:D341)</f>
        <v>0.2226832571328925</v>
      </c>
      <c r="J340" s="132">
        <f>AVERAGE(E340:E341)</f>
        <v>0.26978027647332442</v>
      </c>
      <c r="K340" s="88">
        <v>6</v>
      </c>
    </row>
    <row r="341" spans="1:12">
      <c r="A341" s="81" t="str">
        <f>VLOOKUP(B341,'Master List'!$A$4:$C$1633,3,FALSE)</f>
        <v>56-141</v>
      </c>
      <c r="B341" s="235">
        <v>564</v>
      </c>
      <c r="C341" s="24" t="s">
        <v>106</v>
      </c>
      <c r="D341" s="31">
        <v>0.22982815547745242</v>
      </c>
      <c r="E341" s="43">
        <v>0.24532455982014606</v>
      </c>
      <c r="F341" s="204"/>
      <c r="G341" s="204"/>
      <c r="H341" s="204"/>
      <c r="I341" s="205"/>
      <c r="J341" s="205"/>
    </row>
    <row r="342" spans="1:12">
      <c r="A342" s="81" t="str">
        <f>VLOOKUP(B342,'Master List'!$A$4:$C$1633,3,FALSE)</f>
        <v>56-141</v>
      </c>
      <c r="B342" s="235">
        <v>566</v>
      </c>
      <c r="C342" s="24" t="s">
        <v>105</v>
      </c>
      <c r="D342" s="31">
        <v>0.32045553588693243</v>
      </c>
      <c r="E342" s="43">
        <v>0.21102282839553452</v>
      </c>
      <c r="F342" s="132">
        <f t="shared" ref="F342" si="480">(D342-D343)</f>
        <v>8.5519080044115792E-3</v>
      </c>
      <c r="G342" s="132">
        <f t="shared" ref="G342" si="481">F342^2</f>
        <v>7.3135130515918843E-5</v>
      </c>
      <c r="H342" s="132">
        <f t="shared" ref="H342" si="482">(_xlfn.STDEV.S(D342:D343)/AVERAGE(D342:D343))*100</f>
        <v>1.912556182773248</v>
      </c>
      <c r="I342" s="132">
        <f t="shared" ref="I342" si="483">AVERAGE(D342:D343)</f>
        <v>0.31617958188472661</v>
      </c>
      <c r="J342" s="132">
        <f>AVERAGE(E342:E343)</f>
        <v>0.21838805505272391</v>
      </c>
      <c r="K342" s="88">
        <v>6</v>
      </c>
    </row>
    <row r="343" spans="1:12">
      <c r="A343" s="81" t="str">
        <f>VLOOKUP(B343,'Master List'!$A$4:$C$1633,3,FALSE)</f>
        <v>56-141</v>
      </c>
      <c r="B343" s="235">
        <v>566</v>
      </c>
      <c r="C343" s="24" t="s">
        <v>106</v>
      </c>
      <c r="D343" s="31">
        <v>0.31190362788252085</v>
      </c>
      <c r="E343" s="43">
        <v>0.22575328170991327</v>
      </c>
      <c r="F343" s="204"/>
      <c r="G343" s="204"/>
      <c r="H343" s="204"/>
      <c r="I343" s="205"/>
      <c r="J343" s="205"/>
    </row>
    <row r="344" spans="1:12">
      <c r="A344" s="81" t="str">
        <f>VLOOKUP(B344,'Master List'!$A$4:$C$1633,3,FALSE)</f>
        <v>56-141</v>
      </c>
      <c r="B344" s="235">
        <v>572</v>
      </c>
      <c r="C344" s="24" t="s">
        <v>105</v>
      </c>
      <c r="D344" s="31">
        <v>0.27833706105462297</v>
      </c>
      <c r="E344" s="43">
        <v>0.16209073672244925</v>
      </c>
      <c r="F344" s="132">
        <f t="shared" ref="F344" si="484">(D344-D345)</f>
        <v>-3.0768943037343122E-3</v>
      </c>
      <c r="G344" s="132">
        <f t="shared" ref="G344" si="485">F344^2</f>
        <v>9.4672785563526576E-6</v>
      </c>
      <c r="H344" s="132">
        <f t="shared" ref="H344" si="486">(_xlfn.STDEV.S(D344:D345)/AVERAGE(D344:D345))*100</f>
        <v>0.77737878569909824</v>
      </c>
      <c r="I344" s="132">
        <f t="shared" ref="I344" si="487">AVERAGE(D344:D345)</f>
        <v>0.2798755082064901</v>
      </c>
      <c r="J344" s="132">
        <f>AVERAGE(E344:E345)</f>
        <v>0.14945968582796701</v>
      </c>
      <c r="K344" s="88">
        <v>6</v>
      </c>
    </row>
    <row r="345" spans="1:12">
      <c r="A345" s="81" t="str">
        <f>VLOOKUP(B345,'Master List'!$A$4:$C$1633,3,FALSE)</f>
        <v>56-141</v>
      </c>
      <c r="B345" s="235">
        <v>572</v>
      </c>
      <c r="C345" s="24" t="s">
        <v>106</v>
      </c>
      <c r="D345" s="31">
        <v>0.28141395535835728</v>
      </c>
      <c r="E345" s="43">
        <v>0.13682863493348477</v>
      </c>
      <c r="F345" s="204"/>
      <c r="G345" s="204"/>
      <c r="H345" s="204"/>
      <c r="I345" s="205"/>
      <c r="J345" s="205"/>
    </row>
    <row r="346" spans="1:12">
      <c r="A346" s="81" t="str">
        <f>VLOOKUP(B346,'Master List'!$A$4:$C$1633,3,FALSE)</f>
        <v>57-141</v>
      </c>
      <c r="B346" s="235">
        <v>577</v>
      </c>
      <c r="C346" s="24" t="s">
        <v>105</v>
      </c>
      <c r="D346" s="31">
        <v>3.4113630983855186E-3</v>
      </c>
      <c r="E346" s="43">
        <v>4.6882211675726308E-2</v>
      </c>
      <c r="F346" s="132"/>
      <c r="G346" s="132"/>
      <c r="H346" s="132"/>
      <c r="I346" s="132">
        <f t="shared" ref="I346" si="488">AVERAGE(D346:D347)</f>
        <v>3.0993015269055214E-3</v>
      </c>
      <c r="J346" s="132">
        <f>AVERAGE(E346:E347)</f>
        <v>4.5610085028341171E-2</v>
      </c>
      <c r="K346" s="226">
        <v>26</v>
      </c>
      <c r="L346" s="65" t="s">
        <v>233</v>
      </c>
    </row>
    <row r="347" spans="1:12">
      <c r="A347" s="81" t="str">
        <f>VLOOKUP(B347,'Master List'!$A$4:$C$1633,3,FALSE)</f>
        <v>57-141</v>
      </c>
      <c r="B347" s="235">
        <v>577</v>
      </c>
      <c r="C347" s="24" t="s">
        <v>106</v>
      </c>
      <c r="D347" s="31">
        <v>2.7872399554255247E-3</v>
      </c>
      <c r="E347" s="43">
        <v>4.4337958380956041E-2</v>
      </c>
      <c r="F347" s="204"/>
      <c r="G347" s="204"/>
      <c r="H347" s="204"/>
      <c r="I347" s="205"/>
      <c r="J347" s="205"/>
    </row>
    <row r="348" spans="1:12">
      <c r="A348" s="81" t="str">
        <f>VLOOKUP(B348,'Master List'!$A$4:$C$1633,3,FALSE)</f>
        <v>57-141</v>
      </c>
      <c r="B348" s="235">
        <v>581</v>
      </c>
      <c r="C348" s="24" t="s">
        <v>105</v>
      </c>
      <c r="D348" s="31">
        <v>1.0749455428091111E-2</v>
      </c>
      <c r="E348" s="43">
        <v>6.1284749488454915E-2</v>
      </c>
      <c r="F348" s="132"/>
      <c r="G348" s="132"/>
      <c r="H348" s="132"/>
      <c r="I348" s="132">
        <f t="shared" ref="I348" si="489">AVERAGE(D348:D349)</f>
        <v>1.2884153323364064E-2</v>
      </c>
      <c r="J348" s="132">
        <f>AVERAGE(E348:E349)</f>
        <v>5.5196740290451712E-2</v>
      </c>
      <c r="K348" s="226">
        <v>26</v>
      </c>
      <c r="L348" s="65" t="s">
        <v>233</v>
      </c>
    </row>
    <row r="349" spans="1:12">
      <c r="A349" s="81" t="str">
        <f>VLOOKUP(B349,'Master List'!$A$4:$C$1633,3,FALSE)</f>
        <v>57-141</v>
      </c>
      <c r="B349" s="235">
        <v>581</v>
      </c>
      <c r="C349" s="24" t="s">
        <v>106</v>
      </c>
      <c r="D349" s="31">
        <v>1.5018851218637014E-2</v>
      </c>
      <c r="E349" s="43">
        <v>4.9108731092448517E-2</v>
      </c>
      <c r="F349" s="204"/>
      <c r="G349" s="204"/>
      <c r="H349" s="204"/>
      <c r="I349" s="205"/>
      <c r="J349" s="205"/>
    </row>
    <row r="350" spans="1:12">
      <c r="A350" s="81" t="str">
        <f>VLOOKUP(B350,'Master List'!$A$4:$C$1633,3,FALSE)</f>
        <v>57-141</v>
      </c>
      <c r="B350" s="235">
        <v>582</v>
      </c>
      <c r="C350" s="24" t="s">
        <v>105</v>
      </c>
      <c r="D350" s="31">
        <v>0.12949516832906988</v>
      </c>
      <c r="E350" s="43">
        <v>0.15617746287635767</v>
      </c>
      <c r="F350" s="132">
        <f t="shared" ref="F350" si="490">(D350-D351)</f>
        <v>7.8622027448531778E-3</v>
      </c>
      <c r="G350" s="132">
        <f t="shared" ref="G350" si="491">F350^2</f>
        <v>6.1814232001176843E-5</v>
      </c>
      <c r="H350" s="132">
        <f t="shared" ref="H350" si="492">(_xlfn.STDEV.S(D350:D351)/AVERAGE(D350:D351))*100</f>
        <v>4.4275540054534952</v>
      </c>
      <c r="I350" s="132">
        <f t="shared" ref="I350" si="493">AVERAGE(D350:D351)</f>
        <v>0.12556406695664329</v>
      </c>
      <c r="J350" s="132">
        <f>AVERAGE(E350:E351)</f>
        <v>0.15510765596564283</v>
      </c>
      <c r="K350" s="88">
        <v>6</v>
      </c>
    </row>
    <row r="351" spans="1:12">
      <c r="A351" s="81" t="str">
        <f>VLOOKUP(B351,'Master List'!$A$4:$C$1633,3,FALSE)</f>
        <v>57-141</v>
      </c>
      <c r="B351" s="235">
        <v>582</v>
      </c>
      <c r="C351" s="24" t="s">
        <v>106</v>
      </c>
      <c r="D351" s="31">
        <v>0.1216329655842167</v>
      </c>
      <c r="E351" s="43">
        <v>0.15403784905492798</v>
      </c>
      <c r="F351" s="204"/>
      <c r="G351" s="204"/>
      <c r="H351" s="204"/>
      <c r="I351" s="205"/>
      <c r="J351" s="205"/>
    </row>
    <row r="352" spans="1:12">
      <c r="A352" s="81" t="str">
        <f>VLOOKUP(B352,'Master List'!$A$4:$C$1633,3,FALSE)</f>
        <v>57-141</v>
      </c>
      <c r="B352" s="235">
        <v>585</v>
      </c>
      <c r="C352" s="24" t="s">
        <v>105</v>
      </c>
      <c r="D352" s="31">
        <v>0.38673118336820667</v>
      </c>
      <c r="E352" s="43">
        <v>0.26508586429929309</v>
      </c>
      <c r="F352" s="132">
        <f t="shared" ref="F352" si="494">(D352-D353)</f>
        <v>2.6261812074130086E-2</v>
      </c>
      <c r="G352" s="132">
        <f t="shared" ref="G352" si="495">F352^2</f>
        <v>6.8968277341692474E-4</v>
      </c>
      <c r="H352" s="132">
        <f t="shared" ref="H352" si="496">(_xlfn.STDEV.S(D352:D353)/AVERAGE(D352:D353))*100</f>
        <v>4.970527735289834</v>
      </c>
      <c r="I352" s="132">
        <f t="shared" ref="I352" si="497">AVERAGE(D352:D353)</f>
        <v>0.37360027733114165</v>
      </c>
      <c r="J352" s="132">
        <f>AVERAGE(E352:E353)</f>
        <v>0.25701719128956546</v>
      </c>
      <c r="K352" s="88">
        <v>6</v>
      </c>
    </row>
    <row r="353" spans="1:12">
      <c r="A353" s="81" t="str">
        <f>VLOOKUP(B353,'Master List'!$A$4:$C$1633,3,FALSE)</f>
        <v>57-141</v>
      </c>
      <c r="B353" s="235">
        <v>585</v>
      </c>
      <c r="C353" s="24" t="s">
        <v>106</v>
      </c>
      <c r="D353" s="31">
        <v>0.36046937129407658</v>
      </c>
      <c r="E353" s="43">
        <v>0.2489485182798378</v>
      </c>
      <c r="F353" s="204"/>
      <c r="G353" s="204"/>
      <c r="H353" s="204"/>
      <c r="I353" s="205"/>
      <c r="J353" s="205"/>
    </row>
    <row r="354" spans="1:12">
      <c r="A354" s="81" t="str">
        <f>VLOOKUP(B354,'Master List'!$A$4:$C$1633,3,FALSE)</f>
        <v>57-141</v>
      </c>
      <c r="B354" s="235">
        <v>587</v>
      </c>
      <c r="C354" s="24" t="s">
        <v>105</v>
      </c>
      <c r="D354" s="31">
        <v>0.42438023695434557</v>
      </c>
      <c r="E354" s="43">
        <v>0.24918260490075289</v>
      </c>
      <c r="F354" s="132">
        <f t="shared" ref="F354" si="498">(D354-D355)</f>
        <v>-3.5740067475491855E-2</v>
      </c>
      <c r="G354" s="132">
        <f t="shared" ref="G354" si="499">F354^2</f>
        <v>1.2773524231527106E-3</v>
      </c>
      <c r="H354" s="132">
        <f t="shared" ref="H354" si="500">(_xlfn.STDEV.S(D354:D355)/AVERAGE(D354:D355))*100</f>
        <v>5.7144213914071855</v>
      </c>
      <c r="I354" s="132">
        <f t="shared" ref="I354" si="501">AVERAGE(D354:D355)</f>
        <v>0.4422502706920915</v>
      </c>
      <c r="J354" s="132">
        <f>AVERAGE(E354:E355)</f>
        <v>0.23362089935152672</v>
      </c>
      <c r="K354" s="88">
        <v>6</v>
      </c>
    </row>
    <row r="355" spans="1:12">
      <c r="A355" s="81" t="str">
        <f>VLOOKUP(B355,'Master List'!$A$4:$C$1633,3,FALSE)</f>
        <v>57-141</v>
      </c>
      <c r="B355" s="235">
        <v>587</v>
      </c>
      <c r="C355" s="24" t="s">
        <v>106</v>
      </c>
      <c r="D355" s="31">
        <v>0.46012030442983742</v>
      </c>
      <c r="E355" s="43">
        <v>0.21805919380230054</v>
      </c>
      <c r="F355" s="204"/>
      <c r="G355" s="204"/>
      <c r="H355" s="204"/>
      <c r="I355" s="205"/>
      <c r="J355" s="205"/>
    </row>
    <row r="356" spans="1:12">
      <c r="A356" s="81" t="str">
        <f>VLOOKUP(B356,'Master List'!$A$4:$C$1633,3,FALSE)</f>
        <v>57-141</v>
      </c>
      <c r="B356" s="235">
        <v>593</v>
      </c>
      <c r="C356" s="24" t="s">
        <v>105</v>
      </c>
      <c r="D356" s="31">
        <v>0.52110347510163291</v>
      </c>
      <c r="E356" s="43">
        <v>0.23820505049899204</v>
      </c>
      <c r="F356" s="132">
        <f t="shared" ref="F356" si="502">(D356-D357)</f>
        <v>3.1930839536410183E-2</v>
      </c>
      <c r="G356" s="132">
        <f t="shared" ref="G356" si="503">F356^2</f>
        <v>1.0195785134999755E-3</v>
      </c>
      <c r="H356" s="132">
        <f t="shared" ref="H356" si="504">(_xlfn.STDEV.S(D356:D357)/AVERAGE(D356:D357))*100</f>
        <v>4.4697707739068866</v>
      </c>
      <c r="I356" s="132">
        <f t="shared" ref="I356" si="505">AVERAGE(D356:D357)</f>
        <v>0.50513805533342782</v>
      </c>
      <c r="J356" s="132">
        <f>AVERAGE(E356:E357)</f>
        <v>0.23781054045681885</v>
      </c>
      <c r="K356" s="88">
        <v>6</v>
      </c>
    </row>
    <row r="357" spans="1:12">
      <c r="A357" s="81" t="str">
        <f>VLOOKUP(B357,'Master List'!$A$4:$C$1633,3,FALSE)</f>
        <v>57-141</v>
      </c>
      <c r="B357" s="235">
        <v>593</v>
      </c>
      <c r="C357" s="24" t="s">
        <v>106</v>
      </c>
      <c r="D357" s="31">
        <v>0.48917263556522272</v>
      </c>
      <c r="E357" s="43">
        <v>0.23741603041464565</v>
      </c>
      <c r="F357" s="204"/>
      <c r="G357" s="204"/>
      <c r="H357" s="204"/>
      <c r="I357" s="205"/>
      <c r="J357" s="205"/>
    </row>
    <row r="358" spans="1:12">
      <c r="A358" s="81" t="str">
        <f>VLOOKUP(B358,'Master List'!$A$4:$C$1633,3,FALSE)</f>
        <v>57-144</v>
      </c>
      <c r="B358" s="235">
        <v>606</v>
      </c>
      <c r="C358" s="24" t="s">
        <v>105</v>
      </c>
      <c r="D358" s="31">
        <v>5.1607660586437615E-3</v>
      </c>
      <c r="E358" s="43">
        <v>2.6541776664711501E-2</v>
      </c>
      <c r="F358" s="132"/>
      <c r="G358" s="132"/>
      <c r="H358" s="132"/>
      <c r="I358" s="132">
        <f t="shared" ref="I358" si="506">AVERAGE(D358:D359)</f>
        <v>5.6706670151951454E-3</v>
      </c>
      <c r="J358" s="132">
        <f>AVERAGE(E358:E359)</f>
        <v>2.8627512591285112E-2</v>
      </c>
      <c r="K358" s="226">
        <v>26</v>
      </c>
      <c r="L358" s="65" t="s">
        <v>233</v>
      </c>
    </row>
    <row r="359" spans="1:12">
      <c r="A359" s="81" t="str">
        <f>VLOOKUP(B359,'Master List'!$A$4:$C$1633,3,FALSE)</f>
        <v>57-144</v>
      </c>
      <c r="B359" s="235">
        <v>606</v>
      </c>
      <c r="C359" s="24" t="s">
        <v>106</v>
      </c>
      <c r="D359" s="31">
        <v>6.1805679717465293E-3</v>
      </c>
      <c r="E359" s="43">
        <v>3.0713248517858723E-2</v>
      </c>
      <c r="F359" s="204"/>
      <c r="G359" s="204"/>
      <c r="H359" s="204"/>
      <c r="I359" s="205"/>
      <c r="J359" s="205"/>
    </row>
    <row r="360" spans="1:12">
      <c r="A360" s="81" t="str">
        <f>VLOOKUP(B360,'Master List'!$A$4:$C$1633,3,FALSE)</f>
        <v>57-144</v>
      </c>
      <c r="B360" s="235">
        <v>608</v>
      </c>
      <c r="C360" s="24" t="s">
        <v>105</v>
      </c>
      <c r="D360" s="31">
        <v>4.0501875658162774E-2</v>
      </c>
      <c r="E360" s="43">
        <v>6.6606054556837213E-2</v>
      </c>
      <c r="F360" s="132">
        <f t="shared" ref="F360" si="507">(D360-D361)</f>
        <v>-1.9915102740334784E-3</v>
      </c>
      <c r="G360" s="132">
        <f t="shared" ref="G360" si="508">F360^2</f>
        <v>3.9661131715808999E-6</v>
      </c>
      <c r="H360" s="132">
        <f t="shared" ref="H360" si="509">(_xlfn.STDEV.S(D360:D361)/AVERAGE(D360:D361))*100</f>
        <v>3.3934718502901475</v>
      </c>
      <c r="I360" s="132">
        <f t="shared" ref="I360" si="510">AVERAGE(D360:D361)</f>
        <v>4.1497630795179513E-2</v>
      </c>
      <c r="J360" s="132">
        <f>AVERAGE(E360:E361)</f>
        <v>7.3446737956909286E-2</v>
      </c>
      <c r="K360" s="88">
        <v>6</v>
      </c>
    </row>
    <row r="361" spans="1:12">
      <c r="A361" s="81" t="str">
        <f>VLOOKUP(B361,'Master List'!$A$4:$C$1633,3,FALSE)</f>
        <v>57-144</v>
      </c>
      <c r="B361" s="235">
        <v>608</v>
      </c>
      <c r="C361" s="24" t="s">
        <v>106</v>
      </c>
      <c r="D361" s="31">
        <v>4.2493385932196252E-2</v>
      </c>
      <c r="E361" s="43">
        <v>8.0287421356981345E-2</v>
      </c>
      <c r="F361" s="204"/>
      <c r="G361" s="204"/>
      <c r="H361" s="204"/>
      <c r="I361" s="205"/>
      <c r="J361" s="205"/>
    </row>
    <row r="362" spans="1:12">
      <c r="A362" s="81" t="str">
        <f>VLOOKUP(B362,'Master List'!$A$4:$C$1633,3,FALSE)</f>
        <v>57-144</v>
      </c>
      <c r="B362" s="235">
        <v>609</v>
      </c>
      <c r="C362" s="24" t="s">
        <v>105</v>
      </c>
      <c r="D362" s="31">
        <v>0.14697444195541784</v>
      </c>
      <c r="E362" s="43">
        <v>0.21102205015441761</v>
      </c>
      <c r="F362" s="132">
        <f t="shared" ref="F362" si="511">(D362-D363)</f>
        <v>-6.6516661759772611E-3</v>
      </c>
      <c r="G362" s="132">
        <f t="shared" ref="G362" si="512">F362^2</f>
        <v>4.4244662916639956E-5</v>
      </c>
      <c r="H362" s="132">
        <f t="shared" ref="H362" si="513">(_xlfn.STDEV.S(D362:D363)/AVERAGE(D362:D363))*100</f>
        <v>3.129361045989016</v>
      </c>
      <c r="I362" s="132">
        <f t="shared" ref="I362" si="514">AVERAGE(D362:D363)</f>
        <v>0.15030027504340648</v>
      </c>
      <c r="J362" s="132">
        <f>AVERAGE(E362:E363)</f>
        <v>0.20244461786348489</v>
      </c>
      <c r="K362" s="88">
        <v>6</v>
      </c>
    </row>
    <row r="363" spans="1:12">
      <c r="A363" s="81" t="str">
        <f>VLOOKUP(B363,'Master List'!$A$4:$C$1633,3,FALSE)</f>
        <v>57-144</v>
      </c>
      <c r="B363" s="235">
        <v>609</v>
      </c>
      <c r="C363" s="24" t="s">
        <v>106</v>
      </c>
      <c r="D363" s="31">
        <v>0.1536261081313951</v>
      </c>
      <c r="E363" s="43">
        <v>0.19386718557255217</v>
      </c>
      <c r="F363" s="204"/>
      <c r="G363" s="204"/>
      <c r="H363" s="204"/>
      <c r="I363" s="205"/>
      <c r="J363" s="205"/>
    </row>
    <row r="364" spans="1:12">
      <c r="A364" s="81" t="str">
        <f>VLOOKUP(B364,'Master List'!$A$4:$C$1633,3,FALSE)</f>
        <v>57-144</v>
      </c>
      <c r="B364" s="235">
        <v>611</v>
      </c>
      <c r="C364" s="24" t="s">
        <v>105</v>
      </c>
      <c r="D364" s="31">
        <v>0.30860484741762906</v>
      </c>
      <c r="E364" s="43">
        <v>0.17470330357062733</v>
      </c>
      <c r="F364" s="132">
        <f t="shared" ref="F364" si="515">(D364-D365)</f>
        <v>1.8721508218246363E-2</v>
      </c>
      <c r="G364" s="132">
        <f t="shared" ref="G364" si="516">F364^2</f>
        <v>3.5049486996586613E-4</v>
      </c>
      <c r="H364" s="132">
        <f t="shared" ref="H364" si="517">(_xlfn.STDEV.S(D364:D365)/AVERAGE(D364:D365))*100</f>
        <v>4.4238485274006232</v>
      </c>
      <c r="I364" s="132">
        <f t="shared" ref="I364" si="518">AVERAGE(D364:D365)</f>
        <v>0.29924409330850588</v>
      </c>
      <c r="J364" s="132">
        <f>AVERAGE(E364:E365)</f>
        <v>0.16681168697322091</v>
      </c>
      <c r="K364" s="88">
        <v>6</v>
      </c>
    </row>
    <row r="365" spans="1:12">
      <c r="A365" s="81" t="str">
        <f>VLOOKUP(B365,'Master List'!$A$4:$C$1633,3,FALSE)</f>
        <v>57-144</v>
      </c>
      <c r="B365" s="235">
        <v>611</v>
      </c>
      <c r="C365" s="24" t="s">
        <v>106</v>
      </c>
      <c r="D365" s="31">
        <v>0.28988333919938269</v>
      </c>
      <c r="E365" s="43">
        <v>0.15892007037581449</v>
      </c>
      <c r="F365" s="204"/>
      <c r="G365" s="204"/>
      <c r="H365" s="204"/>
      <c r="I365" s="205"/>
      <c r="J365" s="205"/>
    </row>
    <row r="366" spans="1:12">
      <c r="A366" s="81" t="str">
        <f>VLOOKUP(B366,'Master List'!$A$4:$C$1633,3,FALSE)</f>
        <v>57-144</v>
      </c>
      <c r="B366" s="235">
        <v>612</v>
      </c>
      <c r="C366" s="24" t="s">
        <v>105</v>
      </c>
      <c r="D366" s="31">
        <v>0.30431632350974208</v>
      </c>
      <c r="E366" s="43">
        <v>0.16559770269782356</v>
      </c>
      <c r="F366" s="132">
        <f t="shared" ref="F366" si="519">(D366-D367)</f>
        <v>2.2117022305120804E-2</v>
      </c>
      <c r="G366" s="132">
        <f t="shared" ref="G366" si="520">F366^2</f>
        <v>4.8916267564521113E-4</v>
      </c>
      <c r="H366" s="132">
        <f t="shared" ref="H366" si="521">(_xlfn.STDEV.S(D366:D367)/AVERAGE(D366:D367))*100</f>
        <v>5.3328831467094782</v>
      </c>
      <c r="I366" s="132">
        <f t="shared" ref="I366" si="522">AVERAGE(D366:D367)</f>
        <v>0.29325781235718168</v>
      </c>
      <c r="J366" s="132">
        <f>AVERAGE(E366:E367)</f>
        <v>0.18818236265748919</v>
      </c>
      <c r="K366" s="88">
        <v>6</v>
      </c>
    </row>
    <row r="367" spans="1:12">
      <c r="A367" s="81" t="str">
        <f>VLOOKUP(B367,'Master List'!$A$4:$C$1633,3,FALSE)</f>
        <v>57-144</v>
      </c>
      <c r="B367" s="235">
        <v>612</v>
      </c>
      <c r="C367" s="24" t="s">
        <v>106</v>
      </c>
      <c r="D367" s="31">
        <v>0.28219930120462128</v>
      </c>
      <c r="E367" s="43">
        <v>0.21076702261715483</v>
      </c>
      <c r="F367" s="204"/>
      <c r="G367" s="204"/>
      <c r="H367" s="204"/>
      <c r="I367" s="205"/>
      <c r="J367" s="205"/>
    </row>
    <row r="368" spans="1:12">
      <c r="A368" s="81" t="str">
        <f>VLOOKUP(B368,'Master List'!$A$4:$C$1633,3,FALSE)</f>
        <v>57-144</v>
      </c>
      <c r="B368" s="235">
        <v>615</v>
      </c>
      <c r="C368" s="24" t="s">
        <v>105</v>
      </c>
      <c r="D368" s="31">
        <v>0.30204663575780444</v>
      </c>
      <c r="E368" s="43">
        <v>0.19150510300216256</v>
      </c>
      <c r="F368" s="132">
        <f t="shared" ref="F368" si="523">(D368-D369)</f>
        <v>1.0461440632697272E-2</v>
      </c>
      <c r="G368" s="132">
        <f t="shared" ref="G368" si="524">F368^2</f>
        <v>1.094417401114495E-4</v>
      </c>
      <c r="H368" s="132">
        <f t="shared" ref="H368" si="525">(_xlfn.STDEV.S(D368:D369)/AVERAGE(D368:D369))*100</f>
        <v>2.4922368469893548</v>
      </c>
      <c r="I368" s="132">
        <f t="shared" ref="I368" si="526">AVERAGE(D368:D369)</f>
        <v>0.2968159154414558</v>
      </c>
      <c r="J368" s="132">
        <f>AVERAGE(E368:E369)</f>
        <v>0.19779304420127436</v>
      </c>
      <c r="K368" s="88">
        <v>6</v>
      </c>
    </row>
    <row r="369" spans="1:12">
      <c r="A369" s="81" t="str">
        <f>VLOOKUP(B369,'Master List'!$A$4:$C$1633,3,FALSE)</f>
        <v>57-144</v>
      </c>
      <c r="B369" s="235">
        <v>615</v>
      </c>
      <c r="C369" s="24" t="s">
        <v>106</v>
      </c>
      <c r="D369" s="31">
        <v>0.29158519512510717</v>
      </c>
      <c r="E369" s="43">
        <v>0.20408098540038613</v>
      </c>
      <c r="F369" s="204"/>
      <c r="G369" s="204"/>
      <c r="H369" s="204"/>
      <c r="I369" s="205"/>
      <c r="J369" s="205"/>
    </row>
    <row r="370" spans="1:12">
      <c r="A370" s="81" t="str">
        <f>VLOOKUP(B370,'Master List'!$A$4:$C$1633,3,FALSE)</f>
        <v>56-144</v>
      </c>
      <c r="B370" s="235">
        <v>622</v>
      </c>
      <c r="C370" s="24" t="s">
        <v>105</v>
      </c>
      <c r="D370" s="31">
        <v>3.5944465072222948E-3</v>
      </c>
      <c r="E370" s="43">
        <v>3.7855466193402687E-2</v>
      </c>
      <c r="F370" s="132"/>
      <c r="G370" s="132"/>
      <c r="H370" s="132"/>
      <c r="I370" s="132">
        <f t="shared" ref="I370" si="527">AVERAGE(D370:D371)</f>
        <v>3.8712576910307317E-3</v>
      </c>
      <c r="J370" s="132">
        <f>AVERAGE(E370:E371)</f>
        <v>3.8926001338870572E-2</v>
      </c>
      <c r="K370" s="226">
        <v>26</v>
      </c>
      <c r="L370" s="65" t="s">
        <v>233</v>
      </c>
    </row>
    <row r="371" spans="1:12">
      <c r="A371" s="81" t="str">
        <f>VLOOKUP(B371,'Master List'!$A$4:$C$1633,3,FALSE)</f>
        <v>56-144</v>
      </c>
      <c r="B371" s="235">
        <v>622</v>
      </c>
      <c r="C371" s="24" t="s">
        <v>106</v>
      </c>
      <c r="D371" s="31">
        <v>4.1480688748391685E-3</v>
      </c>
      <c r="E371" s="43">
        <v>3.999653648433845E-2</v>
      </c>
      <c r="F371" s="204"/>
      <c r="G371" s="204"/>
      <c r="H371" s="204"/>
      <c r="I371" s="205"/>
      <c r="J371" s="205"/>
    </row>
    <row r="372" spans="1:12">
      <c r="A372" s="81" t="str">
        <f>VLOOKUP(B372,'Master List'!$A$4:$C$1633,3,FALSE)</f>
        <v>56-144</v>
      </c>
      <c r="B372" s="235">
        <v>626</v>
      </c>
      <c r="C372" s="24" t="s">
        <v>105</v>
      </c>
      <c r="D372" s="31">
        <v>3.4797324549391898E-2</v>
      </c>
      <c r="E372" s="43">
        <v>5.6503932875805463E-2</v>
      </c>
      <c r="F372" s="132">
        <f t="shared" ref="F372" si="528">(D372-D373)</f>
        <v>-2.1478143185925877E-3</v>
      </c>
      <c r="G372" s="132">
        <f t="shared" ref="G372" si="529">F372^2</f>
        <v>4.6131063471513421E-6</v>
      </c>
      <c r="H372" s="132">
        <f t="shared" ref="H372" si="530">(_xlfn.STDEV.S(D372:D373)/AVERAGE(D372:D373))*100</f>
        <v>4.2338497928927747</v>
      </c>
      <c r="I372" s="132">
        <f t="shared" ref="I372" si="531">AVERAGE(D372:D373)</f>
        <v>3.5871231708688195E-2</v>
      </c>
      <c r="J372" s="132">
        <f>AVERAGE(E372:E373)</f>
        <v>5.7696572085061792E-2</v>
      </c>
      <c r="K372" s="88">
        <v>6</v>
      </c>
    </row>
    <row r="373" spans="1:12">
      <c r="A373" s="81" t="str">
        <f>VLOOKUP(B373,'Master List'!$A$4:$C$1633,3,FALSE)</f>
        <v>56-144</v>
      </c>
      <c r="B373" s="235">
        <v>626</v>
      </c>
      <c r="C373" s="24" t="s">
        <v>106</v>
      </c>
      <c r="D373" s="31">
        <v>3.6945138867984485E-2</v>
      </c>
      <c r="E373" s="43">
        <v>5.8889211294318129E-2</v>
      </c>
      <c r="F373" s="204"/>
      <c r="G373" s="204"/>
      <c r="H373" s="204"/>
      <c r="I373" s="205"/>
      <c r="J373" s="205"/>
    </row>
    <row r="374" spans="1:12">
      <c r="A374" s="81" t="str">
        <f>VLOOKUP(B374,'Master List'!$A$4:$C$1633,3,FALSE)</f>
        <v>56-144</v>
      </c>
      <c r="B374" s="235">
        <v>627</v>
      </c>
      <c r="C374" s="24" t="s">
        <v>105</v>
      </c>
      <c r="D374" s="31">
        <v>0.17429103307150301</v>
      </c>
      <c r="E374" s="43">
        <v>0.1826397878998457</v>
      </c>
      <c r="F374" s="132">
        <f t="shared" ref="F374" si="532">(D374-D375)</f>
        <v>-4.5273521158322449E-3</v>
      </c>
      <c r="G374" s="132">
        <f t="shared" ref="G374" si="533">F374^2</f>
        <v>2.0496917180730705E-5</v>
      </c>
      <c r="H374" s="132">
        <f t="shared" ref="H374" si="534">(_xlfn.STDEV.S(D374:D375)/AVERAGE(D374:D375))*100</f>
        <v>1.8132177825840905</v>
      </c>
      <c r="I374" s="132">
        <f t="shared" ref="I374" si="535">AVERAGE(D374:D375)</f>
        <v>0.17655470912941912</v>
      </c>
      <c r="J374" s="132">
        <f>AVERAGE(E374:E375)</f>
        <v>0.17534820968633741</v>
      </c>
      <c r="K374" s="88">
        <v>6</v>
      </c>
    </row>
    <row r="375" spans="1:12">
      <c r="A375" s="81" t="str">
        <f>VLOOKUP(B375,'Master List'!$A$4:$C$1633,3,FALSE)</f>
        <v>56-144</v>
      </c>
      <c r="B375" s="235">
        <v>627</v>
      </c>
      <c r="C375" s="24" t="s">
        <v>106</v>
      </c>
      <c r="D375" s="31">
        <v>0.17881838518733525</v>
      </c>
      <c r="E375" s="43">
        <v>0.16805663147282915</v>
      </c>
      <c r="F375" s="204"/>
      <c r="G375" s="204"/>
      <c r="H375" s="204"/>
      <c r="I375" s="205"/>
      <c r="J375" s="205"/>
    </row>
    <row r="376" spans="1:12">
      <c r="A376" s="81" t="str">
        <f>VLOOKUP(B376,'Master List'!$A$4:$C$1633,3,FALSE)</f>
        <v>56-144</v>
      </c>
      <c r="B376" s="235">
        <v>630</v>
      </c>
      <c r="C376" s="24" t="s">
        <v>105</v>
      </c>
      <c r="D376" s="31">
        <v>0.28143581606389018</v>
      </c>
      <c r="E376" s="43">
        <v>0.20031607949525443</v>
      </c>
      <c r="F376" s="132">
        <f t="shared" ref="F376" si="536">(D376-D377)</f>
        <v>2.4396547374549993E-3</v>
      </c>
      <c r="G376" s="132">
        <f t="shared" ref="G376" si="537">F376^2</f>
        <v>5.9519152379866213E-6</v>
      </c>
      <c r="H376" s="132">
        <f t="shared" ref="H376" si="538">(_xlfn.STDEV.S(D376:D377)/AVERAGE(D376:D377))*100</f>
        <v>0.61563096975347442</v>
      </c>
      <c r="I376" s="132">
        <f t="shared" ref="I376" si="539">AVERAGE(D376:D377)</f>
        <v>0.28021598869516268</v>
      </c>
      <c r="J376" s="132">
        <f>AVERAGE(E376:E377)</f>
        <v>0.2032383986629786</v>
      </c>
      <c r="K376" s="88">
        <v>6</v>
      </c>
    </row>
    <row r="377" spans="1:12">
      <c r="A377" s="81" t="str">
        <f>VLOOKUP(B377,'Master List'!$A$4:$C$1633,3,FALSE)</f>
        <v>56-144</v>
      </c>
      <c r="B377" s="235">
        <v>630</v>
      </c>
      <c r="C377" s="24" t="s">
        <v>106</v>
      </c>
      <c r="D377" s="31">
        <v>0.27899616132643518</v>
      </c>
      <c r="E377" s="43">
        <v>0.20616071783070275</v>
      </c>
      <c r="F377" s="204"/>
      <c r="G377" s="204"/>
      <c r="H377" s="204"/>
      <c r="I377" s="205"/>
      <c r="J377" s="205"/>
    </row>
    <row r="378" spans="1:12">
      <c r="A378" s="81" t="str">
        <f>VLOOKUP(B378,'Master List'!$A$4:$C$1633,3,FALSE)</f>
        <v>56-144</v>
      </c>
      <c r="B378" s="235">
        <v>632</v>
      </c>
      <c r="C378" s="24" t="s">
        <v>105</v>
      </c>
      <c r="D378" s="31">
        <v>0.1981585513721586</v>
      </c>
      <c r="E378" s="43">
        <v>0.13411817906669002</v>
      </c>
      <c r="F378" s="132">
        <f t="shared" ref="F378" si="540">(D378-D379)</f>
        <v>-0.11772044581149277</v>
      </c>
      <c r="G378" s="132">
        <f t="shared" ref="G378" si="541">F378^2</f>
        <v>1.3858103362056605E-2</v>
      </c>
      <c r="H378" s="132">
        <f t="shared" ref="H378" si="542">(_xlfn.STDEV.S(D378:D379)/AVERAGE(D378:D379))*100</f>
        <v>32.387099250424683</v>
      </c>
      <c r="I378" s="132">
        <f t="shared" ref="I378" si="543">AVERAGE(D378:D379)</f>
        <v>0.25701877427790498</v>
      </c>
      <c r="J378" s="132">
        <f>AVERAGE(E378:E379)</f>
        <v>0.15838898994796666</v>
      </c>
      <c r="K378" s="237">
        <v>46</v>
      </c>
      <c r="L378" s="238" t="s">
        <v>240</v>
      </c>
    </row>
    <row r="379" spans="1:12">
      <c r="A379" s="81" t="str">
        <f>VLOOKUP(B379,'Master List'!$A$4:$C$1633,3,FALSE)</f>
        <v>56-144</v>
      </c>
      <c r="B379" s="235">
        <v>632</v>
      </c>
      <c r="C379" s="24" t="s">
        <v>106</v>
      </c>
      <c r="D379" s="31">
        <v>0.31587899718365137</v>
      </c>
      <c r="E379" s="43">
        <v>0.1826598008292433</v>
      </c>
      <c r="F379" s="204"/>
      <c r="G379" s="204"/>
      <c r="H379" s="204"/>
      <c r="I379" s="205"/>
      <c r="J379" s="205"/>
    </row>
    <row r="380" spans="1:12">
      <c r="A380" s="81" t="str">
        <f>VLOOKUP(B380,'Master List'!$A$4:$C$1633,3,FALSE)</f>
        <v>56-144</v>
      </c>
      <c r="B380" s="235">
        <v>638</v>
      </c>
      <c r="C380" s="24" t="s">
        <v>105</v>
      </c>
      <c r="D380" s="31">
        <v>0.3131185365925036</v>
      </c>
      <c r="E380" s="43">
        <v>0.1650776791415752</v>
      </c>
      <c r="F380" s="132">
        <f t="shared" ref="F380" si="544">(D380-D381)</f>
        <v>-4.7995178997150001E-3</v>
      </c>
      <c r="G380" s="132">
        <f t="shared" ref="G380" si="545">F380^2</f>
        <v>2.3035372069684685E-5</v>
      </c>
      <c r="H380" s="132">
        <f t="shared" ref="H380" si="546">(_xlfn.STDEV.S(D380:D381)/AVERAGE(D380:D381))*100</f>
        <v>1.0756180231897359</v>
      </c>
      <c r="I380" s="132">
        <f t="shared" ref="I380" si="547">AVERAGE(D380:D381)</f>
        <v>0.3155182955423611</v>
      </c>
      <c r="J380" s="132">
        <f>AVERAGE(E380:E381)</f>
        <v>0.17507022021050059</v>
      </c>
      <c r="K380" s="88">
        <v>6</v>
      </c>
    </row>
    <row r="381" spans="1:12">
      <c r="A381" s="81" t="str">
        <f>VLOOKUP(B381,'Master List'!$A$4:$C$1633,3,FALSE)</f>
        <v>56-144</v>
      </c>
      <c r="B381" s="235">
        <v>638</v>
      </c>
      <c r="C381" s="24" t="s">
        <v>106</v>
      </c>
      <c r="D381" s="31">
        <v>0.3179180544922186</v>
      </c>
      <c r="E381" s="43">
        <v>0.18506276127942597</v>
      </c>
      <c r="F381" s="204"/>
      <c r="G381" s="204"/>
      <c r="H381" s="204"/>
      <c r="I381" s="205"/>
      <c r="J381" s="205"/>
    </row>
    <row r="382" spans="1:12">
      <c r="A382" s="81" t="str">
        <f>VLOOKUP(B382,'Master List'!$A$4:$C$1633,3,FALSE)</f>
        <v>55-144</v>
      </c>
      <c r="B382" s="235">
        <v>651</v>
      </c>
      <c r="C382" s="24" t="s">
        <v>105</v>
      </c>
      <c r="D382" s="31">
        <v>4.0792076524109964E-3</v>
      </c>
      <c r="E382" s="43">
        <v>3.8650449331700837E-2</v>
      </c>
      <c r="F382" s="132"/>
      <c r="G382" s="132"/>
      <c r="H382" s="132"/>
      <c r="I382" s="132">
        <f t="shared" ref="I382" si="548">AVERAGE(D382:D383)</f>
        <v>4.4606769639574714E-3</v>
      </c>
      <c r="J382" s="132">
        <f>AVERAGE(E382:E383)</f>
        <v>3.5928024455368177E-2</v>
      </c>
      <c r="K382" s="226">
        <v>26</v>
      </c>
      <c r="L382" s="65" t="s">
        <v>233</v>
      </c>
    </row>
    <row r="383" spans="1:12">
      <c r="A383" s="81" t="str">
        <f>VLOOKUP(B383,'Master List'!$A$4:$C$1633,3,FALSE)</f>
        <v>55-144</v>
      </c>
      <c r="B383" s="235">
        <v>651</v>
      </c>
      <c r="C383" s="24" t="s">
        <v>106</v>
      </c>
      <c r="D383" s="31">
        <v>4.8421462755039463E-3</v>
      </c>
      <c r="E383" s="43">
        <v>3.3205599579035523E-2</v>
      </c>
      <c r="F383" s="204"/>
      <c r="G383" s="204"/>
      <c r="H383" s="204"/>
      <c r="I383" s="205"/>
      <c r="J383" s="205"/>
    </row>
    <row r="384" spans="1:12">
      <c r="A384" s="81" t="str">
        <f>VLOOKUP(B384,'Master List'!$A$4:$C$1633,3,FALSE)</f>
        <v>55-144</v>
      </c>
      <c r="B384" s="235">
        <v>653</v>
      </c>
      <c r="C384" s="24" t="s">
        <v>105</v>
      </c>
      <c r="D384" s="31">
        <v>5.5891812353218218E-2</v>
      </c>
      <c r="E384" s="43">
        <v>7.9613671679873849E-2</v>
      </c>
      <c r="F384" s="132">
        <f t="shared" ref="F384" si="549">(D384-D385)</f>
        <v>2.3128626453648576E-3</v>
      </c>
      <c r="G384" s="132">
        <f t="shared" ref="G384" si="550">F384^2</f>
        <v>5.349333616324127E-6</v>
      </c>
      <c r="H384" s="132">
        <f t="shared" ref="H384" si="551">(_xlfn.STDEV.S(D384:D385)/AVERAGE(D384:D385))*100</f>
        <v>2.9879044042429661</v>
      </c>
      <c r="I384" s="132">
        <f t="shared" ref="I384" si="552">AVERAGE(D384:D385)</f>
        <v>5.4735381030535789E-2</v>
      </c>
      <c r="J384" s="132">
        <f>AVERAGE(E384:E385)</f>
        <v>7.6449205575845752E-2</v>
      </c>
      <c r="K384" s="88">
        <v>6</v>
      </c>
    </row>
    <row r="385" spans="1:12">
      <c r="A385" s="81" t="str">
        <f>VLOOKUP(B385,'Master List'!$A$4:$C$1633,3,FALSE)</f>
        <v>55-144</v>
      </c>
      <c r="B385" s="235">
        <v>653</v>
      </c>
      <c r="C385" s="24" t="s">
        <v>106</v>
      </c>
      <c r="D385" s="31">
        <v>5.357894970785336E-2</v>
      </c>
      <c r="E385" s="43">
        <v>7.3284739471817656E-2</v>
      </c>
      <c r="F385" s="204"/>
      <c r="G385" s="204"/>
      <c r="H385" s="204"/>
      <c r="I385" s="205"/>
      <c r="J385" s="205"/>
    </row>
    <row r="386" spans="1:12">
      <c r="A386" s="81" t="str">
        <f>VLOOKUP(B386,'Master List'!$A$4:$C$1633,3,FALSE)</f>
        <v>55-144</v>
      </c>
      <c r="B386" s="235">
        <v>654</v>
      </c>
      <c r="C386" s="24" t="s">
        <v>105</v>
      </c>
      <c r="D386" s="31">
        <v>0.17609618083086975</v>
      </c>
      <c r="E386" s="43">
        <v>0.17298106636261704</v>
      </c>
      <c r="F386" s="132">
        <f t="shared" ref="F386" si="553">(D386-D387)</f>
        <v>-3.0894642094158042E-3</v>
      </c>
      <c r="G386" s="132">
        <f t="shared" ref="G386" si="554">F386^2</f>
        <v>9.5447891012612205E-6</v>
      </c>
      <c r="H386" s="132">
        <f t="shared" ref="H386" si="555">(_xlfn.STDEV.S(D386:D387)/AVERAGE(D386:D387))*100</f>
        <v>1.229773623998037</v>
      </c>
      <c r="I386" s="132">
        <f t="shared" ref="I386" si="556">AVERAGE(D386:D387)</f>
        <v>0.17764091293557766</v>
      </c>
      <c r="J386" s="132">
        <f>AVERAGE(E386:E387)</f>
        <v>0.16015054828027753</v>
      </c>
      <c r="K386" s="88">
        <v>6</v>
      </c>
    </row>
    <row r="387" spans="1:12">
      <c r="A387" s="81" t="str">
        <f>VLOOKUP(B387,'Master List'!$A$4:$C$1633,3,FALSE)</f>
        <v>55-144</v>
      </c>
      <c r="B387" s="235">
        <v>654</v>
      </c>
      <c r="C387" s="24" t="s">
        <v>106</v>
      </c>
      <c r="D387" s="31">
        <v>0.17918564504028556</v>
      </c>
      <c r="E387" s="43">
        <v>0.14732003019793805</v>
      </c>
      <c r="F387" s="204"/>
      <c r="G387" s="204"/>
      <c r="H387" s="204"/>
      <c r="I387" s="205"/>
      <c r="J387" s="205"/>
    </row>
    <row r="388" spans="1:12">
      <c r="A388" s="81" t="str">
        <f>VLOOKUP(B388,'Master List'!$A$4:$C$1633,3,FALSE)</f>
        <v>55-144</v>
      </c>
      <c r="B388" s="235">
        <v>656</v>
      </c>
      <c r="C388" s="24" t="s">
        <v>105</v>
      </c>
      <c r="D388" s="31">
        <v>0.24339490933107655</v>
      </c>
      <c r="E388" s="43">
        <v>0.21860826914316683</v>
      </c>
      <c r="F388" s="132">
        <f t="shared" ref="F388" si="557">(D388-D389)</f>
        <v>-4.601678514643659E-3</v>
      </c>
      <c r="G388" s="132">
        <f t="shared" ref="G388" si="558">F388^2</f>
        <v>2.1175445152133071E-5</v>
      </c>
      <c r="H388" s="132">
        <f t="shared" ref="H388" si="559">(_xlfn.STDEV.S(D388:D389)/AVERAGE(D388:D389))*100</f>
        <v>1.3243526195465547</v>
      </c>
      <c r="I388" s="132">
        <f t="shared" ref="I388" si="560">AVERAGE(D388:D389)</f>
        <v>0.24569574858839838</v>
      </c>
      <c r="J388" s="132">
        <f>AVERAGE(E388:E389)</f>
        <v>0.20207156574334489</v>
      </c>
      <c r="K388" s="88">
        <v>6</v>
      </c>
    </row>
    <row r="389" spans="1:12">
      <c r="A389" s="81" t="str">
        <f>VLOOKUP(B389,'Master List'!$A$4:$C$1633,3,FALSE)</f>
        <v>55-144</v>
      </c>
      <c r="B389" s="235">
        <v>656</v>
      </c>
      <c r="C389" s="24" t="s">
        <v>106</v>
      </c>
      <c r="D389" s="31">
        <v>0.24799658784572021</v>
      </c>
      <c r="E389" s="43">
        <v>0.18553486234352298</v>
      </c>
      <c r="F389" s="204"/>
      <c r="G389" s="204"/>
      <c r="H389" s="204"/>
      <c r="I389" s="205"/>
      <c r="J389" s="205"/>
    </row>
    <row r="390" spans="1:12">
      <c r="A390" s="81" t="str">
        <f>VLOOKUP(B390,'Master List'!$A$4:$C$1633,3,FALSE)</f>
        <v>55-144</v>
      </c>
      <c r="B390" s="235">
        <v>657</v>
      </c>
      <c r="C390" s="24" t="s">
        <v>105</v>
      </c>
      <c r="D390" s="31">
        <v>0.28395854148236932</v>
      </c>
      <c r="E390" s="43">
        <v>0.14359200548911075</v>
      </c>
      <c r="F390" s="132">
        <f t="shared" ref="F390" si="561">(D390-D391)</f>
        <v>2.7874039107170234E-2</v>
      </c>
      <c r="G390" s="132">
        <f t="shared" ref="G390" si="562">F390^2</f>
        <v>7.7696205614805557E-4</v>
      </c>
      <c r="H390" s="132">
        <f t="shared" ref="H390" si="563">(_xlfn.STDEV.S(D390:D391)/AVERAGE(D390:D391))*100</f>
        <v>7.2993892971751375</v>
      </c>
      <c r="I390" s="132">
        <f t="shared" ref="I390" si="564">AVERAGE(D390:D391)</f>
        <v>0.2700215219287842</v>
      </c>
      <c r="J390" s="132">
        <f>AVERAGE(E390:E391)</f>
        <v>0.15600704009513008</v>
      </c>
      <c r="K390" s="88">
        <v>6</v>
      </c>
    </row>
    <row r="391" spans="1:12">
      <c r="A391" s="81" t="str">
        <f>VLOOKUP(B391,'Master List'!$A$4:$C$1633,3,FALSE)</f>
        <v>55-144</v>
      </c>
      <c r="B391" s="235">
        <v>657</v>
      </c>
      <c r="C391" s="24" t="s">
        <v>106</v>
      </c>
      <c r="D391" s="31">
        <v>0.25608450237519909</v>
      </c>
      <c r="E391" s="43">
        <v>0.16842207470114942</v>
      </c>
      <c r="F391" s="204"/>
      <c r="G391" s="204"/>
      <c r="H391" s="204"/>
      <c r="I391" s="205"/>
      <c r="J391" s="205"/>
    </row>
    <row r="392" spans="1:12">
      <c r="A392" s="81" t="str">
        <f>VLOOKUP(B392,'Master List'!$A$4:$C$1633,3,FALSE)</f>
        <v>55-144</v>
      </c>
      <c r="B392" s="235">
        <v>660</v>
      </c>
      <c r="C392" s="24" t="s">
        <v>105</v>
      </c>
      <c r="D392" s="31">
        <v>0.261368781420103</v>
      </c>
      <c r="E392" s="43">
        <v>0.20444546238552189</v>
      </c>
      <c r="F392" s="132">
        <f t="shared" ref="F392" si="565">(D392-D393)</f>
        <v>-1.9221025339669628E-2</v>
      </c>
      <c r="G392" s="132">
        <f t="shared" ref="G392" si="566">F392^2</f>
        <v>3.6944781510822198E-4</v>
      </c>
      <c r="H392" s="132">
        <f t="shared" ref="H392" si="567">(_xlfn.STDEV.S(D392:D393)/AVERAGE(D392:D393))*100</f>
        <v>5.0156294799882053</v>
      </c>
      <c r="I392" s="132">
        <f t="shared" ref="I392" si="568">AVERAGE(D392:D393)</f>
        <v>0.27097929408993782</v>
      </c>
      <c r="J392" s="132">
        <f>AVERAGE(E392:E393)</f>
        <v>0.17739409136065426</v>
      </c>
      <c r="K392" s="88">
        <v>6</v>
      </c>
    </row>
    <row r="393" spans="1:12">
      <c r="A393" s="81" t="str">
        <f>VLOOKUP(B393,'Master List'!$A$4:$C$1633,3,FALSE)</f>
        <v>55-144</v>
      </c>
      <c r="B393" s="235">
        <v>660</v>
      </c>
      <c r="C393" s="24" t="s">
        <v>106</v>
      </c>
      <c r="D393" s="31">
        <v>0.28058980675977263</v>
      </c>
      <c r="E393" s="43">
        <v>0.15034272033578661</v>
      </c>
      <c r="F393" s="204"/>
      <c r="G393" s="204"/>
      <c r="H393" s="204"/>
      <c r="I393" s="205"/>
      <c r="J393" s="205"/>
    </row>
    <row r="394" spans="1:12">
      <c r="A394" s="81" t="str">
        <f>VLOOKUP(B394,'Master List'!$A$4:$C$1633,3,FALSE)</f>
        <v>54-144</v>
      </c>
      <c r="B394" s="235">
        <v>667</v>
      </c>
      <c r="C394" s="24" t="s">
        <v>105</v>
      </c>
      <c r="D394" s="31">
        <v>8.3163589022961105E-3</v>
      </c>
      <c r="E394" s="43">
        <v>2.62419007970131E-2</v>
      </c>
      <c r="F394" s="132"/>
      <c r="G394" s="132"/>
      <c r="H394" s="132"/>
      <c r="I394" s="132">
        <f t="shared" ref="I394" si="569">AVERAGE(D394:D395)</f>
        <v>1.0202118013314897E-2</v>
      </c>
      <c r="J394" s="132">
        <f>AVERAGE(E394:E395)</f>
        <v>2.6948492358560099E-2</v>
      </c>
      <c r="K394" s="226">
        <v>26</v>
      </c>
      <c r="L394" s="65" t="s">
        <v>233</v>
      </c>
    </row>
    <row r="395" spans="1:12">
      <c r="A395" s="81" t="str">
        <f>VLOOKUP(B395,'Master List'!$A$4:$C$1633,3,FALSE)</f>
        <v>54-144</v>
      </c>
      <c r="B395" s="235">
        <v>667</v>
      </c>
      <c r="C395" s="24" t="s">
        <v>106</v>
      </c>
      <c r="D395" s="31">
        <v>1.2087877124333683E-2</v>
      </c>
      <c r="E395" s="43">
        <v>2.7655083920107099E-2</v>
      </c>
      <c r="F395" s="204"/>
      <c r="G395" s="204"/>
      <c r="H395" s="204"/>
      <c r="I395" s="205"/>
      <c r="J395" s="205"/>
    </row>
    <row r="396" spans="1:12">
      <c r="A396" s="81" t="str">
        <f>VLOOKUP(B396,'Master List'!$A$4:$C$1633,3,FALSE)</f>
        <v>54-144</v>
      </c>
      <c r="B396" s="235">
        <v>671</v>
      </c>
      <c r="C396" s="24" t="s">
        <v>105</v>
      </c>
      <c r="D396" s="31">
        <v>5.8891647669949747E-2</v>
      </c>
      <c r="E396" s="43">
        <v>0.10250495044185945</v>
      </c>
      <c r="F396" s="132">
        <f t="shared" ref="F396" si="570">(D396-D397)</f>
        <v>-2.1915357296581062E-3</v>
      </c>
      <c r="G396" s="132">
        <f t="shared" ref="G396" si="571">F396^2</f>
        <v>4.8028288543680882E-6</v>
      </c>
      <c r="H396" s="132">
        <f t="shared" ref="H396" si="572">(_xlfn.STDEV.S(D396:D397)/AVERAGE(D396:D397))*100</f>
        <v>2.5832914484462455</v>
      </c>
      <c r="I396" s="132">
        <f t="shared" ref="I396" si="573">AVERAGE(D396:D397)</f>
        <v>5.99874155347788E-2</v>
      </c>
      <c r="J396" s="132">
        <f>AVERAGE(E396:E397)</f>
        <v>9.2146293927918552E-2</v>
      </c>
      <c r="K396" s="88">
        <v>6</v>
      </c>
    </row>
    <row r="397" spans="1:12">
      <c r="A397" s="81" t="str">
        <f>VLOOKUP(B397,'Master List'!$A$4:$C$1633,3,FALSE)</f>
        <v>54-144</v>
      </c>
      <c r="B397" s="235">
        <v>671</v>
      </c>
      <c r="C397" s="24" t="s">
        <v>106</v>
      </c>
      <c r="D397" s="31">
        <v>6.1083183399607853E-2</v>
      </c>
      <c r="E397" s="43">
        <v>8.1787637413977654E-2</v>
      </c>
      <c r="F397" s="204"/>
      <c r="G397" s="204"/>
      <c r="H397" s="204"/>
      <c r="I397" s="205"/>
      <c r="J397" s="205"/>
    </row>
    <row r="398" spans="1:12">
      <c r="A398" s="81" t="str">
        <f>VLOOKUP(B398,'Master List'!$A$4:$C$1633,3,FALSE)</f>
        <v>54-144</v>
      </c>
      <c r="B398" s="235">
        <v>672</v>
      </c>
      <c r="C398" s="24" t="s">
        <v>105</v>
      </c>
      <c r="D398" s="31">
        <v>0.20943758239178056</v>
      </c>
      <c r="E398" s="43">
        <v>0.18117689681147595</v>
      </c>
      <c r="F398" s="132">
        <f t="shared" ref="F398" si="574">(D398-D399)</f>
        <v>1.7969499947921574E-3</v>
      </c>
      <c r="G398" s="132">
        <f t="shared" ref="G398" si="575">F398^2</f>
        <v>3.2290292837835346E-6</v>
      </c>
      <c r="H398" s="132">
        <f t="shared" ref="H398" si="576">(_xlfn.STDEV.S(D398:D399)/AVERAGE(D398:D399))*100</f>
        <v>0.60930323460513736</v>
      </c>
      <c r="I398" s="132">
        <f t="shared" ref="I398" si="577">AVERAGE(D398:D399)</f>
        <v>0.20853910739438447</v>
      </c>
      <c r="J398" s="132">
        <f>AVERAGE(E398:E399)</f>
        <v>0.18114983407780297</v>
      </c>
      <c r="K398" s="88">
        <v>6</v>
      </c>
    </row>
    <row r="399" spans="1:12">
      <c r="A399" s="81" t="str">
        <f>VLOOKUP(B399,'Master List'!$A$4:$C$1633,3,FALSE)</f>
        <v>54-144</v>
      </c>
      <c r="B399" s="235">
        <v>672</v>
      </c>
      <c r="C399" s="24" t="s">
        <v>106</v>
      </c>
      <c r="D399" s="31">
        <v>0.20764063239698841</v>
      </c>
      <c r="E399" s="43">
        <v>0.18112277134412999</v>
      </c>
      <c r="F399" s="204"/>
      <c r="G399" s="204"/>
      <c r="H399" s="204"/>
      <c r="I399" s="205"/>
      <c r="J399" s="205"/>
    </row>
    <row r="400" spans="1:12">
      <c r="A400" s="81" t="str">
        <f>VLOOKUP(B400,'Master List'!$A$4:$C$1633,3,FALSE)</f>
        <v>54-144</v>
      </c>
      <c r="B400" s="235">
        <v>675</v>
      </c>
      <c r="C400" s="24" t="s">
        <v>105</v>
      </c>
      <c r="D400" s="31">
        <v>0.25800879097971952</v>
      </c>
      <c r="E400" s="43">
        <v>0.16407444053853698</v>
      </c>
      <c r="F400" s="132">
        <f t="shared" ref="F400" si="578">(D400-D401)</f>
        <v>-2.4248987612199846E-3</v>
      </c>
      <c r="G400" s="132">
        <f t="shared" ref="G400" si="579">F400^2</f>
        <v>5.880134002166216E-6</v>
      </c>
      <c r="H400" s="132">
        <f t="shared" ref="H400" si="580">(_xlfn.STDEV.S(D400:D401)/AVERAGE(D400:D401))*100</f>
        <v>0.66146676690770012</v>
      </c>
      <c r="I400" s="132">
        <f t="shared" ref="I400" si="581">AVERAGE(D400:D401)</f>
        <v>0.25922124036032951</v>
      </c>
      <c r="J400" s="132">
        <f>AVERAGE(E400:E401)</f>
        <v>0.14540399756212102</v>
      </c>
      <c r="K400" s="88">
        <v>6</v>
      </c>
    </row>
    <row r="401" spans="1:12">
      <c r="A401" s="81" t="str">
        <f>VLOOKUP(B401,'Master List'!$A$4:$C$1633,3,FALSE)</f>
        <v>54-144</v>
      </c>
      <c r="B401" s="235">
        <v>675</v>
      </c>
      <c r="C401" s="24" t="s">
        <v>106</v>
      </c>
      <c r="D401" s="31">
        <v>0.2604336897409395</v>
      </c>
      <c r="E401" s="43">
        <v>0.12673355458570507</v>
      </c>
      <c r="F401" s="204"/>
      <c r="G401" s="204"/>
      <c r="H401" s="204"/>
      <c r="I401" s="205"/>
      <c r="J401" s="205"/>
    </row>
    <row r="402" spans="1:12">
      <c r="A402" s="81" t="str">
        <f>VLOOKUP(B402,'Master List'!$A$4:$C$1633,3,FALSE)</f>
        <v>54-144</v>
      </c>
      <c r="B402" s="235">
        <v>677</v>
      </c>
      <c r="C402" s="24" t="s">
        <v>105</v>
      </c>
      <c r="D402" s="31">
        <v>0.27031363560646565</v>
      </c>
      <c r="E402" s="43">
        <v>0.14165698710379732</v>
      </c>
      <c r="F402" s="132">
        <f t="shared" ref="F402" si="582">(D402-D403)</f>
        <v>-1.7849266067488934E-3</v>
      </c>
      <c r="G402" s="132">
        <f t="shared" ref="G402" si="583">F402^2</f>
        <v>3.1859629914801188E-6</v>
      </c>
      <c r="H402" s="132">
        <f t="shared" ref="H402" si="584">(_xlfn.STDEV.S(D402:D403)/AVERAGE(D402:D403))*100</f>
        <v>0.46537806952933641</v>
      </c>
      <c r="I402" s="132">
        <f t="shared" ref="I402" si="585">AVERAGE(D402:D403)</f>
        <v>0.2712060989098401</v>
      </c>
      <c r="J402" s="132">
        <f>AVERAGE(E402:E403)</f>
        <v>0.1362154694691729</v>
      </c>
      <c r="K402" s="88">
        <v>6</v>
      </c>
    </row>
    <row r="403" spans="1:12">
      <c r="A403" s="81" t="str">
        <f>VLOOKUP(B403,'Master List'!$A$4:$C$1633,3,FALSE)</f>
        <v>54-144</v>
      </c>
      <c r="B403" s="235">
        <v>677</v>
      </c>
      <c r="C403" s="24" t="s">
        <v>106</v>
      </c>
      <c r="D403" s="31">
        <v>0.27209856221321455</v>
      </c>
      <c r="E403" s="43">
        <v>0.13077395183454851</v>
      </c>
      <c r="F403" s="204"/>
      <c r="G403" s="204"/>
      <c r="H403" s="204"/>
      <c r="I403" s="205"/>
      <c r="J403" s="205"/>
    </row>
    <row r="404" spans="1:12">
      <c r="A404" s="81" t="str">
        <f>VLOOKUP(B404,'Master List'!$A$4:$C$1633,3,FALSE)</f>
        <v>54-144</v>
      </c>
      <c r="B404" s="235">
        <v>683</v>
      </c>
      <c r="C404" s="24" t="s">
        <v>105</v>
      </c>
      <c r="D404" s="31">
        <v>0.25854273871235683</v>
      </c>
      <c r="E404" s="43">
        <v>0.16359541946810352</v>
      </c>
      <c r="F404" s="132">
        <f t="shared" ref="F404" si="586">(D404-D405)</f>
        <v>-1.1691651836552519E-2</v>
      </c>
      <c r="G404" s="132">
        <f t="shared" ref="G404" si="587">F404^2</f>
        <v>1.366947226671619E-4</v>
      </c>
      <c r="H404" s="132">
        <f t="shared" ref="H404" si="588">(_xlfn.STDEV.S(D404:D405)/AVERAGE(D404:D405))*100</f>
        <v>3.1269303604141445</v>
      </c>
      <c r="I404" s="132">
        <f t="shared" ref="I404" si="589">AVERAGE(D404:D405)</f>
        <v>0.26438856463063309</v>
      </c>
      <c r="J404" s="132">
        <f>AVERAGE(E404:E405)</f>
        <v>0.1374609990159128</v>
      </c>
      <c r="K404" s="88">
        <v>6</v>
      </c>
    </row>
    <row r="405" spans="1:12">
      <c r="A405" s="81" t="str">
        <f>VLOOKUP(B405,'Master List'!$A$4:$C$1633,3,FALSE)</f>
        <v>54-144</v>
      </c>
      <c r="B405" s="235">
        <v>683</v>
      </c>
      <c r="C405" s="24" t="s">
        <v>106</v>
      </c>
      <c r="D405" s="31">
        <v>0.27023439054890935</v>
      </c>
      <c r="E405" s="43">
        <v>0.11132657856372209</v>
      </c>
      <c r="F405" s="204"/>
      <c r="G405" s="204"/>
      <c r="H405" s="204"/>
      <c r="I405" s="205"/>
      <c r="J405" s="205"/>
    </row>
    <row r="406" spans="1:12">
      <c r="A406" s="81" t="str">
        <f>VLOOKUP(B406,'Master List'!$A$4:$C$1633,3,FALSE)</f>
        <v>53-144</v>
      </c>
      <c r="B406" s="235">
        <v>696</v>
      </c>
      <c r="C406" s="24" t="s">
        <v>105</v>
      </c>
      <c r="D406" s="31">
        <v>2.7864748307318769E-2</v>
      </c>
      <c r="E406" s="43">
        <v>5.2547885159260177E-2</v>
      </c>
      <c r="F406" s="132"/>
      <c r="G406" s="132"/>
      <c r="H406" s="132"/>
      <c r="I406" s="132"/>
      <c r="J406" s="132"/>
      <c r="K406" s="120">
        <v>2</v>
      </c>
      <c r="L406" s="119" t="s">
        <v>230</v>
      </c>
    </row>
    <row r="407" spans="1:12">
      <c r="A407" s="81" t="str">
        <f>VLOOKUP(B407,'Master List'!$A$4:$C$1633,3,FALSE)</f>
        <v>53-144</v>
      </c>
      <c r="B407" s="235">
        <v>696</v>
      </c>
      <c r="C407" s="24" t="s">
        <v>106</v>
      </c>
      <c r="D407" s="31">
        <v>-99</v>
      </c>
      <c r="E407" s="43">
        <v>-99</v>
      </c>
      <c r="F407" s="204"/>
      <c r="G407" s="204"/>
      <c r="H407" s="204"/>
      <c r="I407" s="205"/>
      <c r="J407" s="205"/>
      <c r="K407" s="120"/>
      <c r="L407" s="119"/>
    </row>
    <row r="408" spans="1:12">
      <c r="A408" s="81" t="str">
        <f>VLOOKUP(B408,'Master List'!$A$4:$C$1633,3,FALSE)</f>
        <v>53-144</v>
      </c>
      <c r="B408" s="235">
        <v>698</v>
      </c>
      <c r="C408" s="24" t="s">
        <v>105</v>
      </c>
      <c r="D408" s="31">
        <v>0.13130304867662829</v>
      </c>
      <c r="E408" s="43">
        <v>0.17318126014567431</v>
      </c>
      <c r="F408" s="132">
        <f t="shared" ref="F408" si="590">(D408-D409)</f>
        <v>1.5733149771919655E-2</v>
      </c>
      <c r="G408" s="132">
        <f t="shared" ref="G408" si="591">F408^2</f>
        <v>2.475320017456555E-4</v>
      </c>
      <c r="H408" s="132">
        <f t="shared" ref="H408" si="592">(_xlfn.STDEV.S(D408:D409)/AVERAGE(D408:D409))*100</f>
        <v>9.0127468417596681</v>
      </c>
      <c r="I408" s="132">
        <f t="shared" ref="I408" si="593">AVERAGE(D408:D409)</f>
        <v>0.12343647379066847</v>
      </c>
      <c r="J408" s="132">
        <f>AVERAGE(E408:E409)</f>
        <v>0.16594816697071307</v>
      </c>
      <c r="K408" s="88">
        <v>6</v>
      </c>
    </row>
    <row r="409" spans="1:12">
      <c r="A409" s="81" t="str">
        <f>VLOOKUP(B409,'Master List'!$A$4:$C$1633,3,FALSE)</f>
        <v>53-144</v>
      </c>
      <c r="B409" s="235">
        <v>698</v>
      </c>
      <c r="C409" s="24" t="s">
        <v>106</v>
      </c>
      <c r="D409" s="31">
        <v>0.11556989890470863</v>
      </c>
      <c r="E409" s="43">
        <v>0.15871507379575184</v>
      </c>
      <c r="F409" s="204"/>
      <c r="G409" s="204"/>
      <c r="H409" s="204"/>
      <c r="I409" s="205"/>
      <c r="J409" s="205"/>
    </row>
    <row r="410" spans="1:12">
      <c r="A410" s="81" t="str">
        <f>VLOOKUP(B410,'Master List'!$A$4:$C$1633,3,FALSE)</f>
        <v>53-144</v>
      </c>
      <c r="B410" s="235">
        <v>699</v>
      </c>
      <c r="C410" s="24" t="s">
        <v>105</v>
      </c>
      <c r="D410" s="31">
        <v>0.18600235954303507</v>
      </c>
      <c r="E410" s="43">
        <v>0.17669200529051757</v>
      </c>
      <c r="F410" s="132">
        <f t="shared" ref="F410" si="594">(D410-D411)</f>
        <v>5.4826649476135414E-3</v>
      </c>
      <c r="G410" s="132">
        <f t="shared" ref="G410" si="595">F410^2</f>
        <v>3.0059614927790198E-5</v>
      </c>
      <c r="H410" s="132">
        <f t="shared" ref="H410" si="596">(_xlfn.STDEV.S(D410:D411)/AVERAGE(D410:D411))*100</f>
        <v>2.1154686435140513</v>
      </c>
      <c r="I410" s="132">
        <f t="shared" ref="I410" si="597">AVERAGE(D410:D411)</f>
        <v>0.18326102706922831</v>
      </c>
      <c r="J410" s="132">
        <f>AVERAGE(E410:E411)</f>
        <v>0.16834308131496573</v>
      </c>
      <c r="K410" s="88">
        <v>6</v>
      </c>
    </row>
    <row r="411" spans="1:12">
      <c r="A411" s="81" t="str">
        <f>VLOOKUP(B411,'Master List'!$A$4:$C$1633,3,FALSE)</f>
        <v>53-144</v>
      </c>
      <c r="B411" s="235">
        <v>699</v>
      </c>
      <c r="C411" s="24" t="s">
        <v>106</v>
      </c>
      <c r="D411" s="31">
        <v>0.18051969459542153</v>
      </c>
      <c r="E411" s="43">
        <v>0.15999415733941391</v>
      </c>
      <c r="F411" s="204"/>
      <c r="G411" s="204"/>
      <c r="H411" s="204"/>
      <c r="I411" s="205"/>
      <c r="J411" s="205"/>
    </row>
    <row r="412" spans="1:12">
      <c r="A412" s="81" t="str">
        <f>VLOOKUP(B412,'Master List'!$A$4:$C$1633,3,FALSE)</f>
        <v>53-144</v>
      </c>
      <c r="B412" s="235">
        <v>701</v>
      </c>
      <c r="C412" s="24" t="s">
        <v>105</v>
      </c>
      <c r="D412" s="31">
        <v>0.29016206319492527</v>
      </c>
      <c r="E412" s="43">
        <v>0.16498842734606142</v>
      </c>
      <c r="F412" s="132">
        <f t="shared" ref="F412" si="598">(D412-D413)</f>
        <v>2.6432872094923787E-2</v>
      </c>
      <c r="G412" s="132">
        <f t="shared" ref="G412" si="599">F412^2</f>
        <v>6.986967271866006E-4</v>
      </c>
      <c r="H412" s="132">
        <f t="shared" ref="H412" si="600">(_xlfn.STDEV.S(D412:D413)/AVERAGE(D412:D413))*100</f>
        <v>6.7489287688247455</v>
      </c>
      <c r="I412" s="132">
        <f t="shared" ref="I412" si="601">AVERAGE(D412:D413)</f>
        <v>0.2769456271474634</v>
      </c>
      <c r="J412" s="132">
        <f>AVERAGE(E412:E413)</f>
        <v>0.14041273777462535</v>
      </c>
      <c r="K412" s="88">
        <v>6</v>
      </c>
    </row>
    <row r="413" spans="1:12">
      <c r="A413" s="81" t="str">
        <f>VLOOKUP(B413,'Master List'!$A$4:$C$1633,3,FALSE)</f>
        <v>53-144</v>
      </c>
      <c r="B413" s="235">
        <v>701</v>
      </c>
      <c r="C413" s="24" t="s">
        <v>106</v>
      </c>
      <c r="D413" s="31">
        <v>0.26372919110000148</v>
      </c>
      <c r="E413" s="43">
        <v>0.11583704820318928</v>
      </c>
      <c r="F413" s="204"/>
      <c r="G413" s="204"/>
      <c r="H413" s="204"/>
      <c r="I413" s="205"/>
      <c r="J413" s="205"/>
    </row>
    <row r="414" spans="1:12">
      <c r="A414" s="81" t="str">
        <f>VLOOKUP(B414,'Master List'!$A$4:$C$1633,3,FALSE)</f>
        <v>53-144</v>
      </c>
      <c r="B414" s="235">
        <v>702</v>
      </c>
      <c r="C414" s="24" t="s">
        <v>105</v>
      </c>
      <c r="D414" s="31">
        <v>0.29885442623238462</v>
      </c>
      <c r="E414" s="43">
        <v>0.11766008676396394</v>
      </c>
      <c r="F414" s="132">
        <f t="shared" ref="F414" si="602">(D414-D415)</f>
        <v>3.0876607012093327E-2</v>
      </c>
      <c r="G414" s="132">
        <f t="shared" ref="G414" si="603">F414^2</f>
        <v>9.5336486057925082E-4</v>
      </c>
      <c r="H414" s="132">
        <f t="shared" ref="H414" si="604">(_xlfn.STDEV.S(D414:D415)/AVERAGE(D414:D415))*100</f>
        <v>7.7035342902368837</v>
      </c>
      <c r="I414" s="132">
        <f t="shared" ref="I414" si="605">AVERAGE(D414:D415)</f>
        <v>0.28341612272633798</v>
      </c>
      <c r="J414" s="132">
        <f>AVERAGE(E414:E415)</f>
        <v>0.11434703808982974</v>
      </c>
      <c r="K414" s="88">
        <v>6</v>
      </c>
    </row>
    <row r="415" spans="1:12">
      <c r="A415" s="81" t="str">
        <f>VLOOKUP(B415,'Master List'!$A$4:$C$1633,3,FALSE)</f>
        <v>53-144</v>
      </c>
      <c r="B415" s="235">
        <v>702</v>
      </c>
      <c r="C415" s="24" t="s">
        <v>106</v>
      </c>
      <c r="D415" s="31">
        <v>0.26797781922029129</v>
      </c>
      <c r="E415" s="43">
        <v>0.11103398941569552</v>
      </c>
      <c r="F415" s="204"/>
      <c r="G415" s="204"/>
      <c r="H415" s="204"/>
      <c r="I415" s="205"/>
      <c r="J415" s="205"/>
    </row>
    <row r="416" spans="1:12">
      <c r="A416" s="81" t="str">
        <f>VLOOKUP(B416,'Master List'!$A$4:$C$1633,3,FALSE)</f>
        <v>53-144</v>
      </c>
      <c r="B416" s="235">
        <v>705</v>
      </c>
      <c r="C416" s="24" t="s">
        <v>105</v>
      </c>
      <c r="D416" s="31">
        <v>0.30095469351644349</v>
      </c>
      <c r="E416" s="43">
        <v>0.14215606045289847</v>
      </c>
      <c r="F416" s="132">
        <f t="shared" ref="F416" si="606">(D416-D417)</f>
        <v>6.5500138952500064E-3</v>
      </c>
      <c r="G416" s="132">
        <f t="shared" ref="G416" si="607">F416^2</f>
        <v>4.2902682027968163E-5</v>
      </c>
      <c r="H416" s="132">
        <f t="shared" ref="H416" si="608">(_xlfn.STDEV.S(D416:D417)/AVERAGE(D416:D417))*100</f>
        <v>1.555886898290809</v>
      </c>
      <c r="I416" s="132">
        <f t="shared" ref="I416" si="609">AVERAGE(D416:D417)</f>
        <v>0.29767968656881849</v>
      </c>
      <c r="J416" s="132">
        <f>AVERAGE(E416:E417)</f>
        <v>0.11219949784983271</v>
      </c>
      <c r="K416" s="88">
        <v>6</v>
      </c>
    </row>
    <row r="417" spans="1:12">
      <c r="A417" s="81" t="str">
        <f>VLOOKUP(B417,'Master List'!$A$4:$C$1633,3,FALSE)</f>
        <v>53-144</v>
      </c>
      <c r="B417" s="235">
        <v>705</v>
      </c>
      <c r="C417" s="24" t="s">
        <v>106</v>
      </c>
      <c r="D417" s="31">
        <v>0.29440467962119349</v>
      </c>
      <c r="E417" s="43">
        <v>8.2242935246766971E-2</v>
      </c>
      <c r="F417" s="204"/>
      <c r="G417" s="204"/>
      <c r="H417" s="204"/>
      <c r="I417" s="205"/>
      <c r="J417" s="205"/>
    </row>
    <row r="418" spans="1:12">
      <c r="A418" s="81" t="str">
        <f>VLOOKUP(B418,'Master List'!$A$4:$C$1633,3,FALSE)</f>
        <v>51-132</v>
      </c>
      <c r="B418" s="235">
        <v>712</v>
      </c>
      <c r="C418" s="24" t="s">
        <v>105</v>
      </c>
      <c r="D418" s="31">
        <v>1.4690940635645775E-2</v>
      </c>
      <c r="E418" s="43">
        <v>7.2063140292906863E-2</v>
      </c>
      <c r="F418" s="132"/>
      <c r="G418" s="132"/>
      <c r="H418" s="132"/>
      <c r="I418" s="132">
        <f t="shared" ref="I418" si="610">AVERAGE(D418:D419)</f>
        <v>1.3946583612255665E-2</v>
      </c>
      <c r="J418" s="132">
        <f>AVERAGE(E418:E419)</f>
        <v>6.4650653249685122E-2</v>
      </c>
      <c r="K418" s="226">
        <v>26</v>
      </c>
      <c r="L418" s="65" t="s">
        <v>233</v>
      </c>
    </row>
    <row r="419" spans="1:12">
      <c r="A419" s="81" t="str">
        <f>VLOOKUP(B419,'Master List'!$A$4:$C$1633,3,FALSE)</f>
        <v>51-132</v>
      </c>
      <c r="B419" s="235">
        <v>712</v>
      </c>
      <c r="C419" s="24" t="s">
        <v>106</v>
      </c>
      <c r="D419" s="31">
        <v>1.3202226588865553E-2</v>
      </c>
      <c r="E419" s="43">
        <v>5.7238166206463388E-2</v>
      </c>
      <c r="F419" s="204"/>
      <c r="G419" s="204"/>
      <c r="H419" s="204"/>
      <c r="I419" s="205"/>
      <c r="J419" s="205"/>
    </row>
    <row r="420" spans="1:12">
      <c r="A420" s="81" t="str">
        <f>VLOOKUP(B420,'Master List'!$A$4:$C$1633,3,FALSE)</f>
        <v>51-132</v>
      </c>
      <c r="B420" s="235">
        <v>716</v>
      </c>
      <c r="C420" s="24" t="s">
        <v>105</v>
      </c>
      <c r="D420" s="31">
        <v>0.12484047760350926</v>
      </c>
      <c r="E420" s="43">
        <v>0.12440450955306961</v>
      </c>
      <c r="F420" s="132">
        <f t="shared" ref="F420" si="611">(D420-D421)</f>
        <v>2.3816692160291947E-2</v>
      </c>
      <c r="G420" s="132">
        <f t="shared" ref="G420" si="612">F420^2</f>
        <v>5.6723482545811192E-4</v>
      </c>
      <c r="H420" s="132">
        <f t="shared" ref="H420" si="613">(_xlfn.STDEV.S(D420:D421)/AVERAGE(D420:D421))*100</f>
        <v>14.912447241369014</v>
      </c>
      <c r="I420" s="132">
        <f t="shared" ref="I420" si="614">AVERAGE(D420:D421)</f>
        <v>0.11293213152336329</v>
      </c>
      <c r="J420" s="132">
        <f>AVERAGE(E420:E421)</f>
        <v>0.12730300519716298</v>
      </c>
      <c r="K420" s="88">
        <v>36</v>
      </c>
      <c r="L420" s="31" t="s">
        <v>238</v>
      </c>
    </row>
    <row r="421" spans="1:12">
      <c r="A421" s="81" t="str">
        <f>VLOOKUP(B421,'Master List'!$A$4:$C$1633,3,FALSE)</f>
        <v>51-132</v>
      </c>
      <c r="B421" s="235">
        <v>716</v>
      </c>
      <c r="C421" s="24" t="s">
        <v>106</v>
      </c>
      <c r="D421" s="31">
        <v>0.10102378544321731</v>
      </c>
      <c r="E421" s="43">
        <v>0.13020150084125634</v>
      </c>
      <c r="F421" s="204"/>
      <c r="G421" s="204"/>
      <c r="H421" s="204"/>
      <c r="I421" s="205"/>
      <c r="J421" s="205"/>
    </row>
    <row r="422" spans="1:12">
      <c r="A422" s="81" t="str">
        <f>VLOOKUP(B422,'Master List'!$A$4:$C$1633,3,FALSE)</f>
        <v>51-132</v>
      </c>
      <c r="B422" s="235">
        <v>717</v>
      </c>
      <c r="C422" s="24" t="s">
        <v>105</v>
      </c>
      <c r="D422" s="31">
        <v>0.24747794260695574</v>
      </c>
      <c r="E422" s="43">
        <v>0.18409868175820857</v>
      </c>
      <c r="F422" s="132">
        <f t="shared" ref="F422" si="615">(D422-D423)</f>
        <v>4.082923972351582E-2</v>
      </c>
      <c r="G422" s="132">
        <f t="shared" ref="G422" si="616">F422^2</f>
        <v>1.6670268164003222E-3</v>
      </c>
      <c r="H422" s="132">
        <f t="shared" ref="H422" si="617">(_xlfn.STDEV.S(D422:D423)/AVERAGE(D422:D423))*100</f>
        <v>12.714793358144751</v>
      </c>
      <c r="I422" s="132">
        <f t="shared" ref="I422" si="618">AVERAGE(D422:D423)</f>
        <v>0.22706332274519783</v>
      </c>
      <c r="J422" s="132">
        <f>AVERAGE(E422:E423)</f>
        <v>0.15711393943121649</v>
      </c>
      <c r="K422" s="88">
        <v>36</v>
      </c>
      <c r="L422" s="31" t="s">
        <v>238</v>
      </c>
    </row>
    <row r="423" spans="1:12">
      <c r="A423" s="81" t="str">
        <f>VLOOKUP(B423,'Master List'!$A$4:$C$1633,3,FALSE)</f>
        <v>51-132</v>
      </c>
      <c r="B423" s="235">
        <v>717</v>
      </c>
      <c r="C423" s="24" t="s">
        <v>106</v>
      </c>
      <c r="D423" s="31">
        <v>0.20664870288343992</v>
      </c>
      <c r="E423" s="43">
        <v>0.13012919710422444</v>
      </c>
      <c r="F423" s="204"/>
      <c r="G423" s="204"/>
      <c r="H423" s="204"/>
      <c r="I423" s="205"/>
      <c r="J423" s="205"/>
    </row>
    <row r="424" spans="1:12">
      <c r="A424" s="81" t="str">
        <f>VLOOKUP(B424,'Master List'!$A$4:$C$1633,3,FALSE)</f>
        <v>51-132</v>
      </c>
      <c r="B424" s="235">
        <v>720</v>
      </c>
      <c r="C424" s="24" t="s">
        <v>105</v>
      </c>
      <c r="D424" s="31">
        <v>0.2985483763549262</v>
      </c>
      <c r="E424" s="43">
        <v>0.14409057166984335</v>
      </c>
      <c r="F424" s="132">
        <f t="shared" ref="F424" si="619">(D424-D425)</f>
        <v>2.6274928497449668E-2</v>
      </c>
      <c r="G424" s="132">
        <f t="shared" ref="G424" si="620">F424^2</f>
        <v>6.9037186754609264E-4</v>
      </c>
      <c r="H424" s="132">
        <f t="shared" ref="H424" si="621">(_xlfn.STDEV.S(D424:D425)/AVERAGE(D424:D425))*100</f>
        <v>6.5096250100013728</v>
      </c>
      <c r="I424" s="132">
        <f t="shared" ref="I424" si="622">AVERAGE(D424:D425)</f>
        <v>0.2854109121062014</v>
      </c>
      <c r="J424" s="132">
        <f>AVERAGE(E424:E425)</f>
        <v>0.11791275170547612</v>
      </c>
      <c r="K424" s="88">
        <v>6</v>
      </c>
    </row>
    <row r="425" spans="1:12">
      <c r="A425" s="81" t="str">
        <f>VLOOKUP(B425,'Master List'!$A$4:$C$1633,3,FALSE)</f>
        <v>51-132</v>
      </c>
      <c r="B425" s="235">
        <v>720</v>
      </c>
      <c r="C425" s="24" t="s">
        <v>106</v>
      </c>
      <c r="D425" s="31">
        <v>0.27227344785747654</v>
      </c>
      <c r="E425" s="43">
        <v>9.1734931741108888E-2</v>
      </c>
      <c r="F425" s="204"/>
      <c r="G425" s="204"/>
      <c r="H425" s="204"/>
      <c r="I425" s="205"/>
      <c r="J425" s="205"/>
    </row>
    <row r="426" spans="1:12">
      <c r="A426" s="81" t="str">
        <f>VLOOKUP(B426,'Master List'!$A$4:$C$1633,3,FALSE)</f>
        <v>51-132</v>
      </c>
      <c r="B426" s="235">
        <v>722</v>
      </c>
      <c r="C426" s="24" t="s">
        <v>105</v>
      </c>
      <c r="D426" s="31">
        <v>0.60586070955793137</v>
      </c>
      <c r="E426" s="43">
        <v>0.18105104582275927</v>
      </c>
      <c r="F426" s="132">
        <f t="shared" ref="F426" si="623">(D426-D427)</f>
        <v>-5.3605182554492647E-2</v>
      </c>
      <c r="G426" s="132">
        <f t="shared" ref="G426" si="624">F426^2</f>
        <v>2.873515596700483E-3</v>
      </c>
      <c r="H426" s="132">
        <f t="shared" ref="H426" si="625">(_xlfn.STDEV.S(D426:D427)/AVERAGE(D426:D427))*100</f>
        <v>5.991273405773148</v>
      </c>
      <c r="I426" s="132">
        <f t="shared" ref="I426" si="626">AVERAGE(D426:D427)</f>
        <v>0.63266330083517763</v>
      </c>
      <c r="J426" s="132">
        <f>AVERAGE(E426:E427)</f>
        <v>0.20157411172600639</v>
      </c>
      <c r="K426" s="88">
        <v>6</v>
      </c>
    </row>
    <row r="427" spans="1:12">
      <c r="A427" s="81" t="str">
        <f>VLOOKUP(B427,'Master List'!$A$4:$C$1633,3,FALSE)</f>
        <v>51-132</v>
      </c>
      <c r="B427" s="235">
        <v>722</v>
      </c>
      <c r="C427" s="24" t="s">
        <v>106</v>
      </c>
      <c r="D427" s="31">
        <v>0.65946589211242401</v>
      </c>
      <c r="E427" s="43">
        <v>0.22209717762925352</v>
      </c>
      <c r="F427" s="204"/>
      <c r="G427" s="204"/>
      <c r="H427" s="204"/>
      <c r="I427" s="205"/>
      <c r="J427" s="205"/>
    </row>
    <row r="428" spans="1:12">
      <c r="A428" s="81" t="str">
        <f>VLOOKUP(B428,'Master List'!$A$4:$C$1633,3,FALSE)</f>
        <v>51-132</v>
      </c>
      <c r="B428" s="235">
        <v>728</v>
      </c>
      <c r="C428" s="24" t="s">
        <v>105</v>
      </c>
      <c r="D428" s="31">
        <v>0.60598750165002135</v>
      </c>
      <c r="E428" s="43">
        <v>0.2364583954294191</v>
      </c>
      <c r="F428" s="132">
        <f t="shared" ref="F428" si="627">(D428-D429)</f>
        <v>5.007686468150685E-2</v>
      </c>
      <c r="G428" s="132">
        <f t="shared" ref="G428" si="628">F428^2</f>
        <v>2.5076923763299483E-3</v>
      </c>
      <c r="H428" s="132">
        <f t="shared" ref="H428" si="629">(_xlfn.STDEV.S(D428:D429)/AVERAGE(D428:D429))*100</f>
        <v>6.0951454210875555</v>
      </c>
      <c r="I428" s="132">
        <f t="shared" ref="I428" si="630">AVERAGE(D428:D429)</f>
        <v>0.58094906930926793</v>
      </c>
      <c r="J428" s="132">
        <f>AVERAGE(E428:E429)</f>
        <v>0.26160902838783695</v>
      </c>
      <c r="K428" s="88">
        <v>6</v>
      </c>
    </row>
    <row r="429" spans="1:12">
      <c r="A429" s="81" t="str">
        <f>VLOOKUP(B429,'Master List'!$A$4:$C$1633,3,FALSE)</f>
        <v>51-132</v>
      </c>
      <c r="B429" s="235">
        <v>728</v>
      </c>
      <c r="C429" s="24" t="s">
        <v>106</v>
      </c>
      <c r="D429" s="31">
        <v>0.5559106369685145</v>
      </c>
      <c r="E429" s="43">
        <v>0.2867596613462548</v>
      </c>
      <c r="F429" s="204"/>
      <c r="G429" s="204"/>
      <c r="H429" s="204"/>
      <c r="I429" s="205"/>
      <c r="J429" s="205"/>
    </row>
  </sheetData>
  <sortState xmlns:xlrd2="http://schemas.microsoft.com/office/spreadsheetml/2017/richdata2" ref="A10:L55">
    <sortCondition ref="B10:B55"/>
  </sortState>
  <conditionalFormatting sqref="O3 O7 H9:H273 J430:J1048576 J1 H275:H429">
    <cfRule type="cellIs" dxfId="5" priority="38" operator="between">
      <formula>10</formula>
      <formula>200</formula>
    </cfRule>
  </conditionalFormatting>
  <conditionalFormatting sqref="C430:C1048576 C1:C8">
    <cfRule type="duplicateValues" dxfId="4" priority="630"/>
  </conditionalFormatting>
  <conditionalFormatting sqref="C430:C1048576 C1:C8">
    <cfRule type="duplicateValues" dxfId="3" priority="635"/>
  </conditionalFormatting>
  <conditionalFormatting sqref="C121">
    <cfRule type="duplicateValues" dxfId="2" priority="2"/>
  </conditionalFormatting>
  <conditionalFormatting sqref="H274">
    <cfRule type="cellIs" dxfId="1" priority="1" operator="between">
      <formula>10</formula>
      <formula>200</formula>
    </cfRule>
  </conditionalFormatting>
  <pageMargins left="0.70866141732283472" right="0.70866141732283472" top="0.74803149606299213" bottom="0.74803149606299213" header="0.31496062992125984" footer="0.31496062992125984"/>
  <pageSetup scale="5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CE28C-3860-4502-AFAC-7C95C6E50648}">
  <sheetPr>
    <pageSetUpPr fitToPage="1"/>
  </sheetPr>
  <dimension ref="A1:T1174"/>
  <sheetViews>
    <sheetView topLeftCell="H178" zoomScale="90" zoomScaleNormal="90" workbookViewId="0">
      <selection activeCell="H202" sqref="H202"/>
    </sheetView>
  </sheetViews>
  <sheetFormatPr defaultColWidth="9.1796875" defaultRowHeight="14.5"/>
  <cols>
    <col min="1" max="1" width="17.81640625" style="31" customWidth="1"/>
    <col min="2" max="2" width="20.26953125" style="30" bestFit="1" customWidth="1"/>
    <col min="3" max="3" width="14.453125" style="29" customWidth="1"/>
    <col min="4" max="4" width="16.453125" style="29" bestFit="1" customWidth="1"/>
    <col min="5" max="5" width="14.54296875" style="77" customWidth="1"/>
    <col min="6" max="6" width="9.1796875" style="31"/>
    <col min="7" max="7" width="10.453125" style="43" customWidth="1"/>
    <col min="8" max="8" width="16.453125" style="31" bestFit="1" customWidth="1"/>
    <col min="9" max="9" width="12.7265625" style="29" customWidth="1"/>
    <col min="10" max="10" width="14" style="255" bestFit="1" customWidth="1"/>
    <col min="11" max="13" width="12.81640625" style="255" customWidth="1"/>
    <col min="14" max="14" width="14.26953125" style="255" customWidth="1"/>
    <col min="15" max="15" width="13" style="255" customWidth="1"/>
    <col min="16" max="16" width="9.453125" style="31" bestFit="1" customWidth="1"/>
    <col min="17" max="17" width="9.453125" style="43" bestFit="1" customWidth="1"/>
    <col min="18" max="18" width="6.7265625" style="28" bestFit="1" customWidth="1"/>
    <col min="19" max="19" width="24.7265625" style="44" bestFit="1" customWidth="1"/>
    <col min="20" max="20" width="14.81640625" style="28" bestFit="1" customWidth="1"/>
    <col min="21" max="16384" width="9.1796875" style="28"/>
  </cols>
  <sheetData>
    <row r="1" spans="1:20">
      <c r="A1" s="58" t="str">
        <f>Notes!A1</f>
        <v>2022-002</v>
      </c>
      <c r="B1" s="213"/>
      <c r="C1" s="64"/>
      <c r="D1" s="64"/>
      <c r="E1" s="76"/>
      <c r="F1" s="43"/>
      <c r="H1" s="110"/>
      <c r="I1" s="71" t="s">
        <v>98</v>
      </c>
      <c r="J1" s="137"/>
      <c r="K1" s="59"/>
      <c r="L1" s="59"/>
      <c r="M1" s="59"/>
      <c r="N1" s="59"/>
      <c r="O1" s="59"/>
      <c r="P1" s="73"/>
    </row>
    <row r="2" spans="1:20">
      <c r="A2" s="126" t="s">
        <v>94</v>
      </c>
      <c r="B2" s="114" t="s">
        <v>92</v>
      </c>
      <c r="C2" s="100"/>
      <c r="D2" s="100"/>
      <c r="E2" s="101"/>
      <c r="F2" s="102"/>
      <c r="G2" s="102"/>
      <c r="H2" s="64"/>
      <c r="I2" s="138" t="s">
        <v>99</v>
      </c>
      <c r="J2" s="138">
        <f>'CV% '!O2</f>
        <v>3.0993015269055214E-3</v>
      </c>
      <c r="K2" s="43"/>
      <c r="L2" s="43"/>
      <c r="M2" s="43"/>
      <c r="N2" s="43"/>
      <c r="O2" s="43"/>
      <c r="P2" s="73"/>
      <c r="T2" s="73"/>
    </row>
    <row r="3" spans="1:20">
      <c r="A3" s="127" t="s">
        <v>95</v>
      </c>
      <c r="B3" s="115" t="s">
        <v>93</v>
      </c>
      <c r="C3" s="97"/>
      <c r="D3" s="97"/>
      <c r="E3" s="98"/>
      <c r="F3" s="99"/>
      <c r="G3" s="99"/>
      <c r="H3" s="64"/>
      <c r="I3" s="138" t="s">
        <v>100</v>
      </c>
      <c r="J3" s="138">
        <f>'CV% '!O3</f>
        <v>0.81262964632180146</v>
      </c>
      <c r="K3" s="43"/>
      <c r="L3" s="43"/>
      <c r="M3" s="43"/>
      <c r="N3" s="43"/>
      <c r="O3" s="43"/>
      <c r="P3" s="73"/>
      <c r="T3" s="73"/>
    </row>
    <row r="4" spans="1:20">
      <c r="A4" s="127" t="s">
        <v>96</v>
      </c>
      <c r="B4" s="115" t="s">
        <v>82</v>
      </c>
      <c r="C4" s="97"/>
      <c r="D4" s="97"/>
      <c r="E4" s="98"/>
      <c r="F4" s="99"/>
      <c r="G4" s="99"/>
      <c r="H4" s="64"/>
      <c r="I4" s="136" t="s">
        <v>101</v>
      </c>
      <c r="J4" s="138">
        <f>AVERAGEIF(P12:P431,"&gt;-.01")</f>
        <v>0.25690000569838906</v>
      </c>
      <c r="K4" s="64"/>
      <c r="L4" s="64"/>
      <c r="M4" s="64"/>
      <c r="N4" s="64"/>
      <c r="O4" s="64"/>
      <c r="P4" s="43"/>
      <c r="T4" s="73"/>
    </row>
    <row r="5" spans="1:20">
      <c r="A5" s="126" t="s">
        <v>30</v>
      </c>
      <c r="B5" s="114" t="s">
        <v>80</v>
      </c>
      <c r="C5" s="100"/>
      <c r="D5" s="100"/>
      <c r="E5" s="101"/>
      <c r="F5" s="102"/>
      <c r="G5" s="102"/>
      <c r="H5" s="64"/>
      <c r="I5" s="136" t="s">
        <v>102</v>
      </c>
      <c r="J5" s="136">
        <f>COUNT(CHL!E20:E229)</f>
        <v>210</v>
      </c>
      <c r="K5" s="64"/>
      <c r="L5" s="64"/>
      <c r="M5" s="64"/>
      <c r="N5" s="64"/>
      <c r="O5" s="64"/>
      <c r="T5" s="73"/>
    </row>
    <row r="6" spans="1:20">
      <c r="A6" s="126" t="s">
        <v>97</v>
      </c>
      <c r="B6" s="116" t="s">
        <v>85</v>
      </c>
      <c r="C6" s="100"/>
      <c r="D6" s="100"/>
      <c r="E6" s="101"/>
      <c r="F6" s="102"/>
      <c r="G6" s="102"/>
      <c r="H6" s="64"/>
      <c r="I6" s="139" t="s">
        <v>103</v>
      </c>
      <c r="J6" s="140">
        <f>'CV% '!O4</f>
        <v>195</v>
      </c>
      <c r="K6" s="43"/>
      <c r="L6" s="43"/>
      <c r="M6" s="43"/>
      <c r="N6" s="43"/>
      <c r="O6" s="43"/>
      <c r="T6" s="73"/>
    </row>
    <row r="7" spans="1:20">
      <c r="A7" s="128"/>
      <c r="B7" s="116" t="s">
        <v>86</v>
      </c>
      <c r="C7" s="103"/>
      <c r="D7" s="104"/>
      <c r="E7" s="105"/>
      <c r="F7" s="96"/>
      <c r="G7" s="96"/>
      <c r="H7" s="43"/>
      <c r="I7" s="140" t="s">
        <v>91</v>
      </c>
      <c r="J7" s="214">
        <f>'CV% '!O7</f>
        <v>8.8230643649214571</v>
      </c>
      <c r="K7" s="37"/>
      <c r="L7" s="37"/>
      <c r="M7" s="37"/>
      <c r="N7" s="37"/>
      <c r="O7" s="37"/>
      <c r="T7" s="73"/>
    </row>
    <row r="8" spans="1:20">
      <c r="A8" s="112" t="s">
        <v>83</v>
      </c>
      <c r="B8" s="117">
        <v>1.8585928811779304</v>
      </c>
      <c r="C8" s="103"/>
      <c r="D8" s="104"/>
      <c r="E8" s="105"/>
      <c r="F8" s="96"/>
      <c r="G8" s="96"/>
      <c r="H8" s="43"/>
      <c r="I8" s="64"/>
      <c r="J8" s="29"/>
      <c r="K8" s="37"/>
      <c r="L8" s="37"/>
      <c r="M8" s="37"/>
      <c r="N8" s="37"/>
      <c r="O8" s="37"/>
      <c r="T8" s="124"/>
    </row>
    <row r="9" spans="1:20">
      <c r="A9" s="113" t="s">
        <v>84</v>
      </c>
      <c r="B9" s="118">
        <v>7.6766546181974331E-4</v>
      </c>
      <c r="C9" s="100"/>
      <c r="D9" s="100"/>
      <c r="E9" s="101"/>
      <c r="F9" s="102"/>
      <c r="G9" s="102"/>
      <c r="J9" s="29"/>
      <c r="K9" s="37"/>
      <c r="L9" s="37"/>
      <c r="M9" s="37"/>
      <c r="N9" s="37"/>
      <c r="O9" s="37"/>
      <c r="T9" s="27"/>
    </row>
    <row r="10" spans="1:20">
      <c r="C10" s="64"/>
      <c r="D10" s="64"/>
      <c r="E10" s="76"/>
      <c r="F10" s="38"/>
      <c r="G10" s="42"/>
      <c r="H10" s="43"/>
      <c r="J10" s="246" t="s">
        <v>89</v>
      </c>
      <c r="K10" s="246"/>
      <c r="L10" s="246"/>
      <c r="M10" s="246"/>
      <c r="N10" s="246"/>
      <c r="O10" s="246"/>
      <c r="P10" s="246"/>
      <c r="Q10" s="246"/>
      <c r="R10" s="246"/>
    </row>
    <row r="11" spans="1:20" s="146" customFormat="1" ht="43.5">
      <c r="A11" s="141" t="s">
        <v>28</v>
      </c>
      <c r="B11" s="142" t="s">
        <v>16</v>
      </c>
      <c r="C11" s="142" t="s">
        <v>4</v>
      </c>
      <c r="D11" s="143" t="s">
        <v>15</v>
      </c>
      <c r="E11" s="144" t="s">
        <v>65</v>
      </c>
      <c r="F11" s="145" t="s">
        <v>61</v>
      </c>
      <c r="G11" s="84" t="s">
        <v>81</v>
      </c>
      <c r="H11" s="108" t="s">
        <v>27</v>
      </c>
      <c r="I11" s="108" t="s">
        <v>26</v>
      </c>
      <c r="J11" s="86" t="s">
        <v>25</v>
      </c>
      <c r="K11" s="86" t="s">
        <v>24</v>
      </c>
      <c r="L11" s="86" t="s">
        <v>107</v>
      </c>
      <c r="M11" s="86" t="s">
        <v>108</v>
      </c>
      <c r="N11" s="86" t="s">
        <v>87</v>
      </c>
      <c r="O11" s="86" t="s">
        <v>88</v>
      </c>
      <c r="P11" s="106" t="s">
        <v>23</v>
      </c>
      <c r="Q11" s="107" t="s">
        <v>22</v>
      </c>
      <c r="R11" s="107" t="s">
        <v>21</v>
      </c>
      <c r="S11" s="109" t="s">
        <v>67</v>
      </c>
      <c r="T11" s="109" t="s">
        <v>68</v>
      </c>
    </row>
    <row r="12" spans="1:20" s="60" customFormat="1">
      <c r="A12" s="219">
        <v>44750</v>
      </c>
      <c r="B12" s="81" t="str">
        <f>VLOOKUP(C12,'Master List'!A:C,3,FALSE)</f>
        <v>50-135</v>
      </c>
      <c r="C12" s="120">
        <v>4</v>
      </c>
      <c r="D12" s="78" t="s">
        <v>105</v>
      </c>
      <c r="E12" s="81">
        <f>VLOOKUP(C12,'Master List'!A:G,5,FALSE)</f>
        <v>150</v>
      </c>
      <c r="F12" s="43">
        <f>VLOOKUP(C12,'2022-002-bottles_csv'!E:L,8,FALSE)</f>
        <v>0.09</v>
      </c>
      <c r="G12" s="218">
        <v>304</v>
      </c>
      <c r="H12" s="218">
        <v>10</v>
      </c>
      <c r="I12" s="218">
        <v>1</v>
      </c>
      <c r="J12" s="249">
        <v>2258.2600000000002</v>
      </c>
      <c r="K12" s="249">
        <v>1957.37</v>
      </c>
      <c r="L12" s="249">
        <v>305.14</v>
      </c>
      <c r="M12" s="249">
        <v>306.41000000000003</v>
      </c>
      <c r="N12" s="250">
        <f t="shared" ref="N12" si="0">J12-L12</f>
        <v>1953.1200000000003</v>
      </c>
      <c r="O12" s="250">
        <f t="shared" ref="O12" si="1">K12-M12</f>
        <v>1650.9599999999998</v>
      </c>
      <c r="P12" s="95">
        <f t="shared" ref="P12" si="2">0.0007677*(1.859/(1.859-1))*(N12-O12)*(H12/G12)*I12</f>
        <v>1.6513576959438787E-2</v>
      </c>
      <c r="Q12" s="95">
        <f t="shared" ref="Q12" si="3">0.0007677*(1.859/(1.859-1))*((1.859*O12)-N12)*(H12/G12)*I12</f>
        <v>6.0992168538192774E-2</v>
      </c>
      <c r="R12" s="133">
        <f t="shared" ref="R12" si="4">N12/O12</f>
        <v>1.183020787905219</v>
      </c>
      <c r="S12" s="221"/>
      <c r="T12" s="85">
        <v>120</v>
      </c>
    </row>
    <row r="13" spans="1:20" s="60" customFormat="1">
      <c r="A13" s="219">
        <v>44755</v>
      </c>
      <c r="B13" s="81" t="str">
        <f>VLOOKUP(C13,'Master List'!A:C,3,FALSE)</f>
        <v>50-135</v>
      </c>
      <c r="C13" s="120">
        <v>4</v>
      </c>
      <c r="D13" s="78" t="s">
        <v>106</v>
      </c>
      <c r="E13" s="81">
        <f>VLOOKUP(C13,'Master List'!A:G,5,FALSE)</f>
        <v>150</v>
      </c>
      <c r="F13" s="43">
        <f>VLOOKUP(C13,'2022-002-bottles_csv'!E:L,8,FALSE)</f>
        <v>0.09</v>
      </c>
      <c r="G13" s="218">
        <v>304</v>
      </c>
      <c r="H13" s="218">
        <v>10</v>
      </c>
      <c r="I13" s="218">
        <v>1</v>
      </c>
      <c r="J13" s="249">
        <v>1863.47</v>
      </c>
      <c r="K13" s="249">
        <v>1614.78</v>
      </c>
      <c r="L13" s="249">
        <v>332.42</v>
      </c>
      <c r="M13" s="249">
        <v>348.04</v>
      </c>
      <c r="N13" s="250">
        <f t="shared" ref="N13:N76" si="5">J13-L13</f>
        <v>1531.05</v>
      </c>
      <c r="O13" s="250">
        <f t="shared" ref="O13:O76" si="6">K13-M13</f>
        <v>1266.74</v>
      </c>
      <c r="P13" s="95">
        <f t="shared" ref="P13:P76" si="7">0.0007677*(1.859/(1.859-1))*(N13-O13)*(H13/G13)*I13</f>
        <v>1.444500769840236E-2</v>
      </c>
      <c r="Q13" s="95">
        <f t="shared" ref="Q13:Q76" si="8">0.0007677*(1.859/(1.859-1))*((1.859*O13)-N13)*(H13/G13)*I13</f>
        <v>4.502319749837394E-2</v>
      </c>
      <c r="R13" s="133">
        <f t="shared" ref="R13:R76" si="9">N13/O13</f>
        <v>1.2086537095220802</v>
      </c>
      <c r="S13" s="221"/>
      <c r="T13" s="85">
        <v>219</v>
      </c>
    </row>
    <row r="14" spans="1:20" s="60" customFormat="1">
      <c r="A14" s="219">
        <v>44750</v>
      </c>
      <c r="B14" s="81" t="str">
        <f>VLOOKUP(C14,'Master List'!A:C,3,FALSE)</f>
        <v>50-135</v>
      </c>
      <c r="C14" s="120">
        <v>6</v>
      </c>
      <c r="D14" s="78" t="s">
        <v>105</v>
      </c>
      <c r="E14" s="81">
        <f>VLOOKUP(C14,'Master List'!A:G,5,FALSE)</f>
        <v>100</v>
      </c>
      <c r="F14" s="43">
        <f>VLOOKUP(C14,'2022-002-bottles_csv'!E:L,8,FALSE)</f>
        <v>0.18</v>
      </c>
      <c r="G14" s="218">
        <v>304</v>
      </c>
      <c r="H14" s="218">
        <v>10</v>
      </c>
      <c r="I14" s="218">
        <v>1</v>
      </c>
      <c r="J14" s="249">
        <v>18351.169999999998</v>
      </c>
      <c r="K14" s="249">
        <v>12304.92</v>
      </c>
      <c r="L14" s="249">
        <v>305.14</v>
      </c>
      <c r="M14" s="249">
        <v>306.41000000000003</v>
      </c>
      <c r="N14" s="250">
        <f t="shared" si="5"/>
        <v>18046.03</v>
      </c>
      <c r="O14" s="250">
        <f t="shared" si="6"/>
        <v>11998.51</v>
      </c>
      <c r="P14" s="95">
        <f t="shared" si="7"/>
        <v>0.33050763480852879</v>
      </c>
      <c r="Q14" s="95">
        <f t="shared" si="8"/>
        <v>0.2327727974313725</v>
      </c>
      <c r="R14" s="133">
        <f t="shared" si="9"/>
        <v>1.5040225828040314</v>
      </c>
      <c r="S14" s="221"/>
      <c r="T14" s="85">
        <v>116</v>
      </c>
    </row>
    <row r="15" spans="1:20" s="60" customFormat="1">
      <c r="A15" s="219">
        <v>44756</v>
      </c>
      <c r="B15" s="81" t="str">
        <f>VLOOKUP(C15,'Master List'!A:C,3,FALSE)</f>
        <v>50-135</v>
      </c>
      <c r="C15" s="120">
        <v>6</v>
      </c>
      <c r="D15" s="78" t="s">
        <v>106</v>
      </c>
      <c r="E15" s="81">
        <f>VLOOKUP(C15,'Master List'!A:G,5,FALSE)</f>
        <v>100</v>
      </c>
      <c r="F15" s="43">
        <f>VLOOKUP(C15,'2022-002-bottles_csv'!E:L,8,FALSE)</f>
        <v>0.18</v>
      </c>
      <c r="G15" s="218">
        <v>304</v>
      </c>
      <c r="H15" s="218">
        <v>10</v>
      </c>
      <c r="I15" s="218">
        <v>1</v>
      </c>
      <c r="J15" s="249">
        <v>15982.29</v>
      </c>
      <c r="K15" s="249">
        <v>9595.1200000000008</v>
      </c>
      <c r="L15" s="249">
        <v>332.16</v>
      </c>
      <c r="M15" s="249">
        <v>344.15</v>
      </c>
      <c r="N15" s="250">
        <f t="shared" si="5"/>
        <v>15650.130000000001</v>
      </c>
      <c r="O15" s="250">
        <f t="shared" si="6"/>
        <v>9250.9700000000012</v>
      </c>
      <c r="P15" s="95">
        <f t="shared" si="7"/>
        <v>0.34972538104236867</v>
      </c>
      <c r="Q15" s="95">
        <f t="shared" si="8"/>
        <v>8.4569408913914165E-2</v>
      </c>
      <c r="R15" s="133">
        <f t="shared" si="9"/>
        <v>1.6917285430608897</v>
      </c>
      <c r="S15" s="221"/>
      <c r="T15" s="85">
        <v>242</v>
      </c>
    </row>
    <row r="16" spans="1:20" s="60" customFormat="1">
      <c r="A16" s="219" t="s">
        <v>206</v>
      </c>
      <c r="B16" s="81" t="str">
        <f>VLOOKUP(C16,'Master List'!A:C,3,FALSE)</f>
        <v>50-135</v>
      </c>
      <c r="C16" s="120">
        <v>9</v>
      </c>
      <c r="D16" s="78" t="s">
        <v>105</v>
      </c>
      <c r="E16" s="81">
        <f>VLOOKUP(C16,'Master List'!A:G,5,FALSE)</f>
        <v>75</v>
      </c>
      <c r="F16" s="43">
        <f>VLOOKUP(C16,'2022-002-bottles_csv'!E:L,8,FALSE)</f>
        <v>0.19</v>
      </c>
      <c r="G16" s="218"/>
      <c r="H16" s="218"/>
      <c r="I16" s="218"/>
      <c r="J16" s="249"/>
      <c r="K16" s="249"/>
      <c r="L16" s="249"/>
      <c r="M16" s="249"/>
      <c r="N16" s="250"/>
      <c r="O16" s="250"/>
      <c r="P16" s="95">
        <v>-99</v>
      </c>
      <c r="Q16" s="95">
        <v>-99</v>
      </c>
      <c r="R16" s="133"/>
      <c r="S16" s="2" t="s">
        <v>210</v>
      </c>
      <c r="T16" s="85"/>
    </row>
    <row r="17" spans="1:20" s="60" customFormat="1">
      <c r="A17" s="219" t="s">
        <v>206</v>
      </c>
      <c r="B17" s="81" t="str">
        <f>VLOOKUP(C17,'Master List'!A:C,3,FALSE)</f>
        <v>50-135</v>
      </c>
      <c r="C17" s="120">
        <v>9</v>
      </c>
      <c r="D17" s="78" t="s">
        <v>106</v>
      </c>
      <c r="E17" s="81">
        <f>VLOOKUP(C17,'Master List'!A:G,5,FALSE)</f>
        <v>75</v>
      </c>
      <c r="F17" s="43">
        <f>VLOOKUP(C17,'2022-002-bottles_csv'!E:L,8,FALSE)</f>
        <v>0.19</v>
      </c>
      <c r="G17" s="218"/>
      <c r="H17" s="218"/>
      <c r="I17" s="218"/>
      <c r="J17" s="249"/>
      <c r="K17" s="249"/>
      <c r="L17" s="249"/>
      <c r="M17" s="249"/>
      <c r="N17" s="250"/>
      <c r="O17" s="250"/>
      <c r="P17" s="95">
        <v>-99</v>
      </c>
      <c r="Q17" s="95">
        <v>-99</v>
      </c>
      <c r="R17" s="133"/>
      <c r="S17" s="2" t="s">
        <v>210</v>
      </c>
      <c r="T17" s="85"/>
    </row>
    <row r="18" spans="1:20" s="60" customFormat="1">
      <c r="A18" s="219">
        <v>44750</v>
      </c>
      <c r="B18" s="81" t="str">
        <f>VLOOKUP(C18,'Master List'!A:C,3,FALSE)</f>
        <v>50-135</v>
      </c>
      <c r="C18" s="120">
        <v>12</v>
      </c>
      <c r="D18" s="78" t="s">
        <v>105</v>
      </c>
      <c r="E18" s="81">
        <f>VLOOKUP(C18,'Master List'!A:G,5,FALSE)</f>
        <v>50</v>
      </c>
      <c r="F18" s="43">
        <f>VLOOKUP(C18,'2022-002-bottles_csv'!E:L,8,FALSE)</f>
        <v>0.21</v>
      </c>
      <c r="G18" s="218">
        <v>304</v>
      </c>
      <c r="H18" s="218">
        <v>10</v>
      </c>
      <c r="I18" s="218">
        <v>1</v>
      </c>
      <c r="J18" s="249">
        <v>19263.11</v>
      </c>
      <c r="K18" s="249">
        <v>11826.1</v>
      </c>
      <c r="L18" s="249">
        <v>305.14</v>
      </c>
      <c r="M18" s="249">
        <v>306.41000000000003</v>
      </c>
      <c r="N18" s="250">
        <f t="shared" si="5"/>
        <v>18957.97</v>
      </c>
      <c r="O18" s="250">
        <f t="shared" si="6"/>
        <v>11519.69</v>
      </c>
      <c r="P18" s="95">
        <f t="shared" si="7"/>
        <v>0.40651512187534461</v>
      </c>
      <c r="Q18" s="95">
        <f t="shared" si="8"/>
        <v>0.13428669122225392</v>
      </c>
      <c r="R18" s="133">
        <f t="shared" si="9"/>
        <v>1.6457014034231825</v>
      </c>
      <c r="S18" s="2"/>
      <c r="T18" s="85">
        <v>118</v>
      </c>
    </row>
    <row r="19" spans="1:20" s="60" customFormat="1">
      <c r="A19" s="219">
        <v>44761</v>
      </c>
      <c r="B19" s="81" t="str">
        <f>VLOOKUP(C19,'Master List'!A:C,3,FALSE)</f>
        <v>50-135</v>
      </c>
      <c r="C19" s="120">
        <v>12</v>
      </c>
      <c r="D19" s="78" t="s">
        <v>106</v>
      </c>
      <c r="E19" s="81">
        <f>VLOOKUP(C19,'Master List'!A:G,5,FALSE)</f>
        <v>50</v>
      </c>
      <c r="F19" s="43">
        <f>VLOOKUP(C19,'2022-002-bottles_csv'!E:L,8,FALSE)</f>
        <v>0.21</v>
      </c>
      <c r="G19" s="218">
        <v>304</v>
      </c>
      <c r="H19" s="218">
        <v>10</v>
      </c>
      <c r="I19" s="218">
        <v>1</v>
      </c>
      <c r="J19" s="249">
        <v>17451.830000000002</v>
      </c>
      <c r="K19" s="249">
        <v>10783.43</v>
      </c>
      <c r="L19" s="249">
        <v>334.87</v>
      </c>
      <c r="M19" s="249">
        <v>333.82</v>
      </c>
      <c r="N19" s="250">
        <f t="shared" si="5"/>
        <v>17116.960000000003</v>
      </c>
      <c r="O19" s="250">
        <f t="shared" si="6"/>
        <v>10449.61</v>
      </c>
      <c r="P19" s="95">
        <f t="shared" si="7"/>
        <v>0.36438243758443883</v>
      </c>
      <c r="Q19" s="95">
        <f t="shared" si="8"/>
        <v>0.1261835441531598</v>
      </c>
      <c r="R19" s="133">
        <f t="shared" si="9"/>
        <v>1.6380477357528178</v>
      </c>
      <c r="S19" s="2"/>
      <c r="T19" s="85">
        <v>400</v>
      </c>
    </row>
    <row r="20" spans="1:20" s="60" customFormat="1">
      <c r="A20" s="219" t="s">
        <v>206</v>
      </c>
      <c r="B20" s="81" t="str">
        <f>VLOOKUP(C20,'Master List'!A:C,3,FALSE)</f>
        <v>50-135</v>
      </c>
      <c r="C20" s="120">
        <v>14</v>
      </c>
      <c r="D20" s="78" t="s">
        <v>105</v>
      </c>
      <c r="E20" s="81">
        <f>VLOOKUP(C20,'Master List'!A:G,5,FALSE)</f>
        <v>25</v>
      </c>
      <c r="F20" s="43">
        <f>VLOOKUP(C20,'2022-002-bottles_csv'!E:L,8,FALSE)</f>
        <v>0.19</v>
      </c>
      <c r="G20" s="218"/>
      <c r="H20" s="218"/>
      <c r="I20" s="218"/>
      <c r="J20" s="249"/>
      <c r="K20" s="249"/>
      <c r="L20" s="249"/>
      <c r="M20" s="249"/>
      <c r="N20" s="250"/>
      <c r="O20" s="250"/>
      <c r="P20" s="95">
        <v>-99</v>
      </c>
      <c r="Q20" s="95">
        <v>-99</v>
      </c>
      <c r="R20" s="133"/>
      <c r="S20" s="2" t="s">
        <v>210</v>
      </c>
      <c r="T20" s="85"/>
    </row>
    <row r="21" spans="1:20" s="60" customFormat="1">
      <c r="A21" s="219">
        <v>44757</v>
      </c>
      <c r="B21" s="81" t="str">
        <f>VLOOKUP(C21,'Master List'!A:C,3,FALSE)</f>
        <v>50-135</v>
      </c>
      <c r="C21" s="120">
        <v>14</v>
      </c>
      <c r="D21" s="78" t="s">
        <v>106</v>
      </c>
      <c r="E21" s="81">
        <f>VLOOKUP(C21,'Master List'!A:G,5,FALSE)</f>
        <v>25</v>
      </c>
      <c r="F21" s="43">
        <f>VLOOKUP(C21,'2022-002-bottles_csv'!E:L,8,FALSE)</f>
        <v>0.19</v>
      </c>
      <c r="G21" s="218">
        <v>304</v>
      </c>
      <c r="H21" s="218">
        <v>10</v>
      </c>
      <c r="I21" s="218">
        <v>1</v>
      </c>
      <c r="J21" s="249">
        <v>16927.5</v>
      </c>
      <c r="K21" s="249">
        <v>10409.81</v>
      </c>
      <c r="L21" s="249">
        <v>305.45999999999998</v>
      </c>
      <c r="M21" s="249">
        <v>318.69</v>
      </c>
      <c r="N21" s="250">
        <f t="shared" si="5"/>
        <v>16622.04</v>
      </c>
      <c r="O21" s="250">
        <f t="shared" si="6"/>
        <v>10091.119999999999</v>
      </c>
      <c r="P21" s="95">
        <f t="shared" si="7"/>
        <v>0.35692629744485638</v>
      </c>
      <c r="Q21" s="95">
        <f t="shared" si="8"/>
        <v>0.11681006110172244</v>
      </c>
      <c r="R21" s="133">
        <f t="shared" si="9"/>
        <v>1.6471947613347182</v>
      </c>
      <c r="S21" s="221"/>
      <c r="T21" s="85">
        <v>302</v>
      </c>
    </row>
    <row r="22" spans="1:20" s="60" customFormat="1">
      <c r="A22" s="219">
        <v>44750</v>
      </c>
      <c r="B22" s="81" t="str">
        <f>VLOOKUP(C22,'Master List'!A:C,3,FALSE)</f>
        <v>50-135</v>
      </c>
      <c r="C22" s="120">
        <v>20</v>
      </c>
      <c r="D22" s="78" t="s">
        <v>105</v>
      </c>
      <c r="E22" s="81">
        <f>VLOOKUP(C22,'Master List'!A:G,5,FALSE)</f>
        <v>5</v>
      </c>
      <c r="F22" s="43">
        <f>VLOOKUP(C22,'2022-002-bottles_csv'!E:L,8,FALSE)</f>
        <v>0.13</v>
      </c>
      <c r="G22" s="218">
        <v>304</v>
      </c>
      <c r="H22" s="218">
        <v>10</v>
      </c>
      <c r="I22" s="218">
        <v>1</v>
      </c>
      <c r="J22" s="249">
        <v>18316.98</v>
      </c>
      <c r="K22" s="249">
        <v>11161.5</v>
      </c>
      <c r="L22" s="249">
        <v>305.14</v>
      </c>
      <c r="M22" s="249">
        <v>306.41000000000003</v>
      </c>
      <c r="N22" s="250">
        <f t="shared" si="5"/>
        <v>18011.84</v>
      </c>
      <c r="O22" s="250">
        <f t="shared" si="6"/>
        <v>10855.09</v>
      </c>
      <c r="P22" s="95">
        <f t="shared" si="7"/>
        <v>0.39112901080375734</v>
      </c>
      <c r="Q22" s="95">
        <f t="shared" si="8"/>
        <v>0.11847258032739388</v>
      </c>
      <c r="R22" s="133">
        <f t="shared" si="9"/>
        <v>1.6592990016664992</v>
      </c>
      <c r="S22" s="221"/>
      <c r="T22" s="85">
        <v>114</v>
      </c>
    </row>
    <row r="23" spans="1:20" s="60" customFormat="1">
      <c r="A23" s="219">
        <v>44756</v>
      </c>
      <c r="B23" s="81" t="str">
        <f>VLOOKUP(C23,'Master List'!A:C,3,FALSE)</f>
        <v>50-135</v>
      </c>
      <c r="C23" s="120">
        <v>20</v>
      </c>
      <c r="D23" s="78" t="s">
        <v>106</v>
      </c>
      <c r="E23" s="81">
        <f>VLOOKUP(C23,'Master List'!A:G,5,FALSE)</f>
        <v>5</v>
      </c>
      <c r="F23" s="43">
        <f>VLOOKUP(C23,'2022-002-bottles_csv'!E:L,8,FALSE)</f>
        <v>0.13</v>
      </c>
      <c r="G23" s="218">
        <v>304</v>
      </c>
      <c r="H23" s="218">
        <v>10</v>
      </c>
      <c r="I23" s="218">
        <v>1</v>
      </c>
      <c r="J23" s="249">
        <v>16677.97</v>
      </c>
      <c r="K23" s="249">
        <v>10155.74</v>
      </c>
      <c r="L23" s="249">
        <v>332.16</v>
      </c>
      <c r="M23" s="249">
        <v>344.15</v>
      </c>
      <c r="N23" s="250">
        <f t="shared" si="5"/>
        <v>16345.810000000001</v>
      </c>
      <c r="O23" s="250">
        <f t="shared" si="6"/>
        <v>9811.59</v>
      </c>
      <c r="P23" s="95">
        <f t="shared" si="7"/>
        <v>0.35710664826550154</v>
      </c>
      <c r="Q23" s="95">
        <f t="shared" si="8"/>
        <v>0.10350693260084712</v>
      </c>
      <c r="R23" s="133">
        <f t="shared" si="9"/>
        <v>1.6659695319514982</v>
      </c>
      <c r="S23" s="221"/>
      <c r="T23" s="85">
        <v>260</v>
      </c>
    </row>
    <row r="24" spans="1:20" s="60" customFormat="1">
      <c r="A24" s="219">
        <v>44750</v>
      </c>
      <c r="B24" s="81" t="str">
        <f>VLOOKUP(C24,'Master List'!A:C,3,FALSE)</f>
        <v>49-135</v>
      </c>
      <c r="C24" s="120">
        <v>24</v>
      </c>
      <c r="D24" s="78" t="s">
        <v>105</v>
      </c>
      <c r="E24" s="81">
        <f>VLOOKUP(C24,'Master List'!A:G,5,FALSE)</f>
        <v>150</v>
      </c>
      <c r="F24" s="43">
        <f>VLOOKUP(C24,'2022-002-bottles_csv'!E:L,8,FALSE)</f>
        <v>0.08</v>
      </c>
      <c r="G24" s="218">
        <v>304</v>
      </c>
      <c r="H24" s="218">
        <v>10</v>
      </c>
      <c r="I24" s="218">
        <v>1</v>
      </c>
      <c r="J24" s="249">
        <v>1969.8</v>
      </c>
      <c r="K24" s="249">
        <v>1631.32</v>
      </c>
      <c r="L24" s="249">
        <v>252.94</v>
      </c>
      <c r="M24" s="249">
        <v>262.98</v>
      </c>
      <c r="N24" s="250">
        <f t="shared" si="5"/>
        <v>1716.86</v>
      </c>
      <c r="O24" s="250">
        <f t="shared" si="6"/>
        <v>1368.34</v>
      </c>
      <c r="P24" s="95">
        <f t="shared" si="7"/>
        <v>1.9047232730684392E-2</v>
      </c>
      <c r="Q24" s="95">
        <f t="shared" si="8"/>
        <v>4.5190672363460339E-2</v>
      </c>
      <c r="R24" s="133">
        <f t="shared" si="9"/>
        <v>1.2547027785491911</v>
      </c>
      <c r="S24" s="221"/>
      <c r="T24" s="85">
        <v>132</v>
      </c>
    </row>
    <row r="25" spans="1:20" s="60" customFormat="1">
      <c r="A25" s="219">
        <v>44755</v>
      </c>
      <c r="B25" s="81" t="str">
        <f>VLOOKUP(C25,'Master List'!A:C,3,FALSE)</f>
        <v>49-135</v>
      </c>
      <c r="C25" s="120">
        <v>24</v>
      </c>
      <c r="D25" s="78" t="s">
        <v>106</v>
      </c>
      <c r="E25" s="81">
        <f>VLOOKUP(C25,'Master List'!A:G,5,FALSE)</f>
        <v>150</v>
      </c>
      <c r="F25" s="43">
        <f>VLOOKUP(C25,'2022-002-bottles_csv'!E:L,8,FALSE)</f>
        <v>0.08</v>
      </c>
      <c r="G25" s="218">
        <v>304</v>
      </c>
      <c r="H25" s="218">
        <v>10</v>
      </c>
      <c r="I25" s="218">
        <v>1</v>
      </c>
      <c r="J25" s="249">
        <v>2076.29</v>
      </c>
      <c r="K25" s="249">
        <v>1939.56</v>
      </c>
      <c r="L25" s="249">
        <v>311.39</v>
      </c>
      <c r="M25" s="249">
        <v>298.52999999999997</v>
      </c>
      <c r="N25" s="250">
        <f t="shared" si="5"/>
        <v>1764.9</v>
      </c>
      <c r="O25" s="250">
        <f t="shared" si="6"/>
        <v>1641.03</v>
      </c>
      <c r="P25" s="95">
        <f t="shared" si="7"/>
        <v>6.7697139858541198E-3</v>
      </c>
      <c r="Q25" s="95">
        <f t="shared" si="8"/>
        <v>7.0269859071020874E-2</v>
      </c>
      <c r="R25" s="133">
        <f t="shared" si="9"/>
        <v>1.0754830807480669</v>
      </c>
      <c r="S25" s="221"/>
      <c r="T25" s="85">
        <v>211</v>
      </c>
    </row>
    <row r="26" spans="1:20" s="60" customFormat="1">
      <c r="A26" s="219">
        <v>44754</v>
      </c>
      <c r="B26" s="81" t="str">
        <f>VLOOKUP(C26,'Master List'!A:C,3,FALSE)</f>
        <v>49-135</v>
      </c>
      <c r="C26" s="120">
        <v>28</v>
      </c>
      <c r="D26" s="78" t="s">
        <v>105</v>
      </c>
      <c r="E26" s="81">
        <f>VLOOKUP(C26,'Master List'!A:G,5,FALSE)</f>
        <v>100</v>
      </c>
      <c r="F26" s="43">
        <f>VLOOKUP(C26,'2022-002-bottles_csv'!E:L,8,FALSE)</f>
        <v>0.12</v>
      </c>
      <c r="G26" s="218">
        <v>304</v>
      </c>
      <c r="H26" s="218">
        <v>10</v>
      </c>
      <c r="I26" s="218">
        <v>1</v>
      </c>
      <c r="J26" s="249">
        <v>8293.73</v>
      </c>
      <c r="K26" s="249">
        <v>5622.19</v>
      </c>
      <c r="L26" s="249">
        <v>296.26</v>
      </c>
      <c r="M26" s="249">
        <v>308.87</v>
      </c>
      <c r="N26" s="250">
        <f t="shared" si="5"/>
        <v>7997.4699999999993</v>
      </c>
      <c r="O26" s="250">
        <f t="shared" si="6"/>
        <v>5313.32</v>
      </c>
      <c r="P26" s="95">
        <f t="shared" si="7"/>
        <v>0.14669353188932199</v>
      </c>
      <c r="Q26" s="95">
        <f t="shared" si="8"/>
        <v>0.10274487223159896</v>
      </c>
      <c r="R26" s="133">
        <f t="shared" si="9"/>
        <v>1.5051737896456452</v>
      </c>
      <c r="S26" s="221"/>
      <c r="T26" s="85">
        <v>162</v>
      </c>
    </row>
    <row r="27" spans="1:20" s="60" customFormat="1">
      <c r="A27" s="219">
        <v>44757</v>
      </c>
      <c r="B27" s="81" t="str">
        <f>VLOOKUP(C27,'Master List'!A:C,3,FALSE)</f>
        <v>49-135</v>
      </c>
      <c r="C27" s="120">
        <v>28</v>
      </c>
      <c r="D27" s="82" t="s">
        <v>106</v>
      </c>
      <c r="E27" s="81">
        <f>VLOOKUP(C27,'Master List'!A:G,5,FALSE)</f>
        <v>100</v>
      </c>
      <c r="F27" s="43">
        <f>VLOOKUP(C27,'2022-002-bottles_csv'!E:L,8,FALSE)</f>
        <v>0.12</v>
      </c>
      <c r="G27" s="218">
        <v>304</v>
      </c>
      <c r="H27" s="218">
        <v>10</v>
      </c>
      <c r="I27" s="218">
        <v>1</v>
      </c>
      <c r="J27" s="249">
        <v>8780.52</v>
      </c>
      <c r="K27" s="249">
        <v>6120.56</v>
      </c>
      <c r="L27" s="249">
        <v>305.45999999999998</v>
      </c>
      <c r="M27" s="249">
        <v>318.69</v>
      </c>
      <c r="N27" s="250">
        <f t="shared" si="5"/>
        <v>8475.0600000000013</v>
      </c>
      <c r="O27" s="250">
        <f t="shared" si="6"/>
        <v>5801.8700000000008</v>
      </c>
      <c r="P27" s="95">
        <f t="shared" si="7"/>
        <v>0.14609454855772472</v>
      </c>
      <c r="Q27" s="95">
        <f t="shared" si="8"/>
        <v>0.12627925797322925</v>
      </c>
      <c r="R27" s="133">
        <f t="shared" si="9"/>
        <v>1.4607462766314998</v>
      </c>
      <c r="S27" s="221"/>
      <c r="T27" s="85">
        <v>290</v>
      </c>
    </row>
    <row r="28" spans="1:20" s="60" customFormat="1">
      <c r="A28" s="219">
        <v>44754</v>
      </c>
      <c r="B28" s="81" t="str">
        <f>VLOOKUP(C28,'Master List'!A:C,3,FALSE)</f>
        <v>49-135</v>
      </c>
      <c r="C28" s="120">
        <v>29</v>
      </c>
      <c r="D28" s="78" t="s">
        <v>105</v>
      </c>
      <c r="E28" s="81">
        <f>VLOOKUP(C28,'Master List'!A:G,5,FALSE)</f>
        <v>75</v>
      </c>
      <c r="F28" s="43">
        <f>VLOOKUP(C28,'2022-002-bottles_csv'!E:L,8,FALSE)</f>
        <v>0.19</v>
      </c>
      <c r="G28" s="218">
        <v>304</v>
      </c>
      <c r="H28" s="218">
        <v>10</v>
      </c>
      <c r="I28" s="218">
        <v>1</v>
      </c>
      <c r="J28" s="249">
        <v>15051.43</v>
      </c>
      <c r="K28" s="249">
        <v>9386.09</v>
      </c>
      <c r="L28" s="249">
        <v>296.26</v>
      </c>
      <c r="M28" s="249">
        <v>308.87</v>
      </c>
      <c r="N28" s="250">
        <f t="shared" si="5"/>
        <v>14755.17</v>
      </c>
      <c r="O28" s="250">
        <f t="shared" si="6"/>
        <v>9077.2199999999993</v>
      </c>
      <c r="P28" s="95">
        <f t="shared" si="7"/>
        <v>0.31030998244918351</v>
      </c>
      <c r="Q28" s="95">
        <f t="shared" si="8"/>
        <v>0.11582796344048747</v>
      </c>
      <c r="R28" s="133">
        <f t="shared" si="9"/>
        <v>1.6255164025990338</v>
      </c>
      <c r="S28" s="221"/>
      <c r="T28" s="85">
        <v>146</v>
      </c>
    </row>
    <row r="29" spans="1:20" s="60" customFormat="1">
      <c r="A29" s="219">
        <v>44756</v>
      </c>
      <c r="B29" s="81" t="str">
        <f>VLOOKUP(C29,'Master List'!A:C,3,FALSE)</f>
        <v>49-135</v>
      </c>
      <c r="C29" s="120">
        <v>29</v>
      </c>
      <c r="D29" s="78" t="s">
        <v>106</v>
      </c>
      <c r="E29" s="81">
        <f>VLOOKUP(C29,'Master List'!A:G,5,FALSE)</f>
        <v>75</v>
      </c>
      <c r="F29" s="43">
        <f>VLOOKUP(C29,'2022-002-bottles_csv'!E:L,8,FALSE)</f>
        <v>0.19</v>
      </c>
      <c r="G29" s="218">
        <v>304</v>
      </c>
      <c r="H29" s="218">
        <v>10</v>
      </c>
      <c r="I29" s="218">
        <v>1</v>
      </c>
      <c r="J29" s="249">
        <v>15686.8</v>
      </c>
      <c r="K29" s="249">
        <v>9928.08</v>
      </c>
      <c r="L29" s="249">
        <v>332.16</v>
      </c>
      <c r="M29" s="249">
        <v>344.15</v>
      </c>
      <c r="N29" s="250">
        <f t="shared" si="5"/>
        <v>15354.64</v>
      </c>
      <c r="O29" s="250">
        <f t="shared" si="6"/>
        <v>9583.93</v>
      </c>
      <c r="P29" s="95">
        <f t="shared" si="7"/>
        <v>0.31537948006222799</v>
      </c>
      <c r="Q29" s="95">
        <f t="shared" si="8"/>
        <v>0.13454640514826538</v>
      </c>
      <c r="R29" s="133">
        <f t="shared" si="9"/>
        <v>1.6021235547421568</v>
      </c>
      <c r="S29" s="221"/>
      <c r="T29" s="85">
        <v>245</v>
      </c>
    </row>
    <row r="30" spans="1:20" s="60" customFormat="1">
      <c r="A30" s="219">
        <v>44754</v>
      </c>
      <c r="B30" s="81" t="str">
        <f>VLOOKUP(C30,'Master List'!A:C,3,FALSE)</f>
        <v>49-135</v>
      </c>
      <c r="C30" s="120">
        <v>32</v>
      </c>
      <c r="D30" s="78" t="s">
        <v>105</v>
      </c>
      <c r="E30" s="81">
        <f>VLOOKUP(C30,'Master List'!A:G,5,FALSE)</f>
        <v>50</v>
      </c>
      <c r="F30" s="43">
        <f>VLOOKUP(C30,'2022-002-bottles_csv'!E:L,8,FALSE)</f>
        <v>0.21</v>
      </c>
      <c r="G30" s="218">
        <v>304</v>
      </c>
      <c r="H30" s="218">
        <v>10</v>
      </c>
      <c r="I30" s="218">
        <v>1</v>
      </c>
      <c r="J30" s="249">
        <v>14592.01</v>
      </c>
      <c r="K30" s="249">
        <v>9282.06</v>
      </c>
      <c r="L30" s="249">
        <v>296.26</v>
      </c>
      <c r="M30" s="249">
        <v>308.87</v>
      </c>
      <c r="N30" s="250">
        <f t="shared" si="5"/>
        <v>14295.75</v>
      </c>
      <c r="O30" s="250">
        <f t="shared" si="6"/>
        <v>8973.1899999999987</v>
      </c>
      <c r="P30" s="95">
        <f t="shared" si="7"/>
        <v>0.29088729210097425</v>
      </c>
      <c r="Q30" s="95">
        <f t="shared" si="8"/>
        <v>0.13036687543905856</v>
      </c>
      <c r="R30" s="133">
        <f t="shared" si="9"/>
        <v>1.5931625207980664</v>
      </c>
      <c r="S30" s="221"/>
      <c r="T30" s="85">
        <v>147</v>
      </c>
    </row>
    <row r="31" spans="1:20" s="60" customFormat="1">
      <c r="A31" s="219">
        <v>44755</v>
      </c>
      <c r="B31" s="81" t="str">
        <f>VLOOKUP(C31,'Master List'!A:C,3,FALSE)</f>
        <v>49-135</v>
      </c>
      <c r="C31" s="120">
        <v>32</v>
      </c>
      <c r="D31" s="78" t="s">
        <v>106</v>
      </c>
      <c r="E31" s="81">
        <f>VLOOKUP(C31,'Master List'!A:G,5,FALSE)</f>
        <v>50</v>
      </c>
      <c r="F31" s="43">
        <f>VLOOKUP(C31,'2022-002-bottles_csv'!E:L,8,FALSE)</f>
        <v>0.21</v>
      </c>
      <c r="G31" s="218">
        <v>304</v>
      </c>
      <c r="H31" s="218">
        <v>10</v>
      </c>
      <c r="I31" s="218">
        <v>1</v>
      </c>
      <c r="J31" s="249">
        <v>16299.79</v>
      </c>
      <c r="K31" s="249">
        <v>10095.719999999999</v>
      </c>
      <c r="L31" s="249">
        <v>332.42</v>
      </c>
      <c r="M31" s="249">
        <v>348.04</v>
      </c>
      <c r="N31" s="250">
        <f t="shared" si="5"/>
        <v>15967.37</v>
      </c>
      <c r="O31" s="250">
        <f t="shared" si="6"/>
        <v>9747.6799999999985</v>
      </c>
      <c r="P31" s="95">
        <f t="shared" si="7"/>
        <v>0.33991702898746251</v>
      </c>
      <c r="Q31" s="95">
        <f t="shared" si="8"/>
        <v>0.11769624163832687</v>
      </c>
      <c r="R31" s="133">
        <f t="shared" si="9"/>
        <v>1.63806875071812</v>
      </c>
      <c r="S31" s="221"/>
      <c r="T31" s="85">
        <v>231</v>
      </c>
    </row>
    <row r="32" spans="1:20" s="60" customFormat="1">
      <c r="A32" s="219">
        <v>44750</v>
      </c>
      <c r="B32" s="81" t="str">
        <f>VLOOKUP(C32,'Master List'!A:C,3,FALSE)</f>
        <v>49-135</v>
      </c>
      <c r="C32" s="120">
        <v>34</v>
      </c>
      <c r="D32" s="78" t="s">
        <v>105</v>
      </c>
      <c r="E32" s="81">
        <f>VLOOKUP(C32,'Master List'!A:G,5,FALSE)</f>
        <v>25</v>
      </c>
      <c r="F32" s="43">
        <f>VLOOKUP(C32,'2022-002-bottles_csv'!E:L,8,FALSE)</f>
        <v>0.22</v>
      </c>
      <c r="G32" s="218">
        <v>304</v>
      </c>
      <c r="H32" s="218">
        <v>10</v>
      </c>
      <c r="I32" s="218">
        <v>1</v>
      </c>
      <c r="J32" s="249">
        <v>16154.82</v>
      </c>
      <c r="K32" s="249">
        <v>10322.61</v>
      </c>
      <c r="L32" s="249">
        <v>252.94</v>
      </c>
      <c r="M32" s="249">
        <v>262.98</v>
      </c>
      <c r="N32" s="250">
        <f t="shared" si="5"/>
        <v>15901.88</v>
      </c>
      <c r="O32" s="250">
        <f t="shared" si="6"/>
        <v>10059.630000000001</v>
      </c>
      <c r="P32" s="95">
        <f t="shared" si="7"/>
        <v>0.31928926724676016</v>
      </c>
      <c r="Q32" s="95">
        <f t="shared" si="8"/>
        <v>0.15296876600682535</v>
      </c>
      <c r="R32" s="133">
        <f t="shared" si="9"/>
        <v>1.5807619166907727</v>
      </c>
      <c r="S32" s="221"/>
      <c r="T32" s="85">
        <v>128</v>
      </c>
    </row>
    <row r="33" spans="1:20" s="60" customFormat="1">
      <c r="A33" s="219">
        <v>44761</v>
      </c>
      <c r="B33" s="81" t="str">
        <f>VLOOKUP(C33,'Master List'!A:C,3,FALSE)</f>
        <v>49-135</v>
      </c>
      <c r="C33" s="120">
        <v>34</v>
      </c>
      <c r="D33" s="78" t="s">
        <v>106</v>
      </c>
      <c r="E33" s="81">
        <f>VLOOKUP(C33,'Master List'!A:G,5,FALSE)</f>
        <v>25</v>
      </c>
      <c r="F33" s="43">
        <f>VLOOKUP(C33,'2022-002-bottles_csv'!E:L,8,FALSE)</f>
        <v>0.22</v>
      </c>
      <c r="G33" s="218">
        <v>304</v>
      </c>
      <c r="H33" s="218">
        <v>10</v>
      </c>
      <c r="I33" s="218">
        <v>1</v>
      </c>
      <c r="J33" s="249">
        <v>17177.509999999998</v>
      </c>
      <c r="K33" s="249">
        <v>10887.6</v>
      </c>
      <c r="L33" s="249">
        <v>362.04</v>
      </c>
      <c r="M33" s="249">
        <v>363.93</v>
      </c>
      <c r="N33" s="250">
        <f t="shared" si="5"/>
        <v>16815.469999999998</v>
      </c>
      <c r="O33" s="250">
        <f t="shared" si="6"/>
        <v>10523.67</v>
      </c>
      <c r="P33" s="95">
        <f t="shared" si="7"/>
        <v>0.34385796767737864</v>
      </c>
      <c r="Q33" s="95">
        <f t="shared" si="8"/>
        <v>0.15018482483186477</v>
      </c>
      <c r="R33" s="133">
        <f t="shared" si="9"/>
        <v>1.5978712749449571</v>
      </c>
      <c r="S33" s="221"/>
      <c r="T33" s="85">
        <v>369</v>
      </c>
    </row>
    <row r="34" spans="1:20" s="60" customFormat="1">
      <c r="A34" s="219">
        <v>44750</v>
      </c>
      <c r="B34" s="81" t="str">
        <f>VLOOKUP(C34,'Master List'!A:C,3,FALSE)</f>
        <v>49-135</v>
      </c>
      <c r="C34" s="120">
        <v>40</v>
      </c>
      <c r="D34" s="78" t="s">
        <v>105</v>
      </c>
      <c r="E34" s="81">
        <f>VLOOKUP(C34,'Master List'!A:G,5,FALSE)</f>
        <v>5</v>
      </c>
      <c r="F34" s="43">
        <f>VLOOKUP(C34,'2022-002-bottles_csv'!E:L,8,FALSE)</f>
        <v>0.23</v>
      </c>
      <c r="G34" s="218">
        <v>304</v>
      </c>
      <c r="H34" s="218">
        <v>10</v>
      </c>
      <c r="I34" s="218">
        <v>1</v>
      </c>
      <c r="J34" s="249">
        <v>17277.439999999999</v>
      </c>
      <c r="K34" s="249">
        <v>10913.67</v>
      </c>
      <c r="L34" s="249">
        <v>252.94</v>
      </c>
      <c r="M34" s="249">
        <v>262.98</v>
      </c>
      <c r="N34" s="250">
        <f t="shared" si="5"/>
        <v>17024.5</v>
      </c>
      <c r="O34" s="250">
        <f t="shared" si="6"/>
        <v>10650.69</v>
      </c>
      <c r="P34" s="95">
        <f t="shared" si="7"/>
        <v>0.34833995882923063</v>
      </c>
      <c r="Q34" s="95">
        <f t="shared" si="8"/>
        <v>0.1516658974690259</v>
      </c>
      <c r="R34" s="133">
        <f t="shared" si="9"/>
        <v>1.5984410399701803</v>
      </c>
      <c r="S34" s="221"/>
      <c r="T34" s="85">
        <v>138</v>
      </c>
    </row>
    <row r="35" spans="1:20" s="60" customFormat="1">
      <c r="A35" s="219">
        <v>44761</v>
      </c>
      <c r="B35" s="81" t="str">
        <f>VLOOKUP(C35,'Master List'!A:C,3,FALSE)</f>
        <v>49-135</v>
      </c>
      <c r="C35" s="120">
        <v>40</v>
      </c>
      <c r="D35" s="78" t="s">
        <v>106</v>
      </c>
      <c r="E35" s="81">
        <f>VLOOKUP(C35,'Master List'!A:G,5,FALSE)</f>
        <v>5</v>
      </c>
      <c r="F35" s="43">
        <f>VLOOKUP(C35,'2022-002-bottles_csv'!E:L,8,FALSE)</f>
        <v>0.23</v>
      </c>
      <c r="G35" s="218">
        <v>304</v>
      </c>
      <c r="H35" s="218">
        <v>10</v>
      </c>
      <c r="I35" s="218">
        <v>1</v>
      </c>
      <c r="J35" s="249">
        <v>15741.51</v>
      </c>
      <c r="K35" s="249">
        <v>10157.39</v>
      </c>
      <c r="L35" s="249">
        <v>362.04</v>
      </c>
      <c r="M35" s="249">
        <v>363.93</v>
      </c>
      <c r="N35" s="250">
        <f t="shared" si="5"/>
        <v>15379.47</v>
      </c>
      <c r="O35" s="250">
        <f t="shared" si="6"/>
        <v>9793.4599999999991</v>
      </c>
      <c r="P35" s="95">
        <f t="shared" si="7"/>
        <v>0.3052852992824811</v>
      </c>
      <c r="Q35" s="95">
        <f t="shared" si="8"/>
        <v>0.1544771530490319</v>
      </c>
      <c r="R35" s="133">
        <f t="shared" si="9"/>
        <v>1.57038166286481</v>
      </c>
      <c r="S35" s="221"/>
      <c r="T35" s="85">
        <v>385</v>
      </c>
    </row>
    <row r="36" spans="1:20" s="60" customFormat="1">
      <c r="A36" s="219">
        <v>44750</v>
      </c>
      <c r="B36" s="81" t="str">
        <f>VLOOKUP(C36,'Master List'!A:C,3,FALSE)</f>
        <v>48-135</v>
      </c>
      <c r="C36" s="120">
        <v>44</v>
      </c>
      <c r="D36" s="78" t="s">
        <v>105</v>
      </c>
      <c r="E36" s="81">
        <f>VLOOKUP(C36,'Master List'!A:G,5,FALSE)</f>
        <v>150</v>
      </c>
      <c r="F36" s="43">
        <f>VLOOKUP(C36,'2022-002-bottles_csv'!E:L,8,FALSE)</f>
        <v>7.0000000000000007E-2</v>
      </c>
      <c r="G36" s="218">
        <v>304</v>
      </c>
      <c r="H36" s="218">
        <v>10</v>
      </c>
      <c r="I36" s="218">
        <v>1</v>
      </c>
      <c r="J36" s="249">
        <v>2121.75</v>
      </c>
      <c r="K36" s="249">
        <v>1897.17</v>
      </c>
      <c r="L36" s="249">
        <v>252.94</v>
      </c>
      <c r="M36" s="249">
        <v>262.98</v>
      </c>
      <c r="N36" s="250">
        <f t="shared" si="5"/>
        <v>1868.81</v>
      </c>
      <c r="O36" s="250">
        <f t="shared" si="6"/>
        <v>1634.19</v>
      </c>
      <c r="P36" s="95">
        <f t="shared" si="7"/>
        <v>1.2822396830234046E-2</v>
      </c>
      <c r="Q36" s="95">
        <f t="shared" si="8"/>
        <v>6.3896066509140939E-2</v>
      </c>
      <c r="R36" s="133">
        <f t="shared" si="9"/>
        <v>1.1435695971704636</v>
      </c>
      <c r="S36" s="221"/>
      <c r="T36" s="85">
        <v>129</v>
      </c>
    </row>
    <row r="37" spans="1:20" s="60" customFormat="1">
      <c r="A37" s="219">
        <v>44761</v>
      </c>
      <c r="B37" s="81" t="str">
        <f>VLOOKUP(C37,'Master List'!A:C,3,FALSE)</f>
        <v>48-135</v>
      </c>
      <c r="C37" s="120">
        <v>44</v>
      </c>
      <c r="D37" s="78" t="s">
        <v>106</v>
      </c>
      <c r="E37" s="81">
        <f>VLOOKUP(C37,'Master List'!A:G,5,FALSE)</f>
        <v>150</v>
      </c>
      <c r="F37" s="43">
        <f>VLOOKUP(C37,'2022-002-bottles_csv'!E:L,8,FALSE)</f>
        <v>7.0000000000000007E-2</v>
      </c>
      <c r="G37" s="218">
        <v>304</v>
      </c>
      <c r="H37" s="218">
        <v>10</v>
      </c>
      <c r="I37" s="218">
        <v>1</v>
      </c>
      <c r="J37" s="249">
        <v>2428.5500000000002</v>
      </c>
      <c r="K37" s="249">
        <v>2289.2199999999998</v>
      </c>
      <c r="L37" s="249">
        <v>362.04</v>
      </c>
      <c r="M37" s="249">
        <v>363.93</v>
      </c>
      <c r="N37" s="250">
        <f t="shared" si="5"/>
        <v>2066.5100000000002</v>
      </c>
      <c r="O37" s="250">
        <f t="shared" si="6"/>
        <v>1925.2899999999997</v>
      </c>
      <c r="P37" s="95">
        <f t="shared" si="7"/>
        <v>7.7179220883371365E-3</v>
      </c>
      <c r="Q37" s="95">
        <f t="shared" si="8"/>
        <v>8.2666482590840473E-2</v>
      </c>
      <c r="R37" s="133">
        <f t="shared" si="9"/>
        <v>1.0733499888328515</v>
      </c>
      <c r="S37" s="221"/>
      <c r="T37" s="85">
        <v>387</v>
      </c>
    </row>
    <row r="38" spans="1:20" s="60" customFormat="1">
      <c r="A38" s="219">
        <v>44754</v>
      </c>
      <c r="B38" s="81" t="str">
        <f>VLOOKUP(C38,'Master List'!A:C,3,FALSE)</f>
        <v>48-135</v>
      </c>
      <c r="C38" s="120">
        <v>48</v>
      </c>
      <c r="D38" s="78" t="s">
        <v>105</v>
      </c>
      <c r="E38" s="81">
        <f>VLOOKUP(C38,'Master List'!A:G,5,FALSE)</f>
        <v>100</v>
      </c>
      <c r="F38" s="43">
        <f>VLOOKUP(C38,'2022-002-bottles_csv'!E:L,8,FALSE)</f>
        <v>0.17</v>
      </c>
      <c r="G38" s="218">
        <v>304</v>
      </c>
      <c r="H38" s="218">
        <v>10</v>
      </c>
      <c r="I38" s="218">
        <v>1</v>
      </c>
      <c r="J38" s="249">
        <v>16881.2</v>
      </c>
      <c r="K38" s="249">
        <v>10026.86</v>
      </c>
      <c r="L38" s="249">
        <v>296.26</v>
      </c>
      <c r="M38" s="249">
        <v>308.87</v>
      </c>
      <c r="N38" s="250">
        <f t="shared" si="5"/>
        <v>16584.940000000002</v>
      </c>
      <c r="O38" s="250">
        <f t="shared" si="6"/>
        <v>9717.99</v>
      </c>
      <c r="P38" s="95">
        <f t="shared" si="7"/>
        <v>0.37529092964528066</v>
      </c>
      <c r="Q38" s="95">
        <f t="shared" si="8"/>
        <v>8.0928518244752085E-2</v>
      </c>
      <c r="R38" s="133">
        <f t="shared" si="9"/>
        <v>1.7066224599942994</v>
      </c>
      <c r="S38" s="221" t="s">
        <v>211</v>
      </c>
      <c r="T38" s="85">
        <v>152</v>
      </c>
    </row>
    <row r="39" spans="1:20" s="60" customFormat="1">
      <c r="A39" s="219">
        <v>44757</v>
      </c>
      <c r="B39" s="81" t="str">
        <f>VLOOKUP(C39,'Master List'!A:C,3,FALSE)</f>
        <v>48-135</v>
      </c>
      <c r="C39" s="120">
        <v>48</v>
      </c>
      <c r="D39" s="78" t="s">
        <v>106</v>
      </c>
      <c r="E39" s="81">
        <f>VLOOKUP(C39,'Master List'!A:G,5,FALSE)</f>
        <v>100</v>
      </c>
      <c r="F39" s="43">
        <f>VLOOKUP(C39,'2022-002-bottles_csv'!E:L,8,FALSE)</f>
        <v>0.17</v>
      </c>
      <c r="G39" s="218">
        <v>304</v>
      </c>
      <c r="H39" s="218">
        <v>10</v>
      </c>
      <c r="I39" s="218">
        <v>1</v>
      </c>
      <c r="J39" s="249">
        <v>13794.43</v>
      </c>
      <c r="K39" s="249">
        <v>9701.01</v>
      </c>
      <c r="L39" s="249">
        <v>305.45999999999998</v>
      </c>
      <c r="M39" s="249">
        <v>318.69</v>
      </c>
      <c r="N39" s="250">
        <f t="shared" si="5"/>
        <v>13488.970000000001</v>
      </c>
      <c r="O39" s="250">
        <f t="shared" si="6"/>
        <v>9382.32</v>
      </c>
      <c r="P39" s="95">
        <f t="shared" si="7"/>
        <v>0.22443566594016148</v>
      </c>
      <c r="Q39" s="95">
        <f t="shared" si="8"/>
        <v>0.21602546340115419</v>
      </c>
      <c r="R39" s="133">
        <f t="shared" si="9"/>
        <v>1.4377009097962978</v>
      </c>
      <c r="S39" s="221"/>
      <c r="T39" s="85">
        <v>312</v>
      </c>
    </row>
    <row r="40" spans="1:20" s="60" customFormat="1">
      <c r="A40" s="219">
        <v>44750</v>
      </c>
      <c r="B40" s="81" t="str">
        <f>VLOOKUP(C40,'Master List'!A:C,3,FALSE)</f>
        <v>48-135</v>
      </c>
      <c r="C40" s="120">
        <v>49</v>
      </c>
      <c r="D40" s="78" t="s">
        <v>105</v>
      </c>
      <c r="E40" s="81">
        <f>VLOOKUP(C40,'Master List'!A:G,5,FALSE)</f>
        <v>75</v>
      </c>
      <c r="F40" s="43">
        <f>VLOOKUP(C40,'2022-002-bottles_csv'!E:L,8,FALSE)</f>
        <v>0.21</v>
      </c>
      <c r="G40" s="218">
        <v>304</v>
      </c>
      <c r="H40" s="218">
        <v>10</v>
      </c>
      <c r="I40" s="218">
        <v>1</v>
      </c>
      <c r="J40" s="249">
        <v>20035.18</v>
      </c>
      <c r="K40" s="249">
        <v>12819.74</v>
      </c>
      <c r="L40" s="249">
        <v>252.94</v>
      </c>
      <c r="M40" s="249">
        <v>262.98</v>
      </c>
      <c r="N40" s="250">
        <f t="shared" si="5"/>
        <v>19782.240000000002</v>
      </c>
      <c r="O40" s="250">
        <f t="shared" si="6"/>
        <v>12556.76</v>
      </c>
      <c r="P40" s="95">
        <f t="shared" si="7"/>
        <v>0.39488522653192204</v>
      </c>
      <c r="Q40" s="95">
        <f t="shared" si="8"/>
        <v>0.19460273491768307</v>
      </c>
      <c r="R40" s="133">
        <f t="shared" si="9"/>
        <v>1.575425507853937</v>
      </c>
      <c r="S40" s="221"/>
      <c r="T40" s="85">
        <v>122</v>
      </c>
    </row>
    <row r="41" spans="1:20" s="60" customFormat="1">
      <c r="A41" s="219">
        <v>44761</v>
      </c>
      <c r="B41" s="81" t="str">
        <f>VLOOKUP(C41,'Master List'!A:C,3,FALSE)</f>
        <v>48-135</v>
      </c>
      <c r="C41" s="120">
        <v>49</v>
      </c>
      <c r="D41" s="78" t="s">
        <v>106</v>
      </c>
      <c r="E41" s="81">
        <f>VLOOKUP(C41,'Master List'!A:G,5,FALSE)</f>
        <v>75</v>
      </c>
      <c r="F41" s="43">
        <f>VLOOKUP(C41,'2022-002-bottles_csv'!E:L,8,FALSE)</f>
        <v>0.21</v>
      </c>
      <c r="G41" s="218">
        <v>304</v>
      </c>
      <c r="H41" s="218">
        <v>10</v>
      </c>
      <c r="I41" s="218">
        <v>1</v>
      </c>
      <c r="J41" s="249">
        <v>19082.32</v>
      </c>
      <c r="K41" s="249">
        <v>12177.53</v>
      </c>
      <c r="L41" s="249">
        <v>334.87</v>
      </c>
      <c r="M41" s="249">
        <v>333.82</v>
      </c>
      <c r="N41" s="250">
        <f t="shared" si="5"/>
        <v>18747.45</v>
      </c>
      <c r="O41" s="250">
        <f t="shared" si="6"/>
        <v>11843.710000000001</v>
      </c>
      <c r="P41" s="95">
        <f t="shared" si="7"/>
        <v>0.37730156803665515</v>
      </c>
      <c r="Q41" s="95">
        <f t="shared" si="8"/>
        <v>0.17871164428087766</v>
      </c>
      <c r="R41" s="133">
        <f t="shared" si="9"/>
        <v>1.5829034989880704</v>
      </c>
      <c r="S41" s="221"/>
      <c r="T41" s="85">
        <v>404</v>
      </c>
    </row>
    <row r="42" spans="1:20" s="60" customFormat="1">
      <c r="A42" s="219">
        <v>44754</v>
      </c>
      <c r="B42" s="81" t="str">
        <f>VLOOKUP(C42,'Master List'!A:C,3,FALSE)</f>
        <v>48-135</v>
      </c>
      <c r="C42" s="120">
        <v>52</v>
      </c>
      <c r="D42" s="78" t="s">
        <v>105</v>
      </c>
      <c r="E42" s="81">
        <f>VLOOKUP(C42,'Master List'!A:G,5,FALSE)</f>
        <v>50</v>
      </c>
      <c r="F42" s="43">
        <f>VLOOKUP(C42,'2022-002-bottles_csv'!E:L,8,FALSE)</f>
        <v>0.22</v>
      </c>
      <c r="G42" s="218">
        <v>304</v>
      </c>
      <c r="H42" s="218">
        <v>10</v>
      </c>
      <c r="I42" s="218">
        <v>1</v>
      </c>
      <c r="J42" s="249">
        <v>17960.830000000002</v>
      </c>
      <c r="K42" s="249">
        <v>11278.92</v>
      </c>
      <c r="L42" s="249">
        <v>296.26</v>
      </c>
      <c r="M42" s="249">
        <v>308.87</v>
      </c>
      <c r="N42" s="250">
        <f t="shared" si="5"/>
        <v>17664.570000000003</v>
      </c>
      <c r="O42" s="250">
        <f t="shared" si="6"/>
        <v>10970.05</v>
      </c>
      <c r="P42" s="95">
        <f t="shared" si="7"/>
        <v>0.3658673260077509</v>
      </c>
      <c r="Q42" s="95">
        <f t="shared" si="8"/>
        <v>0.14913116177892657</v>
      </c>
      <c r="R42" s="133">
        <f t="shared" si="9"/>
        <v>1.6102542832530393</v>
      </c>
      <c r="S42" s="221"/>
      <c r="T42" s="85">
        <v>158</v>
      </c>
    </row>
    <row r="43" spans="1:20" s="60" customFormat="1">
      <c r="A43" s="219">
        <v>44755</v>
      </c>
      <c r="B43" s="81" t="str">
        <f>VLOOKUP(C43,'Master List'!A:C,3,FALSE)</f>
        <v>48-135</v>
      </c>
      <c r="C43" s="120">
        <v>52</v>
      </c>
      <c r="D43" s="78" t="s">
        <v>106</v>
      </c>
      <c r="E43" s="81">
        <f>VLOOKUP(C43,'Master List'!A:G,5,FALSE)</f>
        <v>50</v>
      </c>
      <c r="F43" s="43">
        <f>VLOOKUP(C43,'2022-002-bottles_csv'!E:L,8,FALSE)</f>
        <v>0.22</v>
      </c>
      <c r="G43" s="218">
        <v>304</v>
      </c>
      <c r="H43" s="218">
        <v>10</v>
      </c>
      <c r="I43" s="218">
        <v>1</v>
      </c>
      <c r="J43" s="249">
        <v>18923.91</v>
      </c>
      <c r="K43" s="249">
        <v>11988.73</v>
      </c>
      <c r="L43" s="249">
        <v>332.42</v>
      </c>
      <c r="M43" s="249">
        <v>348.04</v>
      </c>
      <c r="N43" s="250">
        <f t="shared" si="5"/>
        <v>18591.490000000002</v>
      </c>
      <c r="O43" s="250">
        <f t="shared" si="6"/>
        <v>11640.689999999999</v>
      </c>
      <c r="P43" s="95">
        <f t="shared" si="7"/>
        <v>0.37987348004258326</v>
      </c>
      <c r="Q43" s="95">
        <f t="shared" si="8"/>
        <v>0.16660878273593635</v>
      </c>
      <c r="R43" s="133">
        <f t="shared" si="9"/>
        <v>1.5971123704866295</v>
      </c>
      <c r="S43" s="221"/>
      <c r="T43" s="85">
        <v>233</v>
      </c>
    </row>
    <row r="44" spans="1:20" s="60" customFormat="1">
      <c r="A44" s="219">
        <v>44754</v>
      </c>
      <c r="B44" s="81" t="str">
        <f>VLOOKUP(C44,'Master List'!A:C,3,FALSE)</f>
        <v>48-135</v>
      </c>
      <c r="C44" s="120">
        <v>54</v>
      </c>
      <c r="D44" s="78" t="s">
        <v>105</v>
      </c>
      <c r="E44" s="81">
        <f>VLOOKUP(C44,'Master List'!A:G,5,FALSE)</f>
        <v>25</v>
      </c>
      <c r="F44" s="43">
        <f>VLOOKUP(C44,'2022-002-bottles_csv'!E:L,8,FALSE)</f>
        <v>0.23</v>
      </c>
      <c r="G44" s="218">
        <v>304</v>
      </c>
      <c r="H44" s="218">
        <v>10</v>
      </c>
      <c r="I44" s="218">
        <v>1</v>
      </c>
      <c r="J44" s="249">
        <v>19355.87</v>
      </c>
      <c r="K44" s="249">
        <v>12677.47</v>
      </c>
      <c r="L44" s="249">
        <v>296.26</v>
      </c>
      <c r="M44" s="249">
        <v>308.87</v>
      </c>
      <c r="N44" s="250">
        <f t="shared" si="5"/>
        <v>19059.61</v>
      </c>
      <c r="O44" s="250">
        <f t="shared" si="6"/>
        <v>12368.599999999999</v>
      </c>
      <c r="P44" s="95">
        <f t="shared" si="7"/>
        <v>0.36567549831670093</v>
      </c>
      <c r="Q44" s="95">
        <f t="shared" si="8"/>
        <v>0.21497912914974621</v>
      </c>
      <c r="R44" s="133">
        <f t="shared" si="9"/>
        <v>1.5409674498326409</v>
      </c>
      <c r="S44" s="221"/>
      <c r="T44" s="85">
        <v>155</v>
      </c>
    </row>
    <row r="45" spans="1:20" s="60" customFormat="1">
      <c r="A45" s="219">
        <v>44755</v>
      </c>
      <c r="B45" s="81" t="str">
        <f>VLOOKUP(C45,'Master List'!A:C,3,FALSE)</f>
        <v>48-135</v>
      </c>
      <c r="C45" s="120">
        <v>54</v>
      </c>
      <c r="D45" s="78" t="s">
        <v>106</v>
      </c>
      <c r="E45" s="81">
        <f>VLOOKUP(C45,'Master List'!A:G,5,FALSE)</f>
        <v>25</v>
      </c>
      <c r="F45" s="43">
        <f>VLOOKUP(C45,'2022-002-bottles_csv'!E:L,8,FALSE)</f>
        <v>0.23</v>
      </c>
      <c r="G45" s="218">
        <v>304</v>
      </c>
      <c r="H45" s="218">
        <v>10</v>
      </c>
      <c r="I45" s="218">
        <v>1</v>
      </c>
      <c r="J45" s="249">
        <v>18876.88</v>
      </c>
      <c r="K45" s="249">
        <v>11952.8</v>
      </c>
      <c r="L45" s="249">
        <v>332.42</v>
      </c>
      <c r="M45" s="249">
        <v>348.04</v>
      </c>
      <c r="N45" s="250">
        <f t="shared" si="5"/>
        <v>18544.460000000003</v>
      </c>
      <c r="O45" s="250">
        <f t="shared" si="6"/>
        <v>11604.759999999998</v>
      </c>
      <c r="P45" s="95">
        <f t="shared" si="7"/>
        <v>0.37926684546404954</v>
      </c>
      <c r="Q45" s="95">
        <f t="shared" si="8"/>
        <v>0.16552865238029235</v>
      </c>
      <c r="R45" s="133">
        <f t="shared" si="9"/>
        <v>1.5980046119006344</v>
      </c>
      <c r="S45" s="221"/>
      <c r="T45" s="85">
        <v>218</v>
      </c>
    </row>
    <row r="46" spans="1:20" s="60" customFormat="1">
      <c r="A46" s="219">
        <v>44754</v>
      </c>
      <c r="B46" s="81" t="str">
        <f>VLOOKUP(C46,'Master List'!A:C,3,FALSE)</f>
        <v>48-135</v>
      </c>
      <c r="C46" s="120">
        <v>60</v>
      </c>
      <c r="D46" s="78" t="s">
        <v>105</v>
      </c>
      <c r="E46" s="81">
        <f>VLOOKUP(C46,'Master List'!A:G,5,FALSE)</f>
        <v>5</v>
      </c>
      <c r="F46" s="43">
        <f>VLOOKUP(C46,'2022-002-bottles_csv'!E:L,8,FALSE)</f>
        <v>0.24</v>
      </c>
      <c r="G46" s="218">
        <v>304</v>
      </c>
      <c r="H46" s="218">
        <v>10</v>
      </c>
      <c r="I46" s="218">
        <v>1</v>
      </c>
      <c r="J46" s="249">
        <v>18547.53</v>
      </c>
      <c r="K46" s="249">
        <v>11518.48</v>
      </c>
      <c r="L46" s="249">
        <v>296.26</v>
      </c>
      <c r="M46" s="249">
        <v>308.87</v>
      </c>
      <c r="N46" s="250">
        <f t="shared" si="5"/>
        <v>18251.27</v>
      </c>
      <c r="O46" s="250">
        <f t="shared" si="6"/>
        <v>11209.609999999999</v>
      </c>
      <c r="P46" s="95">
        <f t="shared" si="7"/>
        <v>0.38483913930434721</v>
      </c>
      <c r="Q46" s="95">
        <f t="shared" si="8"/>
        <v>0.14140569993325133</v>
      </c>
      <c r="R46" s="133">
        <f t="shared" si="9"/>
        <v>1.6281806414317717</v>
      </c>
      <c r="S46" s="221"/>
      <c r="T46" s="85">
        <v>153</v>
      </c>
    </row>
    <row r="47" spans="1:20" s="60" customFormat="1">
      <c r="A47" s="219">
        <v>44757</v>
      </c>
      <c r="B47" s="81" t="str">
        <f>VLOOKUP(C47,'Master List'!A:C,3,FALSE)</f>
        <v>48-135</v>
      </c>
      <c r="C47" s="120">
        <v>60</v>
      </c>
      <c r="D47" s="78" t="s">
        <v>106</v>
      </c>
      <c r="E47" s="81">
        <f>VLOOKUP(C47,'Master List'!A:G,5,FALSE)</f>
        <v>5</v>
      </c>
      <c r="F47" s="43">
        <f>VLOOKUP(C47,'2022-002-bottles_csv'!E:L,8,FALSE)</f>
        <v>0.24</v>
      </c>
      <c r="G47" s="218">
        <v>304</v>
      </c>
      <c r="H47" s="218">
        <v>10</v>
      </c>
      <c r="I47" s="218">
        <v>1</v>
      </c>
      <c r="J47" s="249">
        <v>17848.32</v>
      </c>
      <c r="K47" s="249">
        <v>11290.64</v>
      </c>
      <c r="L47" s="249">
        <v>351.09</v>
      </c>
      <c r="M47" s="249">
        <v>351.83</v>
      </c>
      <c r="N47" s="250">
        <f t="shared" si="5"/>
        <v>17497.23</v>
      </c>
      <c r="O47" s="250">
        <f t="shared" si="6"/>
        <v>10938.81</v>
      </c>
      <c r="P47" s="95">
        <f t="shared" si="7"/>
        <v>0.35842922095023277</v>
      </c>
      <c r="Q47" s="95">
        <f t="shared" si="8"/>
        <v>0.15510267800973415</v>
      </c>
      <c r="R47" s="133">
        <f t="shared" si="9"/>
        <v>1.5995551618503292</v>
      </c>
      <c r="S47" s="221"/>
      <c r="T47" s="85">
        <v>274</v>
      </c>
    </row>
    <row r="48" spans="1:20" s="60" customFormat="1">
      <c r="A48" s="219">
        <v>44750</v>
      </c>
      <c r="B48" s="81" t="str">
        <f>VLOOKUP(C48,'Master List'!A:C,3,FALSE)</f>
        <v>47-135</v>
      </c>
      <c r="C48" s="120">
        <v>64</v>
      </c>
      <c r="D48" s="78" t="s">
        <v>105</v>
      </c>
      <c r="E48" s="81">
        <f>VLOOKUP(C48,'Master List'!A:G,5,FALSE)</f>
        <v>150</v>
      </c>
      <c r="F48" s="43">
        <f>VLOOKUP(C48,'2022-002-bottles_csv'!E:L,8,FALSE)</f>
        <v>7.0000000000000007E-2</v>
      </c>
      <c r="G48" s="218">
        <v>304</v>
      </c>
      <c r="H48" s="218">
        <v>10</v>
      </c>
      <c r="I48" s="218">
        <v>1</v>
      </c>
      <c r="J48" s="249">
        <v>2147.6799999999998</v>
      </c>
      <c r="K48" s="249">
        <v>1813.54</v>
      </c>
      <c r="L48" s="249">
        <v>252.94</v>
      </c>
      <c r="M48" s="249">
        <v>262.98</v>
      </c>
      <c r="N48" s="250">
        <f t="shared" si="5"/>
        <v>1894.7399999999998</v>
      </c>
      <c r="O48" s="250">
        <f t="shared" si="6"/>
        <v>1550.56</v>
      </c>
      <c r="P48" s="95">
        <f t="shared" si="7"/>
        <v>1.8810044075654054E-2</v>
      </c>
      <c r="Q48" s="95">
        <f t="shared" si="8"/>
        <v>5.3982336562766985E-2</v>
      </c>
      <c r="R48" s="133">
        <f t="shared" si="9"/>
        <v>1.2219714167784541</v>
      </c>
      <c r="S48" s="221"/>
      <c r="T48" s="85">
        <v>136</v>
      </c>
    </row>
    <row r="49" spans="1:20" s="60" customFormat="1">
      <c r="A49" s="219">
        <v>44755</v>
      </c>
      <c r="B49" s="81" t="str">
        <f>VLOOKUP(C49,'Master List'!A:C,3,FALSE)</f>
        <v>47-135</v>
      </c>
      <c r="C49" s="120">
        <v>64</v>
      </c>
      <c r="D49" s="78" t="s">
        <v>106</v>
      </c>
      <c r="E49" s="81">
        <f>VLOOKUP(C49,'Master List'!A:G,5,FALSE)</f>
        <v>150</v>
      </c>
      <c r="F49" s="43">
        <f>VLOOKUP(C49,'2022-002-bottles_csv'!E:L,8,FALSE)</f>
        <v>7.0000000000000007E-2</v>
      </c>
      <c r="G49" s="218">
        <v>304</v>
      </c>
      <c r="H49" s="218">
        <v>10</v>
      </c>
      <c r="I49" s="218">
        <v>1</v>
      </c>
      <c r="J49" s="249">
        <v>2099.0700000000002</v>
      </c>
      <c r="K49" s="249">
        <v>1834.67</v>
      </c>
      <c r="L49" s="249">
        <v>311.39</v>
      </c>
      <c r="M49" s="249">
        <v>298.52999999999997</v>
      </c>
      <c r="N49" s="250">
        <f t="shared" si="5"/>
        <v>1787.6800000000003</v>
      </c>
      <c r="O49" s="250">
        <f t="shared" si="6"/>
        <v>1536.14</v>
      </c>
      <c r="P49" s="95">
        <f t="shared" si="7"/>
        <v>1.3747104674269355E-2</v>
      </c>
      <c r="Q49" s="95">
        <f t="shared" si="8"/>
        <v>5.8368316588954312E-2</v>
      </c>
      <c r="R49" s="133">
        <f t="shared" si="9"/>
        <v>1.1637480958766779</v>
      </c>
      <c r="S49" s="221"/>
      <c r="T49" s="85">
        <v>210</v>
      </c>
    </row>
    <row r="50" spans="1:20" s="60" customFormat="1">
      <c r="A50" s="219">
        <v>44754</v>
      </c>
      <c r="B50" s="81" t="str">
        <f>VLOOKUP(C50,'Master List'!A:C,3,FALSE)</f>
        <v>47-135</v>
      </c>
      <c r="C50" s="120">
        <v>68</v>
      </c>
      <c r="D50" s="78" t="s">
        <v>105</v>
      </c>
      <c r="E50" s="81">
        <f>VLOOKUP(C50,'Master List'!A:G,5,FALSE)</f>
        <v>100</v>
      </c>
      <c r="F50" s="43">
        <f>VLOOKUP(C50,'2022-002-bottles_csv'!E:L,8,FALSE)</f>
        <v>0.13</v>
      </c>
      <c r="G50" s="218">
        <v>304</v>
      </c>
      <c r="H50" s="218">
        <v>10</v>
      </c>
      <c r="I50" s="218">
        <v>1</v>
      </c>
      <c r="J50" s="249">
        <v>10600.78</v>
      </c>
      <c r="K50" s="249">
        <v>7107.18</v>
      </c>
      <c r="L50" s="249">
        <v>296.26</v>
      </c>
      <c r="M50" s="249">
        <v>308.87</v>
      </c>
      <c r="N50" s="250">
        <f t="shared" si="5"/>
        <v>10304.52</v>
      </c>
      <c r="O50" s="250">
        <f t="shared" si="6"/>
        <v>6798.31</v>
      </c>
      <c r="P50" s="95">
        <f t="shared" si="7"/>
        <v>0.19162056086495155</v>
      </c>
      <c r="Q50" s="95">
        <f t="shared" si="8"/>
        <v>0.12753198351771289</v>
      </c>
      <c r="R50" s="133">
        <f t="shared" si="9"/>
        <v>1.5157472960191576</v>
      </c>
      <c r="S50" s="221"/>
      <c r="T50" s="85">
        <v>149</v>
      </c>
    </row>
    <row r="51" spans="1:20" s="60" customFormat="1">
      <c r="A51" s="219">
        <v>44761</v>
      </c>
      <c r="B51" s="81" t="str">
        <f>VLOOKUP(C51,'Master List'!A:C,3,FALSE)</f>
        <v>47-135</v>
      </c>
      <c r="C51" s="120">
        <v>68</v>
      </c>
      <c r="D51" s="78" t="s">
        <v>106</v>
      </c>
      <c r="E51" s="81">
        <f>VLOOKUP(C51,'Master List'!A:G,5,FALSE)</f>
        <v>100</v>
      </c>
      <c r="F51" s="43">
        <f>VLOOKUP(C51,'2022-002-bottles_csv'!E:L,8,FALSE)</f>
        <v>0.13</v>
      </c>
      <c r="G51" s="218">
        <v>304</v>
      </c>
      <c r="H51" s="218">
        <v>10</v>
      </c>
      <c r="I51" s="218">
        <v>1</v>
      </c>
      <c r="J51" s="249">
        <v>10957.12</v>
      </c>
      <c r="K51" s="249">
        <v>7281.97</v>
      </c>
      <c r="L51" s="249">
        <v>345.92</v>
      </c>
      <c r="M51" s="249">
        <v>349.76</v>
      </c>
      <c r="N51" s="250">
        <f t="shared" si="5"/>
        <v>10611.2</v>
      </c>
      <c r="O51" s="250">
        <f t="shared" si="6"/>
        <v>6932.21</v>
      </c>
      <c r="P51" s="95">
        <f t="shared" si="7"/>
        <v>0.20106329261982261</v>
      </c>
      <c r="Q51" s="95">
        <f t="shared" si="8"/>
        <v>0.12437530310396022</v>
      </c>
      <c r="R51" s="133">
        <f t="shared" si="9"/>
        <v>1.5307095428442012</v>
      </c>
      <c r="S51" s="221"/>
      <c r="T51" s="85">
        <v>355</v>
      </c>
    </row>
    <row r="52" spans="1:20" s="60" customFormat="1">
      <c r="A52" s="219">
        <v>44754</v>
      </c>
      <c r="B52" s="81" t="str">
        <f>VLOOKUP(C52,'Master List'!A:C,3,FALSE)</f>
        <v>47-135</v>
      </c>
      <c r="C52" s="120">
        <v>69</v>
      </c>
      <c r="D52" s="78" t="s">
        <v>105</v>
      </c>
      <c r="E52" s="81">
        <f>VLOOKUP(C52,'Master List'!A:G,5,FALSE)</f>
        <v>75</v>
      </c>
      <c r="F52" s="43">
        <f>VLOOKUP(C52,'2022-002-bottles_csv'!E:L,8,FALSE)</f>
        <v>0.21</v>
      </c>
      <c r="G52" s="218">
        <v>304</v>
      </c>
      <c r="H52" s="218">
        <v>10</v>
      </c>
      <c r="I52" s="218">
        <v>1</v>
      </c>
      <c r="J52" s="249">
        <v>18615.95</v>
      </c>
      <c r="K52" s="249">
        <v>12087.87</v>
      </c>
      <c r="L52" s="249">
        <v>296.26</v>
      </c>
      <c r="M52" s="249">
        <v>308.87</v>
      </c>
      <c r="N52" s="250">
        <f t="shared" si="5"/>
        <v>18319.690000000002</v>
      </c>
      <c r="O52" s="250">
        <f t="shared" si="6"/>
        <v>11779</v>
      </c>
      <c r="P52" s="95">
        <f t="shared" si="7"/>
        <v>0.35746024517749381</v>
      </c>
      <c r="Q52" s="95">
        <f t="shared" si="8"/>
        <v>0.19551510020737456</v>
      </c>
      <c r="R52" s="133">
        <f t="shared" si="9"/>
        <v>1.5552839799643434</v>
      </c>
      <c r="S52" s="221"/>
      <c r="T52" s="85">
        <v>167</v>
      </c>
    </row>
    <row r="53" spans="1:20" s="60" customFormat="1">
      <c r="A53" s="219">
        <v>44761</v>
      </c>
      <c r="B53" s="81" t="str">
        <f>VLOOKUP(C53,'Master List'!A:C,3,FALSE)</f>
        <v>47-135</v>
      </c>
      <c r="C53" s="120">
        <v>69</v>
      </c>
      <c r="D53" s="78" t="s">
        <v>106</v>
      </c>
      <c r="E53" s="81">
        <f>VLOOKUP(C53,'Master List'!A:G,5,FALSE)</f>
        <v>75</v>
      </c>
      <c r="F53" s="43">
        <f>VLOOKUP(C53,'2022-002-bottles_csv'!E:L,8,FALSE)</f>
        <v>0.21</v>
      </c>
      <c r="G53" s="218">
        <v>304</v>
      </c>
      <c r="H53" s="218">
        <v>10</v>
      </c>
      <c r="I53" s="218">
        <v>1</v>
      </c>
      <c r="J53" s="249">
        <v>20921.5</v>
      </c>
      <c r="K53" s="249">
        <v>14744.67</v>
      </c>
      <c r="L53" s="249">
        <v>362.04</v>
      </c>
      <c r="M53" s="249">
        <v>363.93</v>
      </c>
      <c r="N53" s="250">
        <f t="shared" si="5"/>
        <v>20559.46</v>
      </c>
      <c r="O53" s="250">
        <f t="shared" si="6"/>
        <v>14380.74</v>
      </c>
      <c r="P53" s="95">
        <f t="shared" si="7"/>
        <v>0.33767794622327058</v>
      </c>
      <c r="Q53" s="95">
        <f t="shared" si="8"/>
        <v>0.33743833430903197</v>
      </c>
      <c r="R53" s="133">
        <f t="shared" si="9"/>
        <v>1.429652437913487</v>
      </c>
      <c r="S53" s="221"/>
      <c r="T53" s="85">
        <v>377</v>
      </c>
    </row>
    <row r="54" spans="1:20" s="60" customFormat="1">
      <c r="A54" s="219">
        <v>44750</v>
      </c>
      <c r="B54" s="81" t="str">
        <f>VLOOKUP(C54,'Master List'!A:C,3,FALSE)</f>
        <v>47-135</v>
      </c>
      <c r="C54" s="120">
        <v>72</v>
      </c>
      <c r="D54" s="78" t="s">
        <v>105</v>
      </c>
      <c r="E54" s="81">
        <f>VLOOKUP(C54,'Master List'!A:G,5,FALSE)</f>
        <v>50</v>
      </c>
      <c r="F54" s="43">
        <f>VLOOKUP(C54,'2022-002-bottles_csv'!E:L,8,FALSE)</f>
        <v>0.22</v>
      </c>
      <c r="G54" s="218">
        <v>304</v>
      </c>
      <c r="H54" s="218">
        <v>10</v>
      </c>
      <c r="I54" s="218">
        <v>1</v>
      </c>
      <c r="J54" s="249">
        <v>19618.12</v>
      </c>
      <c r="K54" s="249">
        <v>12468.63</v>
      </c>
      <c r="L54" s="249">
        <v>252.94</v>
      </c>
      <c r="M54" s="249">
        <v>262.98</v>
      </c>
      <c r="N54" s="250">
        <f t="shared" si="5"/>
        <v>19365.18</v>
      </c>
      <c r="O54" s="250">
        <f t="shared" si="6"/>
        <v>12205.65</v>
      </c>
      <c r="P54" s="95">
        <f t="shared" si="7"/>
        <v>0.39128094270720998</v>
      </c>
      <c r="Q54" s="95">
        <f t="shared" si="8"/>
        <v>0.18172385603604641</v>
      </c>
      <c r="R54" s="133">
        <f t="shared" si="9"/>
        <v>1.5865750697422916</v>
      </c>
      <c r="S54" s="221"/>
      <c r="T54" s="85">
        <v>133</v>
      </c>
    </row>
    <row r="55" spans="1:20" s="60" customFormat="1">
      <c r="A55" s="219">
        <v>44761</v>
      </c>
      <c r="B55" s="81" t="str">
        <f>VLOOKUP(C55,'Master List'!A:C,3,FALSE)</f>
        <v>47-135</v>
      </c>
      <c r="C55" s="120">
        <v>72</v>
      </c>
      <c r="D55" s="78" t="s">
        <v>106</v>
      </c>
      <c r="E55" s="81">
        <f>VLOOKUP(C55,'Master List'!A:G,5,FALSE)</f>
        <v>50</v>
      </c>
      <c r="F55" s="43">
        <f>VLOOKUP(C55,'2022-002-bottles_csv'!E:L,8,FALSE)</f>
        <v>0.22</v>
      </c>
      <c r="G55" s="218">
        <v>304</v>
      </c>
      <c r="H55" s="218">
        <v>10</v>
      </c>
      <c r="I55" s="218">
        <v>1</v>
      </c>
      <c r="J55" s="249">
        <v>18434.98</v>
      </c>
      <c r="K55" s="249">
        <v>11915.45</v>
      </c>
      <c r="L55" s="249">
        <v>334.87</v>
      </c>
      <c r="M55" s="249">
        <v>333.82</v>
      </c>
      <c r="N55" s="250">
        <f t="shared" si="5"/>
        <v>18100.11</v>
      </c>
      <c r="O55" s="250">
        <f t="shared" si="6"/>
        <v>11581.630000000001</v>
      </c>
      <c r="P55" s="95">
        <f t="shared" si="7"/>
        <v>0.35624642950278773</v>
      </c>
      <c r="Q55" s="95">
        <f t="shared" si="8"/>
        <v>0.18746321048106096</v>
      </c>
      <c r="R55" s="133">
        <f t="shared" si="9"/>
        <v>1.5628292390622045</v>
      </c>
      <c r="S55" s="221"/>
      <c r="T55" s="85">
        <v>403</v>
      </c>
    </row>
    <row r="56" spans="1:20" s="60" customFormat="1">
      <c r="A56" s="219">
        <v>44754</v>
      </c>
      <c r="B56" s="81" t="str">
        <f>VLOOKUP(C56,'Master List'!A:C,3,FALSE)</f>
        <v>47-135</v>
      </c>
      <c r="C56" s="120">
        <v>74</v>
      </c>
      <c r="D56" s="78" t="s">
        <v>105</v>
      </c>
      <c r="E56" s="81">
        <f>VLOOKUP(C56,'Master List'!A:G,5,FALSE)</f>
        <v>25</v>
      </c>
      <c r="F56" s="43">
        <f>VLOOKUP(C56,'2022-002-bottles_csv'!E:L,8,FALSE)</f>
        <v>0.21</v>
      </c>
      <c r="G56" s="218">
        <v>304</v>
      </c>
      <c r="H56" s="218">
        <v>10</v>
      </c>
      <c r="I56" s="218">
        <v>1</v>
      </c>
      <c r="J56" s="249">
        <v>18176.55</v>
      </c>
      <c r="K56" s="249">
        <v>11609.18</v>
      </c>
      <c r="L56" s="249">
        <v>296.26</v>
      </c>
      <c r="M56" s="249">
        <v>308.87</v>
      </c>
      <c r="N56" s="250">
        <f t="shared" si="5"/>
        <v>17880.29</v>
      </c>
      <c r="O56" s="250">
        <f t="shared" si="6"/>
        <v>11300.31</v>
      </c>
      <c r="P56" s="95">
        <f t="shared" si="7"/>
        <v>0.35960751297844806</v>
      </c>
      <c r="Q56" s="95">
        <f t="shared" si="8"/>
        <v>0.17089531622658471</v>
      </c>
      <c r="R56" s="133">
        <f t="shared" si="9"/>
        <v>1.5822831409049842</v>
      </c>
      <c r="S56" s="221"/>
      <c r="T56" s="85">
        <v>164</v>
      </c>
    </row>
    <row r="57" spans="1:20" s="60" customFormat="1">
      <c r="A57" s="219">
        <v>44761</v>
      </c>
      <c r="B57" s="81" t="str">
        <f>VLOOKUP(C57,'Master List'!A:C,3,FALSE)</f>
        <v>47-135</v>
      </c>
      <c r="C57" s="120">
        <v>74</v>
      </c>
      <c r="D57" s="78" t="s">
        <v>106</v>
      </c>
      <c r="E57" s="81">
        <f>VLOOKUP(C57,'Master List'!A:G,5,FALSE)</f>
        <v>25</v>
      </c>
      <c r="F57" s="43">
        <f>VLOOKUP(C57,'2022-002-bottles_csv'!E:L,8,FALSE)</f>
        <v>0.21</v>
      </c>
      <c r="G57" s="218">
        <v>304</v>
      </c>
      <c r="H57" s="218">
        <v>10</v>
      </c>
      <c r="I57" s="218">
        <v>1</v>
      </c>
      <c r="J57" s="249">
        <v>17768.09</v>
      </c>
      <c r="K57" s="249">
        <v>11243.82</v>
      </c>
      <c r="L57" s="249">
        <v>362.04</v>
      </c>
      <c r="M57" s="249">
        <v>363.93</v>
      </c>
      <c r="N57" s="250">
        <f t="shared" si="5"/>
        <v>17406.05</v>
      </c>
      <c r="O57" s="250">
        <f t="shared" si="6"/>
        <v>10879.89</v>
      </c>
      <c r="P57" s="95">
        <f t="shared" si="7"/>
        <v>0.3566661550490165</v>
      </c>
      <c r="Q57" s="95">
        <f t="shared" si="8"/>
        <v>0.1540996935373978</v>
      </c>
      <c r="R57" s="133">
        <f t="shared" si="9"/>
        <v>1.5998369468808968</v>
      </c>
      <c r="S57" s="221"/>
      <c r="T57" s="85">
        <v>381</v>
      </c>
    </row>
    <row r="58" spans="1:20" s="60" customFormat="1">
      <c r="A58" s="219">
        <v>44750</v>
      </c>
      <c r="B58" s="81" t="str">
        <f>VLOOKUP(C58,'Master List'!A:C,3,FALSE)</f>
        <v>47-135</v>
      </c>
      <c r="C58" s="120">
        <v>80</v>
      </c>
      <c r="D58" s="78" t="s">
        <v>105</v>
      </c>
      <c r="E58" s="81">
        <f>VLOOKUP(C58,'Master List'!A:G,5,FALSE)</f>
        <v>5</v>
      </c>
      <c r="F58" s="43">
        <f>VLOOKUP(C58,'2022-002-bottles_csv'!E:L,8,FALSE)</f>
        <v>0.11</v>
      </c>
      <c r="G58" s="218">
        <v>304</v>
      </c>
      <c r="H58" s="218">
        <v>10</v>
      </c>
      <c r="I58" s="218">
        <v>1</v>
      </c>
      <c r="J58" s="249">
        <v>18076.740000000002</v>
      </c>
      <c r="K58" s="249">
        <v>11474.12</v>
      </c>
      <c r="L58" s="249">
        <v>252.94</v>
      </c>
      <c r="M58" s="249">
        <v>262.98</v>
      </c>
      <c r="N58" s="250">
        <f t="shared" si="5"/>
        <v>17823.800000000003</v>
      </c>
      <c r="O58" s="250">
        <f t="shared" si="6"/>
        <v>11211.140000000001</v>
      </c>
      <c r="P58" s="95">
        <f t="shared" si="7"/>
        <v>0.36139353262047363</v>
      </c>
      <c r="Q58" s="95">
        <f t="shared" si="8"/>
        <v>0.16492313379077633</v>
      </c>
      <c r="R58" s="133">
        <f t="shared" si="9"/>
        <v>1.5898294018271113</v>
      </c>
      <c r="S58" s="221"/>
      <c r="T58" s="85">
        <v>124</v>
      </c>
    </row>
    <row r="59" spans="1:20" s="60" customFormat="1">
      <c r="A59" s="219">
        <v>44757</v>
      </c>
      <c r="B59" s="81" t="str">
        <f>VLOOKUP(C59,'Master List'!A:C,3,FALSE)</f>
        <v>47-135</v>
      </c>
      <c r="C59" s="120">
        <v>80</v>
      </c>
      <c r="D59" s="78" t="s">
        <v>106</v>
      </c>
      <c r="E59" s="81">
        <f>VLOOKUP(C59,'Master List'!A:G,5,FALSE)</f>
        <v>5</v>
      </c>
      <c r="F59" s="43">
        <f>VLOOKUP(C59,'2022-002-bottles_csv'!E:L,8,FALSE)</f>
        <v>0.11</v>
      </c>
      <c r="G59" s="218">
        <v>304</v>
      </c>
      <c r="H59" s="218">
        <v>10</v>
      </c>
      <c r="I59" s="218">
        <v>1</v>
      </c>
      <c r="J59" s="249">
        <v>16012.35</v>
      </c>
      <c r="K59" s="249">
        <v>9973.59</v>
      </c>
      <c r="L59" s="249">
        <v>351.09</v>
      </c>
      <c r="M59" s="249">
        <v>351.83</v>
      </c>
      <c r="N59" s="250">
        <f t="shared" si="5"/>
        <v>15661.26</v>
      </c>
      <c r="O59" s="250">
        <f t="shared" si="6"/>
        <v>9621.76</v>
      </c>
      <c r="P59" s="95">
        <f t="shared" si="7"/>
        <v>0.33006932766259717</v>
      </c>
      <c r="Q59" s="95">
        <f t="shared" si="8"/>
        <v>0.12163251962582372</v>
      </c>
      <c r="R59" s="133">
        <f t="shared" si="9"/>
        <v>1.6276918152188373</v>
      </c>
      <c r="S59" s="221"/>
      <c r="T59" s="85">
        <v>286</v>
      </c>
    </row>
    <row r="60" spans="1:20" s="60" customFormat="1">
      <c r="A60" s="219">
        <v>44750</v>
      </c>
      <c r="B60" s="81" t="str">
        <f>VLOOKUP(C60,'Master List'!A:C,3,FALSE)</f>
        <v>47-138</v>
      </c>
      <c r="C60" s="120">
        <v>84</v>
      </c>
      <c r="D60" s="78" t="s">
        <v>105</v>
      </c>
      <c r="E60" s="81">
        <f>VLOOKUP(C60,'Master List'!A:G,5,FALSE)</f>
        <v>150</v>
      </c>
      <c r="F60" s="43">
        <f>VLOOKUP(C60,'2022-002-bottles_csv'!E:L,8,FALSE)</f>
        <v>7.0000000000000007E-2</v>
      </c>
      <c r="G60" s="218">
        <v>304</v>
      </c>
      <c r="H60" s="218">
        <v>10</v>
      </c>
      <c r="I60" s="218">
        <v>1</v>
      </c>
      <c r="J60" s="249">
        <v>2248.54</v>
      </c>
      <c r="K60" s="249">
        <v>1937.73</v>
      </c>
      <c r="L60" s="249">
        <v>252.94</v>
      </c>
      <c r="M60" s="249">
        <v>262.98</v>
      </c>
      <c r="N60" s="250">
        <f t="shared" si="5"/>
        <v>1995.6</v>
      </c>
      <c r="O60" s="250">
        <f t="shared" si="6"/>
        <v>1674.75</v>
      </c>
      <c r="P60" s="95">
        <f t="shared" si="7"/>
        <v>1.7535018425456458E-2</v>
      </c>
      <c r="Q60" s="95">
        <f t="shared" si="8"/>
        <v>6.1087569203655379E-2</v>
      </c>
      <c r="R60" s="133">
        <f t="shared" si="9"/>
        <v>1.1915808329601432</v>
      </c>
      <c r="S60" s="221"/>
      <c r="T60" s="85">
        <v>142</v>
      </c>
    </row>
    <row r="61" spans="1:20" s="60" customFormat="1">
      <c r="A61" s="219">
        <v>44757</v>
      </c>
      <c r="B61" s="81" t="str">
        <f>VLOOKUP(C61,'Master List'!A:C,3,FALSE)</f>
        <v>47-138</v>
      </c>
      <c r="C61" s="120">
        <v>84</v>
      </c>
      <c r="D61" s="78" t="s">
        <v>106</v>
      </c>
      <c r="E61" s="81">
        <f>VLOOKUP(C61,'Master List'!A:G,5,FALSE)</f>
        <v>150</v>
      </c>
      <c r="F61" s="43">
        <f>VLOOKUP(C61,'2022-002-bottles_csv'!E:L,8,FALSE)</f>
        <v>7.0000000000000007E-2</v>
      </c>
      <c r="G61" s="218">
        <v>304</v>
      </c>
      <c r="H61" s="218">
        <v>10</v>
      </c>
      <c r="I61" s="218">
        <v>1</v>
      </c>
      <c r="J61" s="249">
        <v>1938.75</v>
      </c>
      <c r="K61" s="249">
        <v>1609.33</v>
      </c>
      <c r="L61" s="249">
        <v>338.28</v>
      </c>
      <c r="M61" s="249">
        <v>338.2</v>
      </c>
      <c r="N61" s="250">
        <f t="shared" si="5"/>
        <v>1600.47</v>
      </c>
      <c r="O61" s="250">
        <f t="shared" si="6"/>
        <v>1271.1299999999999</v>
      </c>
      <c r="P61" s="95">
        <f t="shared" si="7"/>
        <v>1.7999011900389075E-2</v>
      </c>
      <c r="Q61" s="95">
        <f t="shared" si="8"/>
        <v>4.1675285644314851E-2</v>
      </c>
      <c r="R61" s="133">
        <f t="shared" si="9"/>
        <v>1.2590923036982844</v>
      </c>
      <c r="S61" s="221"/>
      <c r="T61" s="85">
        <v>322</v>
      </c>
    </row>
    <row r="62" spans="1:20" s="60" customFormat="1">
      <c r="A62" s="219">
        <v>44750</v>
      </c>
      <c r="B62" s="81" t="str">
        <f>VLOOKUP(C62,'Master List'!A:C,3,FALSE)</f>
        <v>47-138</v>
      </c>
      <c r="C62" s="120">
        <v>88</v>
      </c>
      <c r="D62" s="78" t="s">
        <v>105</v>
      </c>
      <c r="E62" s="81">
        <f>VLOOKUP(C62,'Master List'!A:G,5,FALSE)</f>
        <v>100</v>
      </c>
      <c r="F62" s="43">
        <f>VLOOKUP(C62,'2022-002-bottles_csv'!E:L,8,FALSE)</f>
        <v>0.09</v>
      </c>
      <c r="G62" s="218">
        <v>304</v>
      </c>
      <c r="H62" s="218">
        <v>10</v>
      </c>
      <c r="I62" s="218">
        <v>1</v>
      </c>
      <c r="J62" s="249">
        <v>5705.41</v>
      </c>
      <c r="K62" s="249">
        <v>4017.08</v>
      </c>
      <c r="L62" s="249">
        <v>252.94</v>
      </c>
      <c r="M62" s="249">
        <v>262.98</v>
      </c>
      <c r="N62" s="250">
        <f t="shared" si="5"/>
        <v>5452.47</v>
      </c>
      <c r="O62" s="250">
        <f t="shared" si="6"/>
        <v>3754.1</v>
      </c>
      <c r="P62" s="95">
        <f t="shared" si="7"/>
        <v>9.281891613913823E-2</v>
      </c>
      <c r="Q62" s="95">
        <f t="shared" si="8"/>
        <v>8.3420556151322267E-2</v>
      </c>
      <c r="R62" s="133">
        <f t="shared" si="9"/>
        <v>1.4524040382515118</v>
      </c>
      <c r="S62" s="221"/>
      <c r="T62" s="85">
        <v>127</v>
      </c>
    </row>
    <row r="63" spans="1:20" s="60" customFormat="1">
      <c r="A63" s="219">
        <v>44757</v>
      </c>
      <c r="B63" s="81" t="str">
        <f>VLOOKUP(C63,'Master List'!A:C,3,FALSE)</f>
        <v>47-138</v>
      </c>
      <c r="C63" s="120">
        <v>88</v>
      </c>
      <c r="D63" s="78" t="s">
        <v>106</v>
      </c>
      <c r="E63" s="81">
        <f>VLOOKUP(C63,'Master List'!A:G,5,FALSE)</f>
        <v>100</v>
      </c>
      <c r="F63" s="43">
        <f>VLOOKUP(C63,'2022-002-bottles_csv'!E:L,8,FALSE)</f>
        <v>0.09</v>
      </c>
      <c r="G63" s="218">
        <v>304</v>
      </c>
      <c r="H63" s="218">
        <v>10</v>
      </c>
      <c r="I63" s="218">
        <v>1</v>
      </c>
      <c r="J63" s="249">
        <v>6012.53</v>
      </c>
      <c r="K63" s="249">
        <v>4355.87</v>
      </c>
      <c r="L63" s="249">
        <v>351.09</v>
      </c>
      <c r="M63" s="249">
        <v>351.83</v>
      </c>
      <c r="N63" s="250">
        <f t="shared" si="5"/>
        <v>5661.44</v>
      </c>
      <c r="O63" s="250">
        <f t="shared" si="6"/>
        <v>4004.04</v>
      </c>
      <c r="P63" s="95">
        <f t="shared" si="7"/>
        <v>9.057983337494635E-2</v>
      </c>
      <c r="Q63" s="95">
        <f t="shared" si="8"/>
        <v>9.7393288446500997E-2</v>
      </c>
      <c r="R63" s="133">
        <f t="shared" si="9"/>
        <v>1.4139319287519605</v>
      </c>
      <c r="S63" s="221"/>
      <c r="T63" s="85">
        <v>272</v>
      </c>
    </row>
    <row r="64" spans="1:20" s="60" customFormat="1">
      <c r="A64" s="219">
        <v>44754</v>
      </c>
      <c r="B64" s="81" t="str">
        <f>VLOOKUP(C64,'Master List'!A:C,3,FALSE)</f>
        <v>47-138</v>
      </c>
      <c r="C64" s="120">
        <v>89</v>
      </c>
      <c r="D64" s="78" t="s">
        <v>105</v>
      </c>
      <c r="E64" s="81">
        <f>VLOOKUP(C64,'Master List'!A:G,5,FALSE)</f>
        <v>75</v>
      </c>
      <c r="F64" s="43">
        <f>VLOOKUP(C64,'2022-002-bottles_csv'!E:L,8,FALSE)</f>
        <v>0.15</v>
      </c>
      <c r="G64" s="218">
        <v>304</v>
      </c>
      <c r="H64" s="218">
        <v>10</v>
      </c>
      <c r="I64" s="218">
        <v>1</v>
      </c>
      <c r="J64" s="249">
        <v>8158.41</v>
      </c>
      <c r="K64" s="249">
        <v>5770.55</v>
      </c>
      <c r="L64" s="249">
        <v>296.26</v>
      </c>
      <c r="M64" s="249">
        <v>308.87</v>
      </c>
      <c r="N64" s="250">
        <f t="shared" si="5"/>
        <v>7862.15</v>
      </c>
      <c r="O64" s="250">
        <f t="shared" si="6"/>
        <v>5461.68</v>
      </c>
      <c r="P64" s="95">
        <f t="shared" si="7"/>
        <v>0.13118991952549625</v>
      </c>
      <c r="Q64" s="95">
        <f t="shared" si="8"/>
        <v>0.12521337314634579</v>
      </c>
      <c r="R64" s="133">
        <f t="shared" si="9"/>
        <v>1.4395112859047032</v>
      </c>
      <c r="S64" s="221"/>
      <c r="T64" s="85">
        <v>159</v>
      </c>
    </row>
    <row r="65" spans="1:20" s="60" customFormat="1">
      <c r="A65" s="219">
        <v>44761</v>
      </c>
      <c r="B65" s="81" t="str">
        <f>VLOOKUP(C65,'Master List'!A:C,3,FALSE)</f>
        <v>47-138</v>
      </c>
      <c r="C65" s="120">
        <v>89</v>
      </c>
      <c r="D65" s="78" t="s">
        <v>106</v>
      </c>
      <c r="E65" s="81">
        <f>VLOOKUP(C65,'Master List'!A:G,5,FALSE)</f>
        <v>75</v>
      </c>
      <c r="F65" s="43">
        <f>VLOOKUP(C65,'2022-002-bottles_csv'!E:L,8,FALSE)</f>
        <v>0.15</v>
      </c>
      <c r="G65" s="218">
        <v>304</v>
      </c>
      <c r="H65" s="218">
        <v>10</v>
      </c>
      <c r="I65" s="218">
        <v>1</v>
      </c>
      <c r="J65" s="249">
        <v>12933.74</v>
      </c>
      <c r="K65" s="249">
        <v>8493.84</v>
      </c>
      <c r="L65" s="249">
        <v>362.04</v>
      </c>
      <c r="M65" s="249">
        <v>363.93</v>
      </c>
      <c r="N65" s="250">
        <f t="shared" si="5"/>
        <v>12571.699999999999</v>
      </c>
      <c r="O65" s="250">
        <f t="shared" si="6"/>
        <v>8129.91</v>
      </c>
      <c r="P65" s="95">
        <f t="shared" si="7"/>
        <v>0.24275165807077528</v>
      </c>
      <c r="Q65" s="95">
        <f t="shared" si="8"/>
        <v>0.1389140003210996</v>
      </c>
      <c r="R65" s="133">
        <f t="shared" si="9"/>
        <v>1.5463516816299319</v>
      </c>
      <c r="S65" s="221"/>
      <c r="T65" s="85">
        <v>371</v>
      </c>
    </row>
    <row r="66" spans="1:20" s="60" customFormat="1">
      <c r="A66" s="219">
        <v>44750</v>
      </c>
      <c r="B66" s="81" t="str">
        <f>VLOOKUP(C66,'Master List'!A:C,3,FALSE)</f>
        <v>47-138</v>
      </c>
      <c r="C66" s="120">
        <v>92</v>
      </c>
      <c r="D66" s="78" t="s">
        <v>105</v>
      </c>
      <c r="E66" s="81">
        <f>VLOOKUP(C66,'Master List'!A:G,5,FALSE)</f>
        <v>50</v>
      </c>
      <c r="F66" s="43">
        <f>VLOOKUP(C66,'2022-002-bottles_csv'!E:L,8,FALSE)</f>
        <v>0.22</v>
      </c>
      <c r="G66" s="218">
        <v>304</v>
      </c>
      <c r="H66" s="218">
        <v>10</v>
      </c>
      <c r="I66" s="218">
        <v>1</v>
      </c>
      <c r="J66" s="249">
        <v>21766.74</v>
      </c>
      <c r="K66" s="249">
        <v>13696.45</v>
      </c>
      <c r="L66" s="249">
        <v>252.94</v>
      </c>
      <c r="M66" s="249">
        <v>262.98</v>
      </c>
      <c r="N66" s="250">
        <f t="shared" si="5"/>
        <v>21513.800000000003</v>
      </c>
      <c r="O66" s="250">
        <f t="shared" si="6"/>
        <v>13433.470000000001</v>
      </c>
      <c r="P66" s="95">
        <f t="shared" si="7"/>
        <v>0.44160428684359876</v>
      </c>
      <c r="Q66" s="95">
        <f t="shared" si="8"/>
        <v>0.18904158402551308</v>
      </c>
      <c r="R66" s="133">
        <f t="shared" si="9"/>
        <v>1.6015072799507499</v>
      </c>
      <c r="S66" s="221"/>
      <c r="T66" s="85">
        <v>144</v>
      </c>
    </row>
    <row r="67" spans="1:20" s="60" customFormat="1">
      <c r="A67" s="219">
        <v>44755</v>
      </c>
      <c r="B67" s="81" t="str">
        <f>VLOOKUP(C67,'Master List'!A:C,3,FALSE)</f>
        <v>47-138</v>
      </c>
      <c r="C67" s="120">
        <v>92</v>
      </c>
      <c r="D67" s="94" t="s">
        <v>106</v>
      </c>
      <c r="E67" s="81">
        <f>VLOOKUP(C67,'Master List'!A:G,5,FALSE)</f>
        <v>50</v>
      </c>
      <c r="F67" s="43">
        <f>VLOOKUP(C67,'2022-002-bottles_csv'!E:L,8,FALSE)</f>
        <v>0.22</v>
      </c>
      <c r="G67" s="218">
        <v>304</v>
      </c>
      <c r="H67" s="218">
        <v>10</v>
      </c>
      <c r="I67" s="218">
        <v>1</v>
      </c>
      <c r="J67" s="249">
        <v>22463.7</v>
      </c>
      <c r="K67" s="249">
        <v>14212.16</v>
      </c>
      <c r="L67" s="249">
        <v>332.42</v>
      </c>
      <c r="M67" s="249">
        <v>348.04</v>
      </c>
      <c r="N67" s="250">
        <f t="shared" si="5"/>
        <v>22131.280000000002</v>
      </c>
      <c r="O67" s="250">
        <f t="shared" si="6"/>
        <v>13864.119999999999</v>
      </c>
      <c r="P67" s="95">
        <f t="shared" si="7"/>
        <v>0.45181487588030772</v>
      </c>
      <c r="Q67" s="95">
        <f t="shared" si="8"/>
        <v>0.19904823180771855</v>
      </c>
      <c r="R67" s="133">
        <f t="shared" si="9"/>
        <v>1.5962989356699167</v>
      </c>
      <c r="S67" s="221"/>
      <c r="T67" s="85">
        <v>235</v>
      </c>
    </row>
    <row r="68" spans="1:20" s="60" customFormat="1">
      <c r="A68" s="219">
        <v>44750</v>
      </c>
      <c r="B68" s="81" t="str">
        <f>VLOOKUP(C68,'Master List'!A:C,3,FALSE)</f>
        <v>47-138</v>
      </c>
      <c r="C68" s="120">
        <v>94</v>
      </c>
      <c r="D68" s="78" t="s">
        <v>105</v>
      </c>
      <c r="E68" s="81">
        <f>VLOOKUP(C68,'Master List'!A:G,5,FALSE)</f>
        <v>25</v>
      </c>
      <c r="F68" s="43">
        <f>VLOOKUP(C68,'2022-002-bottles_csv'!E:L,8,FALSE)</f>
        <v>0.24</v>
      </c>
      <c r="G68" s="218">
        <v>304</v>
      </c>
      <c r="H68" s="218">
        <v>10</v>
      </c>
      <c r="I68" s="218">
        <v>1</v>
      </c>
      <c r="J68" s="249">
        <v>23389.32</v>
      </c>
      <c r="K68" s="249">
        <v>14884.94</v>
      </c>
      <c r="L68" s="249">
        <v>252.94</v>
      </c>
      <c r="M68" s="249">
        <v>262.98</v>
      </c>
      <c r="N68" s="250">
        <f t="shared" si="5"/>
        <v>23136.38</v>
      </c>
      <c r="O68" s="250">
        <f t="shared" si="6"/>
        <v>14621.960000000001</v>
      </c>
      <c r="P68" s="95">
        <f t="shared" si="7"/>
        <v>0.46532807100537643</v>
      </c>
      <c r="Q68" s="95">
        <f t="shared" si="8"/>
        <v>0.2211124911139655</v>
      </c>
      <c r="R68" s="133">
        <f t="shared" si="9"/>
        <v>1.5823036036208551</v>
      </c>
      <c r="S68" s="221"/>
      <c r="T68" s="85">
        <v>135</v>
      </c>
    </row>
    <row r="69" spans="1:20" s="60" customFormat="1">
      <c r="A69" s="219">
        <v>44755</v>
      </c>
      <c r="B69" s="81" t="str">
        <f>VLOOKUP(C69,'Master List'!A:C,3,FALSE)</f>
        <v>47-138</v>
      </c>
      <c r="C69" s="120">
        <v>94</v>
      </c>
      <c r="D69" s="78" t="s">
        <v>106</v>
      </c>
      <c r="E69" s="81">
        <f>VLOOKUP(C69,'Master List'!A:G,5,FALSE)</f>
        <v>25</v>
      </c>
      <c r="F69" s="43">
        <f>VLOOKUP(C69,'2022-002-bottles_csv'!E:L,8,FALSE)</f>
        <v>0.24</v>
      </c>
      <c r="G69" s="218">
        <v>304</v>
      </c>
      <c r="H69" s="218">
        <v>10</v>
      </c>
      <c r="I69" s="218">
        <v>1</v>
      </c>
      <c r="J69" s="249">
        <v>19421.8</v>
      </c>
      <c r="K69" s="249">
        <v>12226.49</v>
      </c>
      <c r="L69" s="249">
        <v>332.42</v>
      </c>
      <c r="M69" s="249">
        <v>348.04</v>
      </c>
      <c r="N69" s="250">
        <f t="shared" si="5"/>
        <v>19089.38</v>
      </c>
      <c r="O69" s="250">
        <f t="shared" si="6"/>
        <v>11878.449999999999</v>
      </c>
      <c r="P69" s="95">
        <f t="shared" si="7"/>
        <v>0.39409004336816839</v>
      </c>
      <c r="Q69" s="95">
        <f t="shared" si="8"/>
        <v>0.16355406830403543</v>
      </c>
      <c r="R69" s="133">
        <f t="shared" si="9"/>
        <v>1.6070598436664718</v>
      </c>
      <c r="S69" s="221"/>
      <c r="T69" s="85">
        <v>225</v>
      </c>
    </row>
    <row r="70" spans="1:20" s="60" customFormat="1">
      <c r="A70" s="219">
        <v>44750</v>
      </c>
      <c r="B70" s="81" t="str">
        <f>VLOOKUP(C70,'Master List'!A:C,3,FALSE)</f>
        <v>47-138</v>
      </c>
      <c r="C70" s="120">
        <v>100</v>
      </c>
      <c r="D70" s="78" t="s">
        <v>105</v>
      </c>
      <c r="E70" s="81">
        <f>VLOOKUP(C70,'Master List'!A:G,5,FALSE)</f>
        <v>5</v>
      </c>
      <c r="F70" s="43">
        <f>VLOOKUP(C70,'2022-002-bottles_csv'!E:L,8,FALSE)</f>
        <v>0.26</v>
      </c>
      <c r="G70" s="218">
        <v>304</v>
      </c>
      <c r="H70" s="218">
        <v>10</v>
      </c>
      <c r="I70" s="218">
        <v>1</v>
      </c>
      <c r="J70" s="249">
        <v>25203.62</v>
      </c>
      <c r="K70" s="249">
        <v>15916.24</v>
      </c>
      <c r="L70" s="249">
        <v>252.94</v>
      </c>
      <c r="M70" s="249">
        <v>262.98</v>
      </c>
      <c r="N70" s="250">
        <f t="shared" si="5"/>
        <v>24950.68</v>
      </c>
      <c r="O70" s="250">
        <f t="shared" si="6"/>
        <v>15653.26</v>
      </c>
      <c r="P70" s="95">
        <f t="shared" si="7"/>
        <v>0.50812040208573306</v>
      </c>
      <c r="Q70" s="95">
        <f t="shared" si="8"/>
        <v>0.22673543074380623</v>
      </c>
      <c r="R70" s="133">
        <f t="shared" si="9"/>
        <v>1.5939606190659326</v>
      </c>
      <c r="S70" s="221"/>
      <c r="T70" s="85">
        <v>123</v>
      </c>
    </row>
    <row r="71" spans="1:20" s="60" customFormat="1">
      <c r="A71" s="219">
        <v>44757</v>
      </c>
      <c r="B71" s="81" t="str">
        <f>VLOOKUP(C71,'Master List'!A:C,3,FALSE)</f>
        <v>47-138</v>
      </c>
      <c r="C71" s="120">
        <v>100</v>
      </c>
      <c r="D71" s="78" t="s">
        <v>106</v>
      </c>
      <c r="E71" s="81">
        <f>VLOOKUP(C71,'Master List'!A:G,5,FALSE)</f>
        <v>5</v>
      </c>
      <c r="F71" s="43">
        <f>VLOOKUP(C71,'2022-002-bottles_csv'!E:L,8,FALSE)</f>
        <v>0.26</v>
      </c>
      <c r="G71" s="218">
        <v>304</v>
      </c>
      <c r="H71" s="218">
        <v>10</v>
      </c>
      <c r="I71" s="218">
        <v>1</v>
      </c>
      <c r="J71" s="249">
        <v>22142.49</v>
      </c>
      <c r="K71" s="249">
        <v>13764.76</v>
      </c>
      <c r="L71" s="249">
        <v>305.45999999999998</v>
      </c>
      <c r="M71" s="249">
        <v>318.69</v>
      </c>
      <c r="N71" s="250">
        <f t="shared" si="5"/>
        <v>21837.030000000002</v>
      </c>
      <c r="O71" s="250">
        <f t="shared" si="6"/>
        <v>13446.07</v>
      </c>
      <c r="P71" s="95">
        <f t="shared" si="7"/>
        <v>0.45858076424269356</v>
      </c>
      <c r="Q71" s="95">
        <f t="shared" si="8"/>
        <v>0.17265662452707609</v>
      </c>
      <c r="R71" s="133">
        <f t="shared" si="9"/>
        <v>1.6240455389567363</v>
      </c>
      <c r="S71" s="221"/>
      <c r="T71" s="85">
        <v>298</v>
      </c>
    </row>
    <row r="72" spans="1:20" s="60" customFormat="1">
      <c r="A72" s="219">
        <v>44754</v>
      </c>
      <c r="B72" s="81" t="str">
        <f>VLOOKUP(C72,'Master List'!A:C,3,FALSE)</f>
        <v>48-138</v>
      </c>
      <c r="C72" s="120">
        <v>104</v>
      </c>
      <c r="D72" s="78" t="s">
        <v>105</v>
      </c>
      <c r="E72" s="81">
        <f>VLOOKUP(C72,'Master List'!A:G,5,FALSE)</f>
        <v>150</v>
      </c>
      <c r="F72" s="43">
        <f>VLOOKUP(C72,'2022-002-bottles_csv'!E:L,8,FALSE)</f>
        <v>7.0000000000000007E-2</v>
      </c>
      <c r="G72" s="218">
        <v>304</v>
      </c>
      <c r="H72" s="218">
        <v>10</v>
      </c>
      <c r="I72" s="218">
        <v>1</v>
      </c>
      <c r="J72" s="249">
        <v>1936.75</v>
      </c>
      <c r="K72" s="249">
        <v>1648.8</v>
      </c>
      <c r="L72" s="249">
        <v>296.26</v>
      </c>
      <c r="M72" s="249">
        <v>308.87</v>
      </c>
      <c r="N72" s="250">
        <f t="shared" si="5"/>
        <v>1640.49</v>
      </c>
      <c r="O72" s="250">
        <f t="shared" si="6"/>
        <v>1339.9299999999998</v>
      </c>
      <c r="P72" s="95">
        <f t="shared" si="7"/>
        <v>1.6426134137307768E-2</v>
      </c>
      <c r="Q72" s="95">
        <f t="shared" si="8"/>
        <v>4.6478038928448782E-2</v>
      </c>
      <c r="R72" s="133">
        <f t="shared" si="9"/>
        <v>1.2243102251610161</v>
      </c>
      <c r="S72" s="221"/>
      <c r="T72" s="85">
        <v>151</v>
      </c>
    </row>
    <row r="73" spans="1:20" s="60" customFormat="1">
      <c r="A73" s="219">
        <v>44757</v>
      </c>
      <c r="B73" s="81" t="str">
        <f>VLOOKUP(C73,'Master List'!A:C,3,FALSE)</f>
        <v>48-138</v>
      </c>
      <c r="C73" s="120">
        <v>104</v>
      </c>
      <c r="D73" s="78" t="s">
        <v>106</v>
      </c>
      <c r="E73" s="81">
        <f>VLOOKUP(C73,'Master List'!A:G,5,FALSE)</f>
        <v>150</v>
      </c>
      <c r="F73" s="43">
        <f>VLOOKUP(C73,'2022-002-bottles_csv'!E:L,8,FALSE)</f>
        <v>7.0000000000000007E-2</v>
      </c>
      <c r="G73" s="218">
        <v>304</v>
      </c>
      <c r="H73" s="218">
        <v>10</v>
      </c>
      <c r="I73" s="218">
        <v>1</v>
      </c>
      <c r="J73" s="249">
        <v>1704.57</v>
      </c>
      <c r="K73" s="249">
        <v>1494.37</v>
      </c>
      <c r="L73" s="249">
        <v>351.09</v>
      </c>
      <c r="M73" s="249">
        <v>351.83</v>
      </c>
      <c r="N73" s="250">
        <f t="shared" si="5"/>
        <v>1353.48</v>
      </c>
      <c r="O73" s="250">
        <f t="shared" si="6"/>
        <v>1142.54</v>
      </c>
      <c r="P73" s="95">
        <f t="shared" si="7"/>
        <v>1.1528243062695301E-2</v>
      </c>
      <c r="Q73" s="95">
        <f t="shared" si="8"/>
        <v>4.2109285684738894E-2</v>
      </c>
      <c r="R73" s="133">
        <f t="shared" si="9"/>
        <v>1.1846237330859315</v>
      </c>
      <c r="S73" s="221"/>
      <c r="T73" s="85">
        <v>268</v>
      </c>
    </row>
    <row r="74" spans="1:20" s="60" customFormat="1">
      <c r="A74" s="219">
        <v>44754</v>
      </c>
      <c r="B74" s="81" t="str">
        <f>VLOOKUP(C74,'Master List'!A:C,3,FALSE)</f>
        <v>48-138</v>
      </c>
      <c r="C74" s="120">
        <v>108</v>
      </c>
      <c r="D74" s="78" t="s">
        <v>105</v>
      </c>
      <c r="E74" s="81">
        <f>VLOOKUP(C74,'Master List'!A:G,5,FALSE)</f>
        <v>100</v>
      </c>
      <c r="F74" s="43">
        <f>VLOOKUP(C74,'2022-002-bottles_csv'!E:L,8,FALSE)</f>
        <v>0.11</v>
      </c>
      <c r="G74" s="218">
        <v>304</v>
      </c>
      <c r="H74" s="218">
        <v>10</v>
      </c>
      <c r="I74" s="218">
        <v>1</v>
      </c>
      <c r="J74" s="249">
        <v>7720.18</v>
      </c>
      <c r="K74" s="249">
        <v>5357.55</v>
      </c>
      <c r="L74" s="249">
        <v>296.26</v>
      </c>
      <c r="M74" s="249">
        <v>308.87</v>
      </c>
      <c r="N74" s="250">
        <f t="shared" si="5"/>
        <v>7423.92</v>
      </c>
      <c r="O74" s="250">
        <f t="shared" si="6"/>
        <v>5048.68</v>
      </c>
      <c r="P74" s="95">
        <f t="shared" si="7"/>
        <v>0.12981105552401812</v>
      </c>
      <c r="Q74" s="95">
        <f t="shared" si="8"/>
        <v>0.10720359484848183</v>
      </c>
      <c r="R74" s="133">
        <f t="shared" si="9"/>
        <v>1.4704675281459707</v>
      </c>
      <c r="S74" s="221"/>
      <c r="T74" s="85">
        <v>154</v>
      </c>
    </row>
    <row r="75" spans="1:20" s="60" customFormat="1">
      <c r="A75" s="219">
        <v>44757</v>
      </c>
      <c r="B75" s="81" t="str">
        <f>VLOOKUP(C75,'Master List'!A:C,3,FALSE)</f>
        <v>48-138</v>
      </c>
      <c r="C75" s="120">
        <v>108</v>
      </c>
      <c r="D75" s="78" t="s">
        <v>106</v>
      </c>
      <c r="E75" s="81">
        <f>VLOOKUP(C75,'Master List'!A:G,5,FALSE)</f>
        <v>100</v>
      </c>
      <c r="F75" s="43">
        <f>VLOOKUP(C75,'2022-002-bottles_csv'!E:L,8,FALSE)</f>
        <v>0.11</v>
      </c>
      <c r="G75" s="218">
        <v>304</v>
      </c>
      <c r="H75" s="218">
        <v>10</v>
      </c>
      <c r="I75" s="218">
        <v>1</v>
      </c>
      <c r="J75" s="249">
        <v>8026.5</v>
      </c>
      <c r="K75" s="249">
        <v>5694.32</v>
      </c>
      <c r="L75" s="249">
        <v>351.09</v>
      </c>
      <c r="M75" s="249">
        <v>351.83</v>
      </c>
      <c r="N75" s="250">
        <f t="shared" si="5"/>
        <v>7675.41</v>
      </c>
      <c r="O75" s="250">
        <f t="shared" si="6"/>
        <v>5342.49</v>
      </c>
      <c r="P75" s="95">
        <f t="shared" si="7"/>
        <v>0.12749819287865324</v>
      </c>
      <c r="Q75" s="95">
        <f t="shared" si="8"/>
        <v>0.12330962212815587</v>
      </c>
      <c r="R75" s="133">
        <f t="shared" si="9"/>
        <v>1.4366727874081187</v>
      </c>
      <c r="S75" s="221"/>
      <c r="T75" s="85">
        <v>280</v>
      </c>
    </row>
    <row r="76" spans="1:20" s="60" customFormat="1">
      <c r="A76" s="219">
        <v>44750</v>
      </c>
      <c r="B76" s="81" t="str">
        <f>VLOOKUP(C76,'Master List'!A:C,3,FALSE)</f>
        <v>48-138</v>
      </c>
      <c r="C76" s="120">
        <v>109</v>
      </c>
      <c r="D76" s="78" t="s">
        <v>105</v>
      </c>
      <c r="E76" s="81">
        <f>VLOOKUP(C76,'Master List'!A:G,5,FALSE)</f>
        <v>75</v>
      </c>
      <c r="F76" s="43">
        <f>VLOOKUP(C76,'2022-002-bottles_csv'!E:L,8,FALSE)</f>
        <v>0.13</v>
      </c>
      <c r="G76" s="218">
        <v>304</v>
      </c>
      <c r="H76" s="218">
        <v>10</v>
      </c>
      <c r="I76" s="218">
        <v>1</v>
      </c>
      <c r="J76" s="249">
        <v>11643.45</v>
      </c>
      <c r="K76" s="249">
        <v>7946.95</v>
      </c>
      <c r="L76" s="249">
        <v>252.94</v>
      </c>
      <c r="M76" s="249">
        <v>262.98</v>
      </c>
      <c r="N76" s="250">
        <f t="shared" si="5"/>
        <v>11390.51</v>
      </c>
      <c r="O76" s="250">
        <f t="shared" si="6"/>
        <v>7683.9699999999993</v>
      </c>
      <c r="P76" s="95">
        <f t="shared" si="7"/>
        <v>0.20256894871339073</v>
      </c>
      <c r="Q76" s="95">
        <f t="shared" si="8"/>
        <v>0.1581616705817078</v>
      </c>
      <c r="R76" s="133">
        <f t="shared" si="9"/>
        <v>1.4823730441425462</v>
      </c>
      <c r="S76" s="221"/>
      <c r="T76" s="85">
        <v>125</v>
      </c>
    </row>
    <row r="77" spans="1:20" s="60" customFormat="1">
      <c r="A77" s="219">
        <v>44756</v>
      </c>
      <c r="B77" s="81" t="str">
        <f>VLOOKUP(C77,'Master List'!A:C,3,FALSE)</f>
        <v>48-138</v>
      </c>
      <c r="C77" s="216">
        <v>109</v>
      </c>
      <c r="D77" s="78" t="s">
        <v>106</v>
      </c>
      <c r="E77" s="81">
        <f>VLOOKUP(C77,'Master List'!A:G,5,FALSE)</f>
        <v>75</v>
      </c>
      <c r="F77" s="43">
        <f>VLOOKUP(C77,'2022-002-bottles_csv'!E:L,8,FALSE)</f>
        <v>0.13</v>
      </c>
      <c r="G77" s="218">
        <v>304</v>
      </c>
      <c r="H77" s="218">
        <v>10</v>
      </c>
      <c r="I77" s="218">
        <v>1</v>
      </c>
      <c r="J77" s="249">
        <v>10608.89</v>
      </c>
      <c r="K77" s="249">
        <v>7280</v>
      </c>
      <c r="L77" s="249">
        <v>332.16</v>
      </c>
      <c r="M77" s="249">
        <v>344.15</v>
      </c>
      <c r="N77" s="250">
        <f t="shared" ref="N77:N140" si="10">J77-L77</f>
        <v>10276.73</v>
      </c>
      <c r="O77" s="250">
        <f t="shared" ref="O77:O140" si="11">K77-M77</f>
        <v>6935.85</v>
      </c>
      <c r="P77" s="95">
        <f t="shared" ref="P77:P140" si="12">0.0007677*(1.859/(1.859-1))*(N77-O77)*(H77/G77)*I77</f>
        <v>0.18258498475062795</v>
      </c>
      <c r="Q77" s="95">
        <f t="shared" ref="Q77:Q140" si="13">0.0007677*(1.859/(1.859-1))*((1.859*O77)-N77)*(H77/G77)*I77</f>
        <v>0.14302449392223385</v>
      </c>
      <c r="R77" s="133">
        <f t="shared" ref="R77:R140" si="14">N77/O77</f>
        <v>1.4816828506960213</v>
      </c>
      <c r="S77" s="221"/>
      <c r="T77" s="85">
        <v>252</v>
      </c>
    </row>
    <row r="78" spans="1:20" s="60" customFormat="1">
      <c r="A78" s="219">
        <v>44750</v>
      </c>
      <c r="B78" s="81" t="str">
        <f>VLOOKUP(C78,'Master List'!A:C,3,FALSE)</f>
        <v>48-138</v>
      </c>
      <c r="C78" s="216">
        <v>112</v>
      </c>
      <c r="D78" s="78" t="s">
        <v>105</v>
      </c>
      <c r="E78" s="81">
        <f>VLOOKUP(C78,'Master List'!A:G,5,FALSE)</f>
        <v>50</v>
      </c>
      <c r="F78" s="43">
        <f>VLOOKUP(C78,'2022-002-bottles_csv'!E:L,8,FALSE)</f>
        <v>0.22</v>
      </c>
      <c r="G78" s="218">
        <v>304</v>
      </c>
      <c r="H78" s="218">
        <v>10</v>
      </c>
      <c r="I78" s="218">
        <v>1</v>
      </c>
      <c r="J78" s="249">
        <v>22316.2</v>
      </c>
      <c r="K78" s="249">
        <v>14082.5</v>
      </c>
      <c r="L78" s="249">
        <v>252.94</v>
      </c>
      <c r="M78" s="249">
        <v>262.98</v>
      </c>
      <c r="N78" s="250">
        <f t="shared" si="10"/>
        <v>22063.260000000002</v>
      </c>
      <c r="O78" s="250">
        <f t="shared" si="11"/>
        <v>13819.52</v>
      </c>
      <c r="P78" s="95">
        <f t="shared" si="12"/>
        <v>0.45053493157136515</v>
      </c>
      <c r="Q78" s="95">
        <f t="shared" si="13"/>
        <v>0.19823439053179273</v>
      </c>
      <c r="R78" s="133">
        <f t="shared" si="14"/>
        <v>1.5965286782753672</v>
      </c>
      <c r="S78" s="221"/>
      <c r="T78" s="85">
        <v>130</v>
      </c>
    </row>
    <row r="79" spans="1:20" s="60" customFormat="1">
      <c r="A79" s="219">
        <v>44761</v>
      </c>
      <c r="B79" s="81" t="str">
        <f>VLOOKUP(C79,'Master List'!A:C,3,FALSE)</f>
        <v>48-138</v>
      </c>
      <c r="C79" s="216">
        <v>112</v>
      </c>
      <c r="D79" s="78" t="s">
        <v>106</v>
      </c>
      <c r="E79" s="81">
        <f>VLOOKUP(C79,'Master List'!A:G,5,FALSE)</f>
        <v>50</v>
      </c>
      <c r="F79" s="43">
        <f>VLOOKUP(C79,'2022-002-bottles_csv'!E:L,8,FALSE)</f>
        <v>0.22</v>
      </c>
      <c r="G79" s="218">
        <v>304</v>
      </c>
      <c r="H79" s="218">
        <v>10</v>
      </c>
      <c r="I79" s="218">
        <v>1</v>
      </c>
      <c r="J79" s="249">
        <v>20144.95</v>
      </c>
      <c r="K79" s="249">
        <v>12314.48</v>
      </c>
      <c r="L79" s="249">
        <v>345.92</v>
      </c>
      <c r="M79" s="249">
        <v>349.76</v>
      </c>
      <c r="N79" s="250">
        <f t="shared" si="10"/>
        <v>19799.030000000002</v>
      </c>
      <c r="O79" s="250">
        <f t="shared" si="11"/>
        <v>11964.72</v>
      </c>
      <c r="P79" s="95">
        <f t="shared" si="12"/>
        <v>0.42815885990568142</v>
      </c>
      <c r="Q79" s="95">
        <f t="shared" si="13"/>
        <v>0.13353527155142375</v>
      </c>
      <c r="R79" s="133">
        <f t="shared" si="14"/>
        <v>1.6547842323096573</v>
      </c>
      <c r="S79" s="221"/>
      <c r="T79" s="85">
        <v>359</v>
      </c>
    </row>
    <row r="80" spans="1:20" s="60" customFormat="1">
      <c r="A80" s="219">
        <v>44754</v>
      </c>
      <c r="B80" s="81" t="str">
        <f>VLOOKUP(C80,'Master List'!A:C,3,FALSE)</f>
        <v>48-138</v>
      </c>
      <c r="C80" s="120">
        <v>114</v>
      </c>
      <c r="D80" s="78" t="s">
        <v>105</v>
      </c>
      <c r="E80" s="81">
        <f>VLOOKUP(C80,'Master List'!A:G,5,FALSE)</f>
        <v>25</v>
      </c>
      <c r="F80" s="43">
        <f>VLOOKUP(C80,'2022-002-bottles_csv'!E:L,8,FALSE)</f>
        <v>0.26</v>
      </c>
      <c r="G80" s="218">
        <v>304</v>
      </c>
      <c r="H80" s="218">
        <v>10</v>
      </c>
      <c r="I80" s="218">
        <v>1</v>
      </c>
      <c r="J80" s="249">
        <v>21757.84</v>
      </c>
      <c r="K80" s="249">
        <v>13145.86</v>
      </c>
      <c r="L80" s="249">
        <v>296.26</v>
      </c>
      <c r="M80" s="249">
        <v>308.87</v>
      </c>
      <c r="N80" s="250">
        <f t="shared" si="10"/>
        <v>21461.58</v>
      </c>
      <c r="O80" s="250">
        <f t="shared" si="11"/>
        <v>12836.99</v>
      </c>
      <c r="P80" s="95">
        <f t="shared" si="12"/>
        <v>0.47134905582673398</v>
      </c>
      <c r="Q80" s="95">
        <f t="shared" si="13"/>
        <v>0.13129454540869359</v>
      </c>
      <c r="R80" s="133">
        <f t="shared" si="14"/>
        <v>1.6718545391092461</v>
      </c>
      <c r="S80" s="221"/>
      <c r="T80" s="85">
        <v>145</v>
      </c>
    </row>
    <row r="81" spans="1:20" s="60" customFormat="1">
      <c r="A81" s="219">
        <v>44761</v>
      </c>
      <c r="B81" s="81" t="str">
        <f>VLOOKUP(C81,'Master List'!A:C,3,FALSE)</f>
        <v>48-138</v>
      </c>
      <c r="C81" s="120">
        <v>114</v>
      </c>
      <c r="D81" s="78" t="s">
        <v>106</v>
      </c>
      <c r="E81" s="81">
        <f>VLOOKUP(C81,'Master List'!A:G,5,FALSE)</f>
        <v>25</v>
      </c>
      <c r="F81" s="43">
        <f>VLOOKUP(C81,'2022-002-bottles_csv'!E:L,8,FALSE)</f>
        <v>0.26</v>
      </c>
      <c r="G81" s="218">
        <v>304</v>
      </c>
      <c r="H81" s="218">
        <v>10</v>
      </c>
      <c r="I81" s="218">
        <v>1</v>
      </c>
      <c r="J81" s="249">
        <v>23366.52</v>
      </c>
      <c r="K81" s="249">
        <v>14552.79</v>
      </c>
      <c r="L81" s="249">
        <v>362.04</v>
      </c>
      <c r="M81" s="249">
        <v>363.93</v>
      </c>
      <c r="N81" s="250">
        <f t="shared" si="10"/>
        <v>23004.48</v>
      </c>
      <c r="O81" s="250">
        <f t="shared" si="11"/>
        <v>14188.86</v>
      </c>
      <c r="P81" s="95">
        <f t="shared" si="12"/>
        <v>0.4817891822715365</v>
      </c>
      <c r="Q81" s="95">
        <f t="shared" si="13"/>
        <v>0.18431912565931857</v>
      </c>
      <c r="R81" s="133">
        <f t="shared" si="14"/>
        <v>1.6213057285786172</v>
      </c>
      <c r="S81" s="221"/>
      <c r="T81" s="85">
        <v>366</v>
      </c>
    </row>
    <row r="82" spans="1:20" s="60" customFormat="1">
      <c r="A82" s="219">
        <v>44750</v>
      </c>
      <c r="B82" s="81" t="str">
        <f>VLOOKUP(C82,'Master List'!A:C,3,FALSE)</f>
        <v>48-138</v>
      </c>
      <c r="C82" s="120">
        <v>120</v>
      </c>
      <c r="D82" s="78" t="s">
        <v>105</v>
      </c>
      <c r="E82" s="81">
        <f>VLOOKUP(C82,'Master List'!A:G,5,FALSE)</f>
        <v>5</v>
      </c>
      <c r="F82" s="43">
        <f>VLOOKUP(C82,'2022-002-bottles_csv'!E:L,8,FALSE)</f>
        <v>0.25</v>
      </c>
      <c r="G82" s="218">
        <v>304</v>
      </c>
      <c r="H82" s="218">
        <v>10</v>
      </c>
      <c r="I82" s="218">
        <v>1</v>
      </c>
      <c r="J82" s="249">
        <v>23035.21</v>
      </c>
      <c r="K82" s="249">
        <v>14519.39</v>
      </c>
      <c r="L82" s="249">
        <v>252.94</v>
      </c>
      <c r="M82" s="249">
        <v>262.98</v>
      </c>
      <c r="N82" s="250">
        <f t="shared" si="10"/>
        <v>22782.27</v>
      </c>
      <c r="O82" s="250">
        <f t="shared" si="11"/>
        <v>14256.41</v>
      </c>
      <c r="P82" s="95">
        <f t="shared" si="12"/>
        <v>0.46595328718361306</v>
      </c>
      <c r="Q82" s="95">
        <f t="shared" si="13"/>
        <v>0.20332621393688022</v>
      </c>
      <c r="R82" s="133">
        <f t="shared" si="14"/>
        <v>1.5980369532021035</v>
      </c>
      <c r="S82" s="221"/>
      <c r="T82" s="85">
        <v>131</v>
      </c>
    </row>
    <row r="83" spans="1:20" s="60" customFormat="1">
      <c r="A83" s="219">
        <v>44761</v>
      </c>
      <c r="B83" s="81" t="str">
        <f>VLOOKUP(C83,'Master List'!A:C,3,FALSE)</f>
        <v>48-138</v>
      </c>
      <c r="C83" s="120">
        <v>120</v>
      </c>
      <c r="D83" s="78" t="s">
        <v>106</v>
      </c>
      <c r="E83" s="81">
        <f>VLOOKUP(C83,'Master List'!A:G,5,FALSE)</f>
        <v>5</v>
      </c>
      <c r="F83" s="43">
        <f>VLOOKUP(C83,'2022-002-bottles_csv'!E:L,8,FALSE)</f>
        <v>0.25</v>
      </c>
      <c r="G83" s="218">
        <v>304</v>
      </c>
      <c r="H83" s="218">
        <v>10</v>
      </c>
      <c r="I83" s="218">
        <v>1</v>
      </c>
      <c r="J83" s="249">
        <v>19734.84</v>
      </c>
      <c r="K83" s="249">
        <v>12369.74</v>
      </c>
      <c r="L83" s="249">
        <v>345.92</v>
      </c>
      <c r="M83" s="249">
        <v>349.76</v>
      </c>
      <c r="N83" s="250">
        <f t="shared" si="10"/>
        <v>19388.920000000002</v>
      </c>
      <c r="O83" s="250">
        <f t="shared" si="11"/>
        <v>12019.98</v>
      </c>
      <c r="P83" s="95">
        <f t="shared" si="12"/>
        <v>0.40272556857124259</v>
      </c>
      <c r="Q83" s="95">
        <f t="shared" si="13"/>
        <v>0.16156279139303348</v>
      </c>
      <c r="R83" s="133">
        <f t="shared" si="14"/>
        <v>1.6130575924419177</v>
      </c>
      <c r="S83" s="221"/>
      <c r="T83" s="85">
        <v>342</v>
      </c>
    </row>
    <row r="84" spans="1:20" s="60" customFormat="1">
      <c r="A84" s="219">
        <v>44750</v>
      </c>
      <c r="B84" s="81" t="str">
        <f>VLOOKUP(C84,'Master List'!A:C,3,FALSE)</f>
        <v>49-138</v>
      </c>
      <c r="C84" s="120">
        <v>124</v>
      </c>
      <c r="D84" s="78" t="s">
        <v>105</v>
      </c>
      <c r="E84" s="81">
        <f>VLOOKUP(C84,'Master List'!A:G,5,FALSE)</f>
        <v>150</v>
      </c>
      <c r="F84" s="43">
        <f>VLOOKUP(C84,'2022-002-bottles_csv'!E:L,8,FALSE)</f>
        <v>0.06</v>
      </c>
      <c r="G84" s="218">
        <v>304</v>
      </c>
      <c r="H84" s="218">
        <v>10</v>
      </c>
      <c r="I84" s="218">
        <v>1</v>
      </c>
      <c r="J84" s="249">
        <v>1871.56</v>
      </c>
      <c r="K84" s="249">
        <v>1554.99</v>
      </c>
      <c r="L84" s="249">
        <v>252.94</v>
      </c>
      <c r="M84" s="249">
        <v>262.98</v>
      </c>
      <c r="N84" s="250">
        <f t="shared" si="10"/>
        <v>1618.62</v>
      </c>
      <c r="O84" s="250">
        <f t="shared" si="11"/>
        <v>1292.01</v>
      </c>
      <c r="P84" s="95">
        <f t="shared" si="12"/>
        <v>1.784981258512805E-2</v>
      </c>
      <c r="Q84" s="95">
        <f t="shared" si="13"/>
        <v>4.2804714623523261E-2</v>
      </c>
      <c r="R84" s="133">
        <f t="shared" si="14"/>
        <v>1.252792161051385</v>
      </c>
      <c r="S84" s="221"/>
      <c r="T84" s="85">
        <v>126</v>
      </c>
    </row>
    <row r="85" spans="1:20" s="60" customFormat="1">
      <c r="A85" s="219">
        <v>44757</v>
      </c>
      <c r="B85" s="81" t="str">
        <f>VLOOKUP(C85,'Master List'!A:C,3,FALSE)</f>
        <v>49-138</v>
      </c>
      <c r="C85" s="85">
        <v>124</v>
      </c>
      <c r="D85" s="78" t="s">
        <v>106</v>
      </c>
      <c r="E85" s="81">
        <f>VLOOKUP(C85,'Master List'!A:G,5,FALSE)</f>
        <v>150</v>
      </c>
      <c r="F85" s="43">
        <f>VLOOKUP(C85,'2022-002-bottles_csv'!E:L,8,FALSE)</f>
        <v>0.06</v>
      </c>
      <c r="G85" s="218">
        <v>304</v>
      </c>
      <c r="H85" s="218">
        <v>10</v>
      </c>
      <c r="I85" s="218">
        <v>1</v>
      </c>
      <c r="J85" s="249">
        <v>1927.27</v>
      </c>
      <c r="K85" s="249">
        <v>1773.9</v>
      </c>
      <c r="L85" s="249">
        <v>351.09</v>
      </c>
      <c r="M85" s="249">
        <v>351.83</v>
      </c>
      <c r="N85" s="250">
        <f t="shared" si="10"/>
        <v>1576.18</v>
      </c>
      <c r="O85" s="250">
        <f t="shared" si="11"/>
        <v>1422.0700000000002</v>
      </c>
      <c r="P85" s="95">
        <f t="shared" si="12"/>
        <v>8.4223833241299489E-3</v>
      </c>
      <c r="Q85" s="95">
        <f t="shared" si="13"/>
        <v>5.8337923103534528E-2</v>
      </c>
      <c r="R85" s="133">
        <f t="shared" si="14"/>
        <v>1.1083701927471923</v>
      </c>
      <c r="S85" s="221"/>
      <c r="T85" s="85">
        <v>266</v>
      </c>
    </row>
    <row r="86" spans="1:20" s="60" customFormat="1">
      <c r="A86" s="219">
        <v>44750</v>
      </c>
      <c r="B86" s="81" t="str">
        <f>VLOOKUP(C86,'Master List'!A:C,3,FALSE)</f>
        <v>49-138</v>
      </c>
      <c r="C86" s="120">
        <v>128</v>
      </c>
      <c r="D86" s="78" t="s">
        <v>105</v>
      </c>
      <c r="E86" s="81">
        <f>VLOOKUP(C86,'Master List'!A:G,5,FALSE)</f>
        <v>100</v>
      </c>
      <c r="F86" s="43">
        <f>VLOOKUP(C86,'2022-002-bottles_csv'!E:L,8,FALSE)</f>
        <v>0.09</v>
      </c>
      <c r="G86" s="218">
        <v>304</v>
      </c>
      <c r="H86" s="218">
        <v>10</v>
      </c>
      <c r="I86" s="218">
        <v>1</v>
      </c>
      <c r="J86" s="249">
        <v>4517.05</v>
      </c>
      <c r="K86" s="249">
        <v>3233.11</v>
      </c>
      <c r="L86" s="249">
        <v>252.94</v>
      </c>
      <c r="M86" s="249">
        <v>262.98</v>
      </c>
      <c r="N86" s="250">
        <f t="shared" si="10"/>
        <v>4264.1100000000006</v>
      </c>
      <c r="O86" s="250">
        <f t="shared" si="11"/>
        <v>2970.13</v>
      </c>
      <c r="P86" s="95">
        <f t="shared" si="12"/>
        <v>7.0718289363167097E-2</v>
      </c>
      <c r="Q86" s="95">
        <f t="shared" si="13"/>
        <v>6.8717033040089442E-2</v>
      </c>
      <c r="R86" s="133">
        <f t="shared" si="14"/>
        <v>1.4356644321965706</v>
      </c>
      <c r="S86" s="221"/>
      <c r="T86" s="85">
        <v>140</v>
      </c>
    </row>
    <row r="87" spans="1:20" s="60" customFormat="1">
      <c r="A87" s="219">
        <v>44761</v>
      </c>
      <c r="B87" s="81" t="str">
        <f>VLOOKUP(C87,'Master List'!A:C,3,FALSE)</f>
        <v>49-138</v>
      </c>
      <c r="C87" s="120">
        <v>128</v>
      </c>
      <c r="D87" s="78" t="s">
        <v>106</v>
      </c>
      <c r="E87" s="81">
        <f>VLOOKUP(C87,'Master List'!A:G,5,FALSE)</f>
        <v>100</v>
      </c>
      <c r="F87" s="43">
        <f>VLOOKUP(C87,'2022-002-bottles_csv'!E:L,8,FALSE)</f>
        <v>0.09</v>
      </c>
      <c r="G87" s="218">
        <v>304</v>
      </c>
      <c r="H87" s="218">
        <v>10</v>
      </c>
      <c r="I87" s="218">
        <v>1</v>
      </c>
      <c r="J87" s="249">
        <v>4309.21</v>
      </c>
      <c r="K87" s="249">
        <v>3308.32</v>
      </c>
      <c r="L87" s="249">
        <v>362.04</v>
      </c>
      <c r="M87" s="249">
        <v>363.93</v>
      </c>
      <c r="N87" s="250">
        <f t="shared" si="10"/>
        <v>3947.17</v>
      </c>
      <c r="O87" s="250">
        <f t="shared" si="11"/>
        <v>2944.3900000000003</v>
      </c>
      <c r="P87" s="95">
        <f t="shared" si="12"/>
        <v>5.4803695735325626E-2</v>
      </c>
      <c r="Q87" s="95">
        <f t="shared" si="13"/>
        <v>8.3423240099444101E-2</v>
      </c>
      <c r="R87" s="133">
        <f t="shared" si="14"/>
        <v>1.3405730898420385</v>
      </c>
      <c r="S87" s="221"/>
      <c r="T87" s="85">
        <v>364</v>
      </c>
    </row>
    <row r="88" spans="1:20" s="60" customFormat="1">
      <c r="A88" s="219">
        <v>44750</v>
      </c>
      <c r="B88" s="81" t="str">
        <f>VLOOKUP(C88,'Master List'!A:C,3,FALSE)</f>
        <v>49-138</v>
      </c>
      <c r="C88" s="120">
        <v>129</v>
      </c>
      <c r="D88" s="78" t="s">
        <v>105</v>
      </c>
      <c r="E88" s="81">
        <f>VLOOKUP(C88,'Master List'!A:G,5,FALSE)</f>
        <v>75</v>
      </c>
      <c r="F88" s="43">
        <f>VLOOKUP(C88,'2022-002-bottles_csv'!E:L,8,FALSE)</f>
        <v>0.15</v>
      </c>
      <c r="G88" s="218">
        <v>304</v>
      </c>
      <c r="H88" s="218">
        <v>10</v>
      </c>
      <c r="I88" s="218">
        <v>1</v>
      </c>
      <c r="J88" s="249">
        <v>13520.43</v>
      </c>
      <c r="K88" s="249">
        <v>8854.91</v>
      </c>
      <c r="L88" s="249">
        <v>305.14</v>
      </c>
      <c r="M88" s="249">
        <v>306.41000000000003</v>
      </c>
      <c r="N88" s="250">
        <f t="shared" si="10"/>
        <v>13215.29</v>
      </c>
      <c r="O88" s="250">
        <f t="shared" si="11"/>
        <v>8548.5</v>
      </c>
      <c r="P88" s="95">
        <f t="shared" si="12"/>
        <v>0.25504830493294683</v>
      </c>
      <c r="Q88" s="95">
        <f t="shared" si="13"/>
        <v>0.14626842314435576</v>
      </c>
      <c r="R88" s="133">
        <f t="shared" si="14"/>
        <v>1.5459191671053403</v>
      </c>
      <c r="S88" s="221"/>
      <c r="T88" s="85">
        <v>119</v>
      </c>
    </row>
    <row r="89" spans="1:20" s="60" customFormat="1">
      <c r="A89" s="219">
        <v>44757</v>
      </c>
      <c r="B89" s="81" t="str">
        <f>VLOOKUP(C89,'Master List'!A:C,3,FALSE)</f>
        <v>49-138</v>
      </c>
      <c r="C89" s="120">
        <v>129</v>
      </c>
      <c r="D89" s="78" t="s">
        <v>106</v>
      </c>
      <c r="E89" s="81">
        <f>VLOOKUP(C89,'Master List'!A:G,5,FALSE)</f>
        <v>75</v>
      </c>
      <c r="F89" s="43">
        <f>VLOOKUP(C89,'2022-002-bottles_csv'!E:L,8,FALSE)</f>
        <v>0.15</v>
      </c>
      <c r="G89" s="218">
        <v>304</v>
      </c>
      <c r="H89" s="218">
        <v>10</v>
      </c>
      <c r="I89" s="218">
        <v>1</v>
      </c>
      <c r="J89" s="249">
        <v>10908.64</v>
      </c>
      <c r="K89" s="249">
        <v>7332.5</v>
      </c>
      <c r="L89" s="249">
        <v>351.09</v>
      </c>
      <c r="M89" s="249">
        <v>351.83</v>
      </c>
      <c r="N89" s="250">
        <f t="shared" si="10"/>
        <v>10557.55</v>
      </c>
      <c r="O89" s="250">
        <f t="shared" si="11"/>
        <v>6980.67</v>
      </c>
      <c r="P89" s="95">
        <f t="shared" si="12"/>
        <v>0.19548280101494997</v>
      </c>
      <c r="Q89" s="95">
        <f t="shared" si="13"/>
        <v>0.13223079133310914</v>
      </c>
      <c r="R89" s="133">
        <f t="shared" si="14"/>
        <v>1.5123978070872852</v>
      </c>
      <c r="S89" s="221"/>
      <c r="T89" s="85">
        <v>288</v>
      </c>
    </row>
    <row r="90" spans="1:20" s="60" customFormat="1">
      <c r="A90" s="219">
        <v>44754</v>
      </c>
      <c r="B90" s="81" t="str">
        <f>VLOOKUP(C90,'Master List'!A:C,3,FALSE)</f>
        <v>49-138</v>
      </c>
      <c r="C90" s="120">
        <v>132</v>
      </c>
      <c r="D90" s="78" t="s">
        <v>105</v>
      </c>
      <c r="E90" s="81">
        <f>VLOOKUP(C90,'Master List'!A:G,5,FALSE)</f>
        <v>50</v>
      </c>
      <c r="F90" s="43">
        <f>VLOOKUP(C90,'2022-002-bottles_csv'!E:L,8,FALSE)</f>
        <v>0.19</v>
      </c>
      <c r="G90" s="218">
        <v>304</v>
      </c>
      <c r="H90" s="218">
        <v>10</v>
      </c>
      <c r="I90" s="218">
        <v>1</v>
      </c>
      <c r="J90" s="249">
        <v>17048.849999999999</v>
      </c>
      <c r="K90" s="249">
        <v>11019.89</v>
      </c>
      <c r="L90" s="249">
        <v>296.26</v>
      </c>
      <c r="M90" s="249">
        <v>308.87</v>
      </c>
      <c r="N90" s="250">
        <f t="shared" si="10"/>
        <v>16752.59</v>
      </c>
      <c r="O90" s="250">
        <f t="shared" si="11"/>
        <v>10711.019999999999</v>
      </c>
      <c r="P90" s="95">
        <f t="shared" si="12"/>
        <v>0.33018245681372926</v>
      </c>
      <c r="Q90" s="95">
        <f t="shared" si="13"/>
        <v>0.17265564352791518</v>
      </c>
      <c r="R90" s="133">
        <f t="shared" si="14"/>
        <v>1.5640517896521529</v>
      </c>
      <c r="S90" s="221"/>
      <c r="T90" s="85">
        <v>165</v>
      </c>
    </row>
    <row r="91" spans="1:20" s="60" customFormat="1">
      <c r="A91" s="219">
        <v>44755</v>
      </c>
      <c r="B91" s="81" t="str">
        <f>VLOOKUP(C91,'Master List'!A:C,3,FALSE)</f>
        <v>49-138</v>
      </c>
      <c r="C91" s="120">
        <v>132</v>
      </c>
      <c r="D91" s="78" t="s">
        <v>106</v>
      </c>
      <c r="E91" s="81">
        <f>VLOOKUP(C91,'Master List'!A:G,5,FALSE)</f>
        <v>50</v>
      </c>
      <c r="F91" s="43">
        <f>VLOOKUP(C91,'2022-002-bottles_csv'!E:L,8,FALSE)</f>
        <v>0.19</v>
      </c>
      <c r="G91" s="218">
        <v>304</v>
      </c>
      <c r="H91" s="218">
        <v>10</v>
      </c>
      <c r="I91" s="218">
        <v>1</v>
      </c>
      <c r="J91" s="249">
        <v>17572.14</v>
      </c>
      <c r="K91" s="249">
        <v>11058.06</v>
      </c>
      <c r="L91" s="249">
        <v>311.39</v>
      </c>
      <c r="M91" s="249">
        <v>298.52999999999997</v>
      </c>
      <c r="N91" s="250">
        <f t="shared" si="10"/>
        <v>17260.75</v>
      </c>
      <c r="O91" s="250">
        <f t="shared" si="11"/>
        <v>10759.529999999999</v>
      </c>
      <c r="P91" s="95">
        <f t="shared" si="12"/>
        <v>0.35530314005904967</v>
      </c>
      <c r="Q91" s="95">
        <f t="shared" si="13"/>
        <v>0.14981230420012775</v>
      </c>
      <c r="R91" s="133">
        <f t="shared" si="14"/>
        <v>1.6042289951326871</v>
      </c>
      <c r="S91" s="221"/>
      <c r="T91" s="85">
        <v>216</v>
      </c>
    </row>
    <row r="92" spans="1:20" s="60" customFormat="1">
      <c r="A92" s="219">
        <v>44750</v>
      </c>
      <c r="B92" s="81" t="str">
        <f>VLOOKUP(C92,'Master List'!A:C,3,FALSE)</f>
        <v>49-138</v>
      </c>
      <c r="C92" s="120">
        <v>134</v>
      </c>
      <c r="D92" s="78" t="s">
        <v>105</v>
      </c>
      <c r="E92" s="81">
        <f>VLOOKUP(C92,'Master List'!A:G,5,FALSE)</f>
        <v>25</v>
      </c>
      <c r="F92" s="43">
        <f>VLOOKUP(C92,'2022-002-bottles_csv'!E:L,8,FALSE)</f>
        <v>0.24</v>
      </c>
      <c r="G92" s="218">
        <v>304</v>
      </c>
      <c r="H92" s="218">
        <v>10</v>
      </c>
      <c r="I92" s="218">
        <v>1</v>
      </c>
      <c r="J92" s="249">
        <v>25317.27</v>
      </c>
      <c r="K92" s="249">
        <v>16137.72</v>
      </c>
      <c r="L92" s="249">
        <v>252.94</v>
      </c>
      <c r="M92" s="249">
        <v>262.98</v>
      </c>
      <c r="N92" s="250">
        <f t="shared" si="10"/>
        <v>25064.33</v>
      </c>
      <c r="O92" s="250">
        <f t="shared" si="11"/>
        <v>15874.74</v>
      </c>
      <c r="P92" s="95">
        <f t="shared" si="12"/>
        <v>0.50222730239174229</v>
      </c>
      <c r="Q92" s="95">
        <f t="shared" si="13"/>
        <v>0.24302610064713928</v>
      </c>
      <c r="R92" s="133">
        <f t="shared" si="14"/>
        <v>1.5788812919140724</v>
      </c>
      <c r="S92" s="221"/>
      <c r="T92" s="85">
        <v>141</v>
      </c>
    </row>
    <row r="93" spans="1:20" s="60" customFormat="1">
      <c r="A93" s="219">
        <v>44761</v>
      </c>
      <c r="B93" s="81" t="str">
        <f>VLOOKUP(C93,'Master List'!A:C,3,FALSE)</f>
        <v>49-138</v>
      </c>
      <c r="C93" s="120">
        <v>134</v>
      </c>
      <c r="D93" s="78" t="s">
        <v>106</v>
      </c>
      <c r="E93" s="81">
        <f>VLOOKUP(C93,'Master List'!A:G,5,FALSE)</f>
        <v>25</v>
      </c>
      <c r="F93" s="43">
        <f>VLOOKUP(C93,'2022-002-bottles_csv'!E:L,8,FALSE)</f>
        <v>0.24</v>
      </c>
      <c r="G93" s="218">
        <v>304</v>
      </c>
      <c r="H93" s="218">
        <v>10</v>
      </c>
      <c r="I93" s="218">
        <v>1</v>
      </c>
      <c r="J93" s="249">
        <v>22947.48</v>
      </c>
      <c r="K93" s="249">
        <v>14055.97</v>
      </c>
      <c r="L93" s="249">
        <v>334.87</v>
      </c>
      <c r="M93" s="249">
        <v>333.82</v>
      </c>
      <c r="N93" s="250">
        <f t="shared" si="10"/>
        <v>22612.61</v>
      </c>
      <c r="O93" s="250">
        <f t="shared" si="11"/>
        <v>13722.15</v>
      </c>
      <c r="P93" s="95">
        <f t="shared" si="12"/>
        <v>0.48587932027671399</v>
      </c>
      <c r="Q93" s="95">
        <f t="shared" si="13"/>
        <v>0.1583188829385819</v>
      </c>
      <c r="R93" s="133">
        <f t="shared" si="14"/>
        <v>1.6478911832329484</v>
      </c>
      <c r="S93" s="221"/>
      <c r="T93" s="85">
        <v>416</v>
      </c>
    </row>
    <row r="94" spans="1:20" s="60" customFormat="1">
      <c r="A94" s="219">
        <v>44750</v>
      </c>
      <c r="B94" s="81" t="str">
        <f>VLOOKUP(C94,'Master List'!A:C,3,FALSE)</f>
        <v>49-138</v>
      </c>
      <c r="C94" s="120">
        <v>140</v>
      </c>
      <c r="D94" s="78" t="s">
        <v>105</v>
      </c>
      <c r="E94" s="81">
        <f>VLOOKUP(C94,'Master List'!A:G,5,FALSE)</f>
        <v>5</v>
      </c>
      <c r="F94" s="43">
        <f>VLOOKUP(C94,'2022-002-bottles_csv'!E:L,8,FALSE)</f>
        <v>0.26</v>
      </c>
      <c r="G94" s="218">
        <v>304</v>
      </c>
      <c r="H94" s="218">
        <v>10</v>
      </c>
      <c r="I94" s="218">
        <v>1</v>
      </c>
      <c r="J94" s="249">
        <v>22928.65</v>
      </c>
      <c r="K94" s="249">
        <v>14071.96</v>
      </c>
      <c r="L94" s="249">
        <v>252.94</v>
      </c>
      <c r="M94" s="249">
        <v>262.98</v>
      </c>
      <c r="N94" s="250">
        <f t="shared" si="10"/>
        <v>22675.710000000003</v>
      </c>
      <c r="O94" s="250">
        <f t="shared" si="11"/>
        <v>13808.98</v>
      </c>
      <c r="P94" s="95">
        <f t="shared" si="12"/>
        <v>0.48458243392098382</v>
      </c>
      <c r="Q94" s="95">
        <f t="shared" si="13"/>
        <v>0.16369207876368705</v>
      </c>
      <c r="R94" s="133">
        <f t="shared" si="14"/>
        <v>1.6420988371335177</v>
      </c>
      <c r="S94" s="221"/>
      <c r="T94" s="85">
        <v>139</v>
      </c>
    </row>
    <row r="95" spans="1:20" s="60" customFormat="1">
      <c r="A95" s="219">
        <v>44757</v>
      </c>
      <c r="B95" s="81" t="str">
        <f>VLOOKUP(C95,'Master List'!A:C,3,FALSE)</f>
        <v>49-138</v>
      </c>
      <c r="C95" s="120">
        <v>140</v>
      </c>
      <c r="D95" s="78" t="s">
        <v>106</v>
      </c>
      <c r="E95" s="81">
        <f>VLOOKUP(C95,'Master List'!A:G,5,FALSE)</f>
        <v>5</v>
      </c>
      <c r="F95" s="43">
        <f>VLOOKUP(C95,'2022-002-bottles_csv'!E:L,8,FALSE)</f>
        <v>0.26</v>
      </c>
      <c r="G95" s="218">
        <v>304</v>
      </c>
      <c r="H95" s="218">
        <v>10</v>
      </c>
      <c r="I95" s="218">
        <v>1</v>
      </c>
      <c r="J95" s="249">
        <v>21175.15</v>
      </c>
      <c r="K95" s="249">
        <v>13146.61</v>
      </c>
      <c r="L95" s="249">
        <v>305.45999999999998</v>
      </c>
      <c r="M95" s="249">
        <v>318.69</v>
      </c>
      <c r="N95" s="250">
        <f t="shared" si="10"/>
        <v>20869.690000000002</v>
      </c>
      <c r="O95" s="250">
        <f t="shared" si="11"/>
        <v>12827.92</v>
      </c>
      <c r="P95" s="95">
        <f t="shared" si="12"/>
        <v>0.43949691483024173</v>
      </c>
      <c r="Q95" s="95">
        <f t="shared" si="13"/>
        <v>0.16272088740844232</v>
      </c>
      <c r="R95" s="133">
        <f t="shared" si="14"/>
        <v>1.6268958646452427</v>
      </c>
      <c r="S95" s="221"/>
      <c r="T95" s="85">
        <v>306</v>
      </c>
    </row>
    <row r="96" spans="1:20" s="60" customFormat="1">
      <c r="A96" s="219">
        <v>44750</v>
      </c>
      <c r="B96" s="81" t="str">
        <f>VLOOKUP(C96,'Master List'!A:C,3,FALSE)</f>
        <v>50-138</v>
      </c>
      <c r="C96" s="120">
        <v>144</v>
      </c>
      <c r="D96" s="78" t="s">
        <v>105</v>
      </c>
      <c r="E96" s="81">
        <f>VLOOKUP(C96,'Master List'!A:G,5,FALSE)</f>
        <v>150</v>
      </c>
      <c r="F96" s="43">
        <f>VLOOKUP(C96,'2022-002-bottles_csv'!E:L,8,FALSE)</f>
        <v>0.06</v>
      </c>
      <c r="G96" s="218">
        <v>304</v>
      </c>
      <c r="H96" s="218">
        <v>10</v>
      </c>
      <c r="I96" s="218">
        <v>1</v>
      </c>
      <c r="J96" s="249">
        <v>2241.27</v>
      </c>
      <c r="K96" s="249">
        <v>1889.77</v>
      </c>
      <c r="L96" s="249">
        <v>252.94</v>
      </c>
      <c r="M96" s="249">
        <v>262.98</v>
      </c>
      <c r="N96" s="250">
        <f t="shared" si="10"/>
        <v>1988.33</v>
      </c>
      <c r="O96" s="250">
        <f t="shared" si="11"/>
        <v>1626.79</v>
      </c>
      <c r="P96" s="95">
        <f t="shared" si="12"/>
        <v>1.9758798695775376E-2</v>
      </c>
      <c r="Q96" s="95">
        <f t="shared" si="13"/>
        <v>5.6612265241625916E-2</v>
      </c>
      <c r="R96" s="133">
        <f t="shared" si="14"/>
        <v>1.2222413464552893</v>
      </c>
      <c r="S96" s="221"/>
      <c r="T96" s="85">
        <v>134</v>
      </c>
    </row>
    <row r="97" spans="1:20" s="60" customFormat="1">
      <c r="A97" s="219">
        <v>44756</v>
      </c>
      <c r="B97" s="81" t="str">
        <f>VLOOKUP(C97,'Master List'!A:C,3,FALSE)</f>
        <v>50-138</v>
      </c>
      <c r="C97" s="120">
        <v>144</v>
      </c>
      <c r="D97" s="78" t="s">
        <v>106</v>
      </c>
      <c r="E97" s="81">
        <f>VLOOKUP(C97,'Master List'!A:G,5,FALSE)</f>
        <v>150</v>
      </c>
      <c r="F97" s="43">
        <f>VLOOKUP(C97,'2022-002-bottles_csv'!E:L,8,FALSE)</f>
        <v>0.06</v>
      </c>
      <c r="G97" s="218">
        <v>304</v>
      </c>
      <c r="H97" s="218">
        <v>10</v>
      </c>
      <c r="I97" s="218">
        <v>1</v>
      </c>
      <c r="J97" s="249">
        <v>2200.11</v>
      </c>
      <c r="K97" s="249">
        <v>1857.66</v>
      </c>
      <c r="L97" s="249">
        <v>332.16</v>
      </c>
      <c r="M97" s="249">
        <v>344.15</v>
      </c>
      <c r="N97" s="250">
        <f t="shared" si="10"/>
        <v>1867.95</v>
      </c>
      <c r="O97" s="250">
        <f t="shared" si="11"/>
        <v>1513.5100000000002</v>
      </c>
      <c r="P97" s="95">
        <f t="shared" si="12"/>
        <v>1.9370771172569072E-2</v>
      </c>
      <c r="Q97" s="95">
        <f t="shared" si="13"/>
        <v>5.1682265162726969E-2</v>
      </c>
      <c r="R97" s="133">
        <f t="shared" si="14"/>
        <v>1.234184115070267</v>
      </c>
      <c r="S97" s="221"/>
      <c r="T97" s="85">
        <v>241</v>
      </c>
    </row>
    <row r="98" spans="1:20" s="60" customFormat="1">
      <c r="A98" s="219">
        <v>44750</v>
      </c>
      <c r="B98" s="81" t="str">
        <f>VLOOKUP(C98,'Master List'!A:C,3,FALSE)</f>
        <v>50-138</v>
      </c>
      <c r="C98" s="120">
        <v>148</v>
      </c>
      <c r="D98" s="78" t="s">
        <v>105</v>
      </c>
      <c r="E98" s="81">
        <f>VLOOKUP(C98,'Master List'!A:G,5,FALSE)</f>
        <v>100</v>
      </c>
      <c r="F98" s="43">
        <f>VLOOKUP(C98,'2022-002-bottles_csv'!E:L,8,FALSE)</f>
        <v>0.09</v>
      </c>
      <c r="G98" s="218">
        <v>304</v>
      </c>
      <c r="H98" s="218">
        <v>10</v>
      </c>
      <c r="I98" s="218">
        <v>1</v>
      </c>
      <c r="J98" s="249">
        <v>7937.67</v>
      </c>
      <c r="K98" s="249">
        <v>5610.33</v>
      </c>
      <c r="L98" s="249">
        <v>252.94</v>
      </c>
      <c r="M98" s="249">
        <v>262.98</v>
      </c>
      <c r="N98" s="250">
        <f t="shared" si="10"/>
        <v>7684.7300000000005</v>
      </c>
      <c r="O98" s="250">
        <f t="shared" si="11"/>
        <v>5347.35</v>
      </c>
      <c r="P98" s="95">
        <f t="shared" si="12"/>
        <v>0.1277419397453434</v>
      </c>
      <c r="Q98" s="95">
        <f t="shared" si="13"/>
        <v>0.12329403216600521</v>
      </c>
      <c r="R98" s="133">
        <f t="shared" si="14"/>
        <v>1.4371099703591499</v>
      </c>
      <c r="S98" s="221"/>
      <c r="T98" s="85">
        <v>137</v>
      </c>
    </row>
    <row r="99" spans="1:20" s="60" customFormat="1">
      <c r="A99" s="219">
        <v>44761</v>
      </c>
      <c r="B99" s="81" t="str">
        <f>VLOOKUP(C99,'Master List'!A:C,3,FALSE)</f>
        <v>50-138</v>
      </c>
      <c r="C99" s="120">
        <v>148</v>
      </c>
      <c r="D99" s="78" t="s">
        <v>106</v>
      </c>
      <c r="E99" s="81">
        <f>VLOOKUP(C99,'Master List'!A:G,5,FALSE)</f>
        <v>100</v>
      </c>
      <c r="F99" s="43">
        <f>VLOOKUP(C99,'2022-002-bottles_csv'!E:L,8,FALSE)</f>
        <v>0.09</v>
      </c>
      <c r="G99" s="218">
        <v>304</v>
      </c>
      <c r="H99" s="218">
        <v>10</v>
      </c>
      <c r="I99" s="218">
        <v>1</v>
      </c>
      <c r="J99" s="249">
        <v>7058.17</v>
      </c>
      <c r="K99" s="249">
        <v>4939.25</v>
      </c>
      <c r="L99" s="249">
        <v>334.87</v>
      </c>
      <c r="M99" s="249">
        <v>333.82</v>
      </c>
      <c r="N99" s="250">
        <f t="shared" si="10"/>
        <v>6723.3</v>
      </c>
      <c r="O99" s="250">
        <f t="shared" si="11"/>
        <v>4605.43</v>
      </c>
      <c r="P99" s="95">
        <f t="shared" si="12"/>
        <v>0.11574533106660893</v>
      </c>
      <c r="Q99" s="95">
        <f t="shared" si="13"/>
        <v>0.10046056458631865</v>
      </c>
      <c r="R99" s="133">
        <f t="shared" si="14"/>
        <v>1.4598636826528684</v>
      </c>
      <c r="S99" s="221"/>
      <c r="T99" s="85">
        <v>402</v>
      </c>
    </row>
    <row r="100" spans="1:20" s="60" customFormat="1">
      <c r="A100" s="219">
        <v>44750</v>
      </c>
      <c r="B100" s="81" t="str">
        <f>VLOOKUP(C100,'Master List'!A:C,3,FALSE)</f>
        <v>50-138</v>
      </c>
      <c r="C100" s="120">
        <v>149</v>
      </c>
      <c r="D100" s="78" t="s">
        <v>105</v>
      </c>
      <c r="E100" s="81">
        <f>VLOOKUP(C100,'Master List'!A:G,5,FALSE)</f>
        <v>75</v>
      </c>
      <c r="F100" s="43">
        <f>VLOOKUP(C100,'2022-002-bottles_csv'!E:L,8,FALSE)</f>
        <v>0.15</v>
      </c>
      <c r="G100" s="218">
        <v>304</v>
      </c>
      <c r="H100" s="218">
        <v>10</v>
      </c>
      <c r="I100" s="218">
        <v>1</v>
      </c>
      <c r="J100" s="249">
        <v>15683.64</v>
      </c>
      <c r="K100" s="249">
        <v>10226</v>
      </c>
      <c r="L100" s="249">
        <v>252.94</v>
      </c>
      <c r="M100" s="249">
        <v>262.98</v>
      </c>
      <c r="N100" s="250">
        <f t="shared" si="10"/>
        <v>15430.699999999999</v>
      </c>
      <c r="O100" s="250">
        <f t="shared" si="11"/>
        <v>9963.02</v>
      </c>
      <c r="P100" s="95">
        <f t="shared" si="12"/>
        <v>0.29881835606825552</v>
      </c>
      <c r="Q100" s="95">
        <f t="shared" si="13"/>
        <v>0.16890423715496811</v>
      </c>
      <c r="R100" s="133">
        <f t="shared" si="14"/>
        <v>1.5487974529811239</v>
      </c>
      <c r="S100" s="221"/>
      <c r="T100" s="85">
        <v>143</v>
      </c>
    </row>
    <row r="101" spans="1:20" s="60" customFormat="1">
      <c r="A101" s="219">
        <v>44756</v>
      </c>
      <c r="B101" s="81" t="str">
        <f>VLOOKUP(C101,'Master List'!A:C,3,FALSE)</f>
        <v>50-138</v>
      </c>
      <c r="C101" s="120">
        <v>149</v>
      </c>
      <c r="D101" s="78" t="s">
        <v>106</v>
      </c>
      <c r="E101" s="81">
        <f>VLOOKUP(C101,'Master List'!A:G,5,FALSE)</f>
        <v>75</v>
      </c>
      <c r="F101" s="43">
        <f>VLOOKUP(C101,'2022-002-bottles_csv'!E:L,8,FALSE)</f>
        <v>0.15</v>
      </c>
      <c r="G101" s="218">
        <v>304</v>
      </c>
      <c r="H101" s="218">
        <v>10</v>
      </c>
      <c r="I101" s="218">
        <v>1</v>
      </c>
      <c r="J101" s="249">
        <v>14042.18</v>
      </c>
      <c r="K101" s="249">
        <v>9081.67</v>
      </c>
      <c r="L101" s="249">
        <v>332.16</v>
      </c>
      <c r="M101" s="249">
        <v>344.15</v>
      </c>
      <c r="N101" s="250">
        <f t="shared" si="10"/>
        <v>13710.02</v>
      </c>
      <c r="O101" s="250">
        <f t="shared" si="11"/>
        <v>8737.52</v>
      </c>
      <c r="P101" s="95">
        <f t="shared" si="12"/>
        <v>0.27175589565398872</v>
      </c>
      <c r="Q101" s="95">
        <f t="shared" si="13"/>
        <v>0.13843453985048493</v>
      </c>
      <c r="R101" s="133">
        <f t="shared" si="14"/>
        <v>1.5690974097913366</v>
      </c>
      <c r="S101" s="221"/>
      <c r="T101" s="85">
        <v>254</v>
      </c>
    </row>
    <row r="102" spans="1:20" s="60" customFormat="1">
      <c r="A102" s="219">
        <v>44750</v>
      </c>
      <c r="B102" s="81" t="str">
        <f>VLOOKUP(C102,'Master List'!A:C,3,FALSE)</f>
        <v>50-138</v>
      </c>
      <c r="C102" s="120">
        <v>152</v>
      </c>
      <c r="D102" s="78" t="s">
        <v>105</v>
      </c>
      <c r="E102" s="81">
        <f>VLOOKUP(C102,'Master List'!A:G,5,FALSE)</f>
        <v>50</v>
      </c>
      <c r="F102" s="43">
        <f>VLOOKUP(C102,'2022-002-bottles_csv'!E:L,8,FALSE)</f>
        <v>0.2</v>
      </c>
      <c r="G102" s="218">
        <v>304</v>
      </c>
      <c r="H102" s="218">
        <v>10</v>
      </c>
      <c r="I102" s="218">
        <v>1</v>
      </c>
      <c r="J102" s="249">
        <v>20829.36</v>
      </c>
      <c r="K102" s="249">
        <v>13319.98</v>
      </c>
      <c r="L102" s="249">
        <v>305.14</v>
      </c>
      <c r="M102" s="249">
        <v>306.41000000000003</v>
      </c>
      <c r="N102" s="250">
        <f t="shared" si="10"/>
        <v>20524.22</v>
      </c>
      <c r="O102" s="250">
        <f t="shared" si="11"/>
        <v>13013.57</v>
      </c>
      <c r="P102" s="95">
        <f t="shared" si="12"/>
        <v>0.41047027002385733</v>
      </c>
      <c r="Q102" s="95">
        <f t="shared" si="13"/>
        <v>0.20046303207650451</v>
      </c>
      <c r="R102" s="133">
        <f t="shared" si="14"/>
        <v>1.5771398624666406</v>
      </c>
      <c r="S102" s="221"/>
      <c r="T102" s="85">
        <v>111</v>
      </c>
    </row>
    <row r="103" spans="1:20" s="60" customFormat="1">
      <c r="A103" s="219">
        <v>44756</v>
      </c>
      <c r="B103" s="81" t="str">
        <f>VLOOKUP(C103,'Master List'!A:C,3,FALSE)</f>
        <v>50-138</v>
      </c>
      <c r="C103" s="120">
        <v>152</v>
      </c>
      <c r="D103" s="78" t="s">
        <v>106</v>
      </c>
      <c r="E103" s="81">
        <f>VLOOKUP(C103,'Master List'!A:G,5,FALSE)</f>
        <v>50</v>
      </c>
      <c r="F103" s="43">
        <f>VLOOKUP(C103,'2022-002-bottles_csv'!E:L,8,FALSE)</f>
        <v>0.2</v>
      </c>
      <c r="G103" s="218">
        <v>304</v>
      </c>
      <c r="H103" s="218">
        <v>10</v>
      </c>
      <c r="I103" s="218">
        <v>1</v>
      </c>
      <c r="J103" s="249">
        <v>20190.240000000002</v>
      </c>
      <c r="K103" s="249">
        <v>12810.39</v>
      </c>
      <c r="L103" s="249">
        <v>332.16</v>
      </c>
      <c r="M103" s="249">
        <v>344.15</v>
      </c>
      <c r="N103" s="250">
        <f t="shared" si="10"/>
        <v>19858.080000000002</v>
      </c>
      <c r="O103" s="250">
        <f t="shared" si="11"/>
        <v>12466.24</v>
      </c>
      <c r="P103" s="95">
        <f t="shared" si="12"/>
        <v>0.40397709396299247</v>
      </c>
      <c r="Q103" s="95">
        <f t="shared" si="13"/>
        <v>0.1812613277749022</v>
      </c>
      <c r="R103" s="133">
        <f t="shared" si="14"/>
        <v>1.5929486356752318</v>
      </c>
      <c r="S103" s="221"/>
      <c r="T103" s="85">
        <v>243</v>
      </c>
    </row>
    <row r="104" spans="1:20" s="60" customFormat="1">
      <c r="A104" s="219">
        <v>44750</v>
      </c>
      <c r="B104" s="81" t="str">
        <f>VLOOKUP(C104,'Master List'!A:C,3,FALSE)</f>
        <v>50-138</v>
      </c>
      <c r="C104" s="120">
        <v>154</v>
      </c>
      <c r="D104" s="78" t="s">
        <v>105</v>
      </c>
      <c r="E104" s="81">
        <f>VLOOKUP(C104,'Master List'!A:G,5,FALSE)</f>
        <v>25</v>
      </c>
      <c r="F104" s="43">
        <f>VLOOKUP(C104,'2022-002-bottles_csv'!E:L,8,FALSE)</f>
        <v>0.23</v>
      </c>
      <c r="G104" s="218">
        <v>304</v>
      </c>
      <c r="H104" s="218">
        <v>10</v>
      </c>
      <c r="I104" s="218">
        <v>1</v>
      </c>
      <c r="J104" s="249">
        <v>19532.62</v>
      </c>
      <c r="K104" s="249">
        <v>11847.6</v>
      </c>
      <c r="L104" s="249">
        <v>305.14</v>
      </c>
      <c r="M104" s="249">
        <v>306.41000000000003</v>
      </c>
      <c r="N104" s="250">
        <f t="shared" si="10"/>
        <v>19227.48</v>
      </c>
      <c r="O104" s="250">
        <f t="shared" si="11"/>
        <v>11541.19</v>
      </c>
      <c r="P104" s="95">
        <f t="shared" si="12"/>
        <v>0.42006930582328739</v>
      </c>
      <c r="Q104" s="95">
        <f t="shared" si="13"/>
        <v>0.12174184337464027</v>
      </c>
      <c r="R104" s="133">
        <f t="shared" si="14"/>
        <v>1.6659876494538257</v>
      </c>
      <c r="S104" s="221"/>
      <c r="T104" s="85">
        <v>113</v>
      </c>
    </row>
    <row r="105" spans="1:20" s="60" customFormat="1">
      <c r="A105" s="219">
        <v>44761</v>
      </c>
      <c r="B105" s="81" t="str">
        <f>VLOOKUP(C105,'Master List'!A:C,3,FALSE)</f>
        <v>50-138</v>
      </c>
      <c r="C105" s="120">
        <v>154</v>
      </c>
      <c r="D105" s="78" t="s">
        <v>106</v>
      </c>
      <c r="E105" s="81">
        <f>VLOOKUP(C105,'Master List'!A:G,5,FALSE)</f>
        <v>25</v>
      </c>
      <c r="F105" s="43">
        <f>VLOOKUP(C105,'2022-002-bottles_csv'!E:L,8,FALSE)</f>
        <v>0.23</v>
      </c>
      <c r="G105" s="218">
        <v>304</v>
      </c>
      <c r="H105" s="218">
        <v>10</v>
      </c>
      <c r="I105" s="218">
        <v>1</v>
      </c>
      <c r="J105" s="249">
        <v>19366.16</v>
      </c>
      <c r="K105" s="249">
        <v>12126.62</v>
      </c>
      <c r="L105" s="249">
        <v>345.92</v>
      </c>
      <c r="M105" s="249">
        <v>349.76</v>
      </c>
      <c r="N105" s="250">
        <f t="shared" si="10"/>
        <v>19020.240000000002</v>
      </c>
      <c r="O105" s="250">
        <f t="shared" si="11"/>
        <v>11776.86</v>
      </c>
      <c r="P105" s="95">
        <f t="shared" si="12"/>
        <v>0.39586349310451258</v>
      </c>
      <c r="Q105" s="95">
        <f t="shared" si="13"/>
        <v>0.15701138812897417</v>
      </c>
      <c r="R105" s="133">
        <f t="shared" si="14"/>
        <v>1.6150518898925521</v>
      </c>
      <c r="S105" s="221"/>
      <c r="T105" s="85">
        <v>358</v>
      </c>
    </row>
    <row r="106" spans="1:20" s="60" customFormat="1">
      <c r="A106" s="219">
        <v>44750</v>
      </c>
      <c r="B106" s="81" t="str">
        <f>VLOOKUP(C106,'Master List'!A:C,3,FALSE)</f>
        <v>50-138</v>
      </c>
      <c r="C106" s="120">
        <v>160</v>
      </c>
      <c r="D106" s="78" t="s">
        <v>105</v>
      </c>
      <c r="E106" s="81">
        <f>VLOOKUP(C106,'Master List'!A:G,5,FALSE)</f>
        <v>5</v>
      </c>
      <c r="F106" s="43">
        <f>VLOOKUP(C106,'2022-002-bottles_csv'!E:L,8,FALSE)</f>
        <v>0.26</v>
      </c>
      <c r="G106" s="218">
        <v>304</v>
      </c>
      <c r="H106" s="218">
        <v>10</v>
      </c>
      <c r="I106" s="218">
        <v>1</v>
      </c>
      <c r="J106" s="249">
        <v>21085.32</v>
      </c>
      <c r="K106" s="249">
        <v>13893.61</v>
      </c>
      <c r="L106" s="249">
        <v>252.94</v>
      </c>
      <c r="M106" s="249">
        <v>262.98</v>
      </c>
      <c r="N106" s="250">
        <f t="shared" si="10"/>
        <v>20832.38</v>
      </c>
      <c r="O106" s="250">
        <f t="shared" si="11"/>
        <v>13630.630000000001</v>
      </c>
      <c r="P106" s="95">
        <f t="shared" si="12"/>
        <v>0.39358834017619165</v>
      </c>
      <c r="Q106" s="95">
        <f t="shared" si="13"/>
        <v>0.24631337746226231</v>
      </c>
      <c r="R106" s="133">
        <f t="shared" si="14"/>
        <v>1.5283504871014766</v>
      </c>
      <c r="S106" s="221"/>
      <c r="T106" s="85">
        <v>121</v>
      </c>
    </row>
    <row r="107" spans="1:20" s="60" customFormat="1">
      <c r="A107" s="219">
        <v>44755</v>
      </c>
      <c r="B107" s="81" t="str">
        <f>VLOOKUP(C107,'Master List'!A:C,3,FALSE)</f>
        <v>50-138</v>
      </c>
      <c r="C107" s="120">
        <v>160</v>
      </c>
      <c r="D107" s="78" t="s">
        <v>106</v>
      </c>
      <c r="E107" s="81">
        <f>VLOOKUP(C107,'Master List'!A:G,5,FALSE)</f>
        <v>5</v>
      </c>
      <c r="F107" s="43">
        <f>VLOOKUP(C107,'2022-002-bottles_csv'!E:L,8,FALSE)</f>
        <v>0.26</v>
      </c>
      <c r="G107" s="218">
        <v>304</v>
      </c>
      <c r="H107" s="218">
        <v>10</v>
      </c>
      <c r="I107" s="218">
        <v>1</v>
      </c>
      <c r="J107" s="249">
        <v>24462.81</v>
      </c>
      <c r="K107" s="249">
        <v>17264.13</v>
      </c>
      <c r="L107" s="249">
        <v>332.42</v>
      </c>
      <c r="M107" s="249">
        <v>348.04</v>
      </c>
      <c r="N107" s="250">
        <f t="shared" si="10"/>
        <v>24130.390000000003</v>
      </c>
      <c r="O107" s="250">
        <f t="shared" si="11"/>
        <v>16916.09</v>
      </c>
      <c r="P107" s="95">
        <f t="shared" si="12"/>
        <v>0.39427421981228183</v>
      </c>
      <c r="Q107" s="95">
        <f t="shared" si="13"/>
        <v>0.39986625988136942</v>
      </c>
      <c r="R107" s="133">
        <f t="shared" si="14"/>
        <v>1.4264756217305536</v>
      </c>
      <c r="S107" s="221"/>
      <c r="T107" s="85">
        <v>237</v>
      </c>
    </row>
    <row r="108" spans="1:20" s="60" customFormat="1">
      <c r="A108" s="219">
        <v>44748</v>
      </c>
      <c r="B108" s="81" t="str">
        <f>VLOOKUP(C108,'Master List'!A:C,3,FALSE)</f>
        <v>50-141</v>
      </c>
      <c r="C108" s="120">
        <v>164</v>
      </c>
      <c r="D108" s="78" t="s">
        <v>105</v>
      </c>
      <c r="E108" s="81">
        <f>VLOOKUP(C108,'Master List'!A:G,5,FALSE)</f>
        <v>150</v>
      </c>
      <c r="F108" s="43">
        <f>VLOOKUP(C108,'2022-002-bottles_csv'!E:L,8,FALSE)</f>
        <v>0.06</v>
      </c>
      <c r="G108" s="218">
        <v>304</v>
      </c>
      <c r="H108" s="218">
        <v>10</v>
      </c>
      <c r="I108" s="218">
        <v>1</v>
      </c>
      <c r="J108" s="249">
        <v>2226.34</v>
      </c>
      <c r="K108" s="249">
        <v>1926.09</v>
      </c>
      <c r="L108" s="249">
        <v>307.91000000000003</v>
      </c>
      <c r="M108" s="249">
        <v>311.38</v>
      </c>
      <c r="N108" s="250">
        <f t="shared" si="10"/>
        <v>1918.43</v>
      </c>
      <c r="O108" s="250">
        <f t="shared" si="11"/>
        <v>1614.71</v>
      </c>
      <c r="P108" s="95">
        <f t="shared" si="12"/>
        <v>1.6598833711016479E-2</v>
      </c>
      <c r="Q108" s="95">
        <f t="shared" si="13"/>
        <v>5.9205124175595356E-2</v>
      </c>
      <c r="R108" s="133">
        <f t="shared" si="14"/>
        <v>1.1880956952022346</v>
      </c>
      <c r="S108" s="221"/>
      <c r="T108" s="85">
        <v>7</v>
      </c>
    </row>
    <row r="109" spans="1:20" s="60" customFormat="1">
      <c r="A109" s="219">
        <v>44757</v>
      </c>
      <c r="B109" s="81" t="str">
        <f>VLOOKUP(C109,'Master List'!A:C,3,FALSE)</f>
        <v>50-141</v>
      </c>
      <c r="C109" s="120">
        <v>164</v>
      </c>
      <c r="D109" s="78" t="s">
        <v>106</v>
      </c>
      <c r="E109" s="81">
        <f>VLOOKUP(C109,'Master List'!A:G,5,FALSE)</f>
        <v>150</v>
      </c>
      <c r="F109" s="43">
        <f>VLOOKUP(C109,'2022-002-bottles_csv'!E:L,8,FALSE)</f>
        <v>0.06</v>
      </c>
      <c r="G109" s="218">
        <v>304</v>
      </c>
      <c r="H109" s="218">
        <v>10</v>
      </c>
      <c r="I109" s="218">
        <v>1</v>
      </c>
      <c r="J109" s="249">
        <v>2155.88</v>
      </c>
      <c r="K109" s="249">
        <v>1852.94</v>
      </c>
      <c r="L109" s="249">
        <v>305.45999999999998</v>
      </c>
      <c r="M109" s="249">
        <v>318.69</v>
      </c>
      <c r="N109" s="250">
        <f t="shared" si="10"/>
        <v>1850.42</v>
      </c>
      <c r="O109" s="250">
        <f t="shared" si="11"/>
        <v>1534.25</v>
      </c>
      <c r="P109" s="95">
        <f t="shared" si="12"/>
        <v>1.7279248170723301E-2</v>
      </c>
      <c r="Q109" s="95">
        <f t="shared" si="13"/>
        <v>5.4747445407401674E-2</v>
      </c>
      <c r="R109" s="133">
        <f t="shared" si="14"/>
        <v>1.2060746292977025</v>
      </c>
      <c r="S109" s="221"/>
      <c r="T109" s="85">
        <v>289</v>
      </c>
    </row>
    <row r="110" spans="1:20" s="60" customFormat="1">
      <c r="A110" s="219">
        <v>44748</v>
      </c>
      <c r="B110" s="81" t="str">
        <f>VLOOKUP(C110,'Master List'!A:C,3,FALSE)</f>
        <v>50-141</v>
      </c>
      <c r="C110" s="120">
        <v>168</v>
      </c>
      <c r="D110" s="78" t="s">
        <v>105</v>
      </c>
      <c r="E110" s="81">
        <f>VLOOKUP(C110,'Master List'!A:G,5,FALSE)</f>
        <v>100</v>
      </c>
      <c r="F110" s="43">
        <f>VLOOKUP(C110,'2022-002-bottles_csv'!E:L,8,FALSE)</f>
        <v>0.08</v>
      </c>
      <c r="G110" s="218">
        <v>304</v>
      </c>
      <c r="H110" s="218">
        <v>10</v>
      </c>
      <c r="I110" s="218">
        <v>1</v>
      </c>
      <c r="J110" s="249">
        <v>5634.21</v>
      </c>
      <c r="K110" s="249">
        <v>3987.26</v>
      </c>
      <c r="L110" s="249">
        <v>307.91000000000003</v>
      </c>
      <c r="M110" s="249">
        <v>311.38</v>
      </c>
      <c r="N110" s="250">
        <f t="shared" si="10"/>
        <v>5326.3</v>
      </c>
      <c r="O110" s="250">
        <f t="shared" si="11"/>
        <v>3675.88</v>
      </c>
      <c r="P110" s="95">
        <f t="shared" si="12"/>
        <v>9.0198364063399913E-2</v>
      </c>
      <c r="Q110" s="95">
        <f t="shared" si="13"/>
        <v>8.2369002656468501E-2</v>
      </c>
      <c r="R110" s="133">
        <f t="shared" si="14"/>
        <v>1.4489863651697008</v>
      </c>
      <c r="S110" s="221"/>
      <c r="T110" s="85">
        <v>5</v>
      </c>
    </row>
    <row r="111" spans="1:20" s="60" customFormat="1">
      <c r="A111" s="219">
        <v>44756</v>
      </c>
      <c r="B111" s="81" t="str">
        <f>VLOOKUP(C111,'Master List'!A:C,3,FALSE)</f>
        <v>50-141</v>
      </c>
      <c r="C111" s="120">
        <v>168</v>
      </c>
      <c r="D111" s="78" t="s">
        <v>106</v>
      </c>
      <c r="E111" s="81">
        <f>VLOOKUP(C111,'Master List'!A:G,5,FALSE)</f>
        <v>100</v>
      </c>
      <c r="F111" s="43">
        <f>VLOOKUP(C111,'2022-002-bottles_csv'!E:L,8,FALSE)</f>
        <v>0.08</v>
      </c>
      <c r="G111" s="218">
        <v>304</v>
      </c>
      <c r="H111" s="218">
        <v>10</v>
      </c>
      <c r="I111" s="218">
        <v>1</v>
      </c>
      <c r="J111" s="249">
        <v>5627.09</v>
      </c>
      <c r="K111" s="249">
        <v>4331.33</v>
      </c>
      <c r="L111" s="249">
        <v>332.16</v>
      </c>
      <c r="M111" s="249">
        <v>344.15</v>
      </c>
      <c r="N111" s="250">
        <f t="shared" si="10"/>
        <v>5294.93</v>
      </c>
      <c r="O111" s="250">
        <f t="shared" si="11"/>
        <v>3987.18</v>
      </c>
      <c r="P111" s="95">
        <f t="shared" si="12"/>
        <v>7.1470844151131988E-2</v>
      </c>
      <c r="Q111" s="95">
        <f t="shared" si="13"/>
        <v>0.11571077038419689</v>
      </c>
      <c r="R111" s="133">
        <f t="shared" si="14"/>
        <v>1.3279887037956652</v>
      </c>
      <c r="S111" s="221"/>
      <c r="T111" s="85">
        <v>253</v>
      </c>
    </row>
    <row r="112" spans="1:20" s="60" customFormat="1">
      <c r="A112" s="219">
        <v>44748</v>
      </c>
      <c r="B112" s="81" t="str">
        <f>VLOOKUP(C112,'Master List'!A:C,3,FALSE)</f>
        <v>50-141</v>
      </c>
      <c r="C112" s="120">
        <v>169</v>
      </c>
      <c r="D112" s="78" t="s">
        <v>105</v>
      </c>
      <c r="E112" s="81">
        <f>VLOOKUP(C112,'Master List'!A:G,5,FALSE)</f>
        <v>75</v>
      </c>
      <c r="F112" s="43">
        <f>VLOOKUP(C112,'2022-002-bottles_csv'!E:L,8,FALSE)</f>
        <v>0.14000000000000001</v>
      </c>
      <c r="G112" s="218">
        <v>304</v>
      </c>
      <c r="H112" s="218">
        <v>10</v>
      </c>
      <c r="I112" s="218">
        <v>1</v>
      </c>
      <c r="J112" s="249">
        <v>13795.13</v>
      </c>
      <c r="K112" s="249">
        <v>9096.41</v>
      </c>
      <c r="L112" s="249">
        <v>307.91000000000003</v>
      </c>
      <c r="M112" s="249">
        <v>311.38</v>
      </c>
      <c r="N112" s="250">
        <f t="shared" si="10"/>
        <v>13487.22</v>
      </c>
      <c r="O112" s="250">
        <f t="shared" si="11"/>
        <v>8785.0300000000007</v>
      </c>
      <c r="P112" s="95">
        <f t="shared" si="12"/>
        <v>0.25698297737259501</v>
      </c>
      <c r="Q112" s="95">
        <f t="shared" si="13"/>
        <v>0.15543785618427994</v>
      </c>
      <c r="R112" s="133">
        <f t="shared" si="14"/>
        <v>1.5352503064872856</v>
      </c>
      <c r="S112" s="221"/>
      <c r="T112" s="85">
        <v>16</v>
      </c>
    </row>
    <row r="113" spans="1:20" s="60" customFormat="1">
      <c r="A113" s="219">
        <v>44761</v>
      </c>
      <c r="B113" s="81" t="str">
        <f>VLOOKUP(C113,'Master List'!A:C,3,FALSE)</f>
        <v>50-141</v>
      </c>
      <c r="C113" s="120">
        <v>169</v>
      </c>
      <c r="D113" s="78" t="s">
        <v>106</v>
      </c>
      <c r="E113" s="81">
        <f>VLOOKUP(C113,'Master List'!A:G,5,FALSE)</f>
        <v>75</v>
      </c>
      <c r="F113" s="43">
        <f>VLOOKUP(C113,'2022-002-bottles_csv'!E:L,8,FALSE)</f>
        <v>0.14000000000000001</v>
      </c>
      <c r="G113" s="218">
        <v>304</v>
      </c>
      <c r="H113" s="218">
        <v>10</v>
      </c>
      <c r="I113" s="218">
        <v>1</v>
      </c>
      <c r="J113" s="249">
        <v>12870.46</v>
      </c>
      <c r="K113" s="249">
        <v>8508.93</v>
      </c>
      <c r="L113" s="249">
        <v>362.04</v>
      </c>
      <c r="M113" s="249">
        <v>363.93</v>
      </c>
      <c r="N113" s="250">
        <f t="shared" si="10"/>
        <v>12508.419999999998</v>
      </c>
      <c r="O113" s="250">
        <f t="shared" si="11"/>
        <v>8145</v>
      </c>
      <c r="P113" s="95">
        <f t="shared" si="12"/>
        <v>0.23846859933927134</v>
      </c>
      <c r="Q113" s="95">
        <f t="shared" si="13"/>
        <v>0.14390547215743912</v>
      </c>
      <c r="R113" s="133">
        <f t="shared" si="14"/>
        <v>1.5357176181706567</v>
      </c>
      <c r="S113" s="221"/>
      <c r="T113" s="85">
        <v>379</v>
      </c>
    </row>
    <row r="114" spans="1:20" s="60" customFormat="1">
      <c r="A114" s="219">
        <v>44750</v>
      </c>
      <c r="B114" s="81" t="str">
        <f>VLOOKUP(C114,'Master List'!A:C,3,FALSE)</f>
        <v>50-141</v>
      </c>
      <c r="C114" s="120">
        <v>172</v>
      </c>
      <c r="D114" s="78" t="s">
        <v>105</v>
      </c>
      <c r="E114" s="81">
        <f>VLOOKUP(C114,'Master List'!A:G,5,FALSE)</f>
        <v>50</v>
      </c>
      <c r="F114" s="43">
        <f>VLOOKUP(C114,'2022-002-bottles_csv'!E:L,8,FALSE)</f>
        <v>0.23</v>
      </c>
      <c r="G114" s="218">
        <v>304</v>
      </c>
      <c r="H114" s="218">
        <v>10</v>
      </c>
      <c r="I114" s="218">
        <v>1</v>
      </c>
      <c r="J114" s="249">
        <v>23039.68</v>
      </c>
      <c r="K114" s="249">
        <v>14355.31</v>
      </c>
      <c r="L114" s="249">
        <v>305.14</v>
      </c>
      <c r="M114" s="249">
        <v>306.41000000000003</v>
      </c>
      <c r="N114" s="250">
        <f t="shared" si="10"/>
        <v>22734.54</v>
      </c>
      <c r="O114" s="250">
        <f t="shared" si="11"/>
        <v>14048.9</v>
      </c>
      <c r="P114" s="95">
        <f t="shared" si="12"/>
        <v>0.4746855460086698</v>
      </c>
      <c r="Q114" s="95">
        <f t="shared" si="13"/>
        <v>0.18485221863836959</v>
      </c>
      <c r="R114" s="133">
        <f t="shared" si="14"/>
        <v>1.6182434211931185</v>
      </c>
      <c r="S114" s="221"/>
      <c r="T114" s="85">
        <v>115</v>
      </c>
    </row>
    <row r="115" spans="1:20" s="60" customFormat="1">
      <c r="A115" s="219">
        <v>44757</v>
      </c>
      <c r="B115" s="81" t="str">
        <f>VLOOKUP(C115,'Master List'!A:C,3,FALSE)</f>
        <v>50-141</v>
      </c>
      <c r="C115" s="120">
        <v>172</v>
      </c>
      <c r="D115" s="78" t="s">
        <v>106</v>
      </c>
      <c r="E115" s="81">
        <f>VLOOKUP(C115,'Master List'!A:G,5,FALSE)</f>
        <v>50</v>
      </c>
      <c r="F115" s="43">
        <f>VLOOKUP(C115,'2022-002-bottles_csv'!E:L,8,FALSE)</f>
        <v>0.23</v>
      </c>
      <c r="G115" s="218">
        <v>304</v>
      </c>
      <c r="H115" s="218">
        <v>10</v>
      </c>
      <c r="I115" s="218">
        <v>1</v>
      </c>
      <c r="J115" s="249">
        <v>21046.67</v>
      </c>
      <c r="K115" s="249">
        <v>13353.74</v>
      </c>
      <c r="L115" s="249">
        <v>305.45999999999998</v>
      </c>
      <c r="M115" s="249">
        <v>318.69</v>
      </c>
      <c r="N115" s="250">
        <f t="shared" si="10"/>
        <v>20741.21</v>
      </c>
      <c r="O115" s="250">
        <f t="shared" si="11"/>
        <v>13035.05</v>
      </c>
      <c r="P115" s="95">
        <f t="shared" si="12"/>
        <v>0.42115523637062668</v>
      </c>
      <c r="Q115" s="95">
        <f t="shared" si="13"/>
        <v>0.19078646291276122</v>
      </c>
      <c r="R115" s="133">
        <f t="shared" si="14"/>
        <v>1.5911876057245657</v>
      </c>
      <c r="S115" s="221"/>
      <c r="T115" s="85">
        <v>300</v>
      </c>
    </row>
    <row r="116" spans="1:20" s="60" customFormat="1">
      <c r="A116" s="219">
        <v>44750</v>
      </c>
      <c r="B116" s="81" t="str">
        <f>VLOOKUP(C116,'Master List'!A:C,3,FALSE)</f>
        <v>50-141</v>
      </c>
      <c r="C116" s="120">
        <v>174</v>
      </c>
      <c r="D116" s="78" t="s">
        <v>105</v>
      </c>
      <c r="E116" s="81">
        <f>VLOOKUP(C116,'Master List'!A:G,5,FALSE)</f>
        <v>25</v>
      </c>
      <c r="F116" s="43">
        <f>VLOOKUP(C116,'2022-002-bottles_csv'!E:L,8,FALSE)</f>
        <v>0.24</v>
      </c>
      <c r="G116" s="218">
        <v>304</v>
      </c>
      <c r="H116" s="218">
        <v>10</v>
      </c>
      <c r="I116" s="218">
        <v>1</v>
      </c>
      <c r="J116" s="249">
        <v>23115.59</v>
      </c>
      <c r="K116" s="249">
        <v>14738.44</v>
      </c>
      <c r="L116" s="249">
        <v>305.14</v>
      </c>
      <c r="M116" s="249">
        <v>306.41000000000003</v>
      </c>
      <c r="N116" s="250">
        <f t="shared" si="10"/>
        <v>22810.45</v>
      </c>
      <c r="O116" s="250">
        <f t="shared" si="11"/>
        <v>14432.03</v>
      </c>
      <c r="P116" s="95">
        <f t="shared" si="12"/>
        <v>0.45789543112424169</v>
      </c>
      <c r="Q116" s="95">
        <f t="shared" si="13"/>
        <v>0.21962870283065958</v>
      </c>
      <c r="R116" s="133">
        <f t="shared" si="14"/>
        <v>1.580543416276158</v>
      </c>
      <c r="S116" s="221"/>
      <c r="T116" s="85">
        <v>117</v>
      </c>
    </row>
    <row r="117" spans="1:20" s="60" customFormat="1">
      <c r="A117" s="219">
        <v>44757</v>
      </c>
      <c r="B117" s="81" t="str">
        <f>VLOOKUP(C117,'Master List'!A:C,3,FALSE)</f>
        <v>50-141</v>
      </c>
      <c r="C117" s="120">
        <v>174</v>
      </c>
      <c r="D117" s="78" t="s">
        <v>106</v>
      </c>
      <c r="E117" s="81">
        <f>VLOOKUP(C117,'Master List'!A:G,5,FALSE)</f>
        <v>25</v>
      </c>
      <c r="F117" s="43">
        <f>VLOOKUP(C117,'2022-002-bottles_csv'!E:L,8,FALSE)</f>
        <v>0.24</v>
      </c>
      <c r="G117" s="218">
        <v>304</v>
      </c>
      <c r="H117" s="218">
        <v>10</v>
      </c>
      <c r="I117" s="218">
        <v>1</v>
      </c>
      <c r="J117" s="249">
        <v>19913.28</v>
      </c>
      <c r="K117" s="249">
        <v>12358.88</v>
      </c>
      <c r="L117" s="249">
        <v>338.28</v>
      </c>
      <c r="M117" s="249">
        <v>338.2</v>
      </c>
      <c r="N117" s="250">
        <f t="shared" si="10"/>
        <v>19575</v>
      </c>
      <c r="O117" s="250">
        <f t="shared" si="11"/>
        <v>12020.679999999998</v>
      </c>
      <c r="P117" s="95">
        <f t="shared" si="12"/>
        <v>0.41285691255039519</v>
      </c>
      <c r="Q117" s="95">
        <f t="shared" si="13"/>
        <v>0.15146430951947301</v>
      </c>
      <c r="R117" s="133">
        <f t="shared" si="14"/>
        <v>1.6284436487786051</v>
      </c>
      <c r="S117" s="221"/>
      <c r="T117" s="85">
        <v>324</v>
      </c>
    </row>
    <row r="118" spans="1:20" s="60" customFormat="1">
      <c r="A118" s="219">
        <v>44748</v>
      </c>
      <c r="B118" s="81" t="str">
        <f>VLOOKUP(C118,'Master List'!A:C,3,FALSE)</f>
        <v>50-141</v>
      </c>
      <c r="C118" s="120">
        <v>180</v>
      </c>
      <c r="D118" s="78" t="s">
        <v>105</v>
      </c>
      <c r="E118" s="81">
        <f>VLOOKUP(C118,'Master List'!A:G,5,FALSE)</f>
        <v>5</v>
      </c>
      <c r="F118" s="43">
        <f>VLOOKUP(C118,'2022-002-bottles_csv'!E:L,8,FALSE)</f>
        <v>0.21</v>
      </c>
      <c r="G118" s="218">
        <v>304</v>
      </c>
      <c r="H118" s="218">
        <v>10</v>
      </c>
      <c r="I118" s="218">
        <v>1</v>
      </c>
      <c r="J118" s="249">
        <v>22389.56</v>
      </c>
      <c r="K118" s="249">
        <v>13663.5</v>
      </c>
      <c r="L118" s="249">
        <v>307.91000000000003</v>
      </c>
      <c r="M118" s="249">
        <v>311.38</v>
      </c>
      <c r="N118" s="250">
        <f t="shared" si="10"/>
        <v>22081.65</v>
      </c>
      <c r="O118" s="250">
        <f t="shared" si="11"/>
        <v>13352.12</v>
      </c>
      <c r="P118" s="95">
        <f t="shared" si="12"/>
        <v>0.47708421192325068</v>
      </c>
      <c r="Q118" s="95">
        <f t="shared" si="13"/>
        <v>0.14974261281740717</v>
      </c>
      <c r="R118" s="133">
        <f t="shared" si="14"/>
        <v>1.6537935548811724</v>
      </c>
      <c r="S118" s="221"/>
      <c r="T118" s="85">
        <v>6</v>
      </c>
    </row>
    <row r="119" spans="1:20" s="60" customFormat="1">
      <c r="A119" s="219">
        <v>44757</v>
      </c>
      <c r="B119" s="81" t="str">
        <f>VLOOKUP(C119,'Master List'!A:C,3,FALSE)</f>
        <v>50-141</v>
      </c>
      <c r="C119" s="120">
        <v>180</v>
      </c>
      <c r="D119" s="78" t="s">
        <v>106</v>
      </c>
      <c r="E119" s="81">
        <f>VLOOKUP(C119,'Master List'!A:G,5,FALSE)</f>
        <v>5</v>
      </c>
      <c r="F119" s="43">
        <f>VLOOKUP(C119,'2022-002-bottles_csv'!E:L,8,FALSE)</f>
        <v>0.21</v>
      </c>
      <c r="G119" s="218">
        <v>304</v>
      </c>
      <c r="H119" s="218">
        <v>10</v>
      </c>
      <c r="I119" s="218">
        <v>1</v>
      </c>
      <c r="J119" s="249">
        <v>20808.28</v>
      </c>
      <c r="K119" s="249">
        <v>12660.64</v>
      </c>
      <c r="L119" s="249">
        <v>338.28</v>
      </c>
      <c r="M119" s="249">
        <v>338.2</v>
      </c>
      <c r="N119" s="250">
        <f t="shared" si="10"/>
        <v>20470</v>
      </c>
      <c r="O119" s="250">
        <f t="shared" si="11"/>
        <v>12322.439999999999</v>
      </c>
      <c r="P119" s="95">
        <f t="shared" si="12"/>
        <v>0.44527852492601555</v>
      </c>
      <c r="Q119" s="95">
        <f t="shared" si="13"/>
        <v>0.133209081405958</v>
      </c>
      <c r="R119" s="133">
        <f t="shared" si="14"/>
        <v>1.6611969707298231</v>
      </c>
      <c r="S119" s="221"/>
      <c r="T119" s="85">
        <v>316</v>
      </c>
    </row>
    <row r="120" spans="1:20" s="60" customFormat="1">
      <c r="A120" s="219">
        <v>44748</v>
      </c>
      <c r="B120" s="81" t="str">
        <f>VLOOKUP(C120,'Master List'!A:C,3,FALSE)</f>
        <v>49-141</v>
      </c>
      <c r="C120" s="120">
        <v>184</v>
      </c>
      <c r="D120" s="78" t="s">
        <v>105</v>
      </c>
      <c r="E120" s="81">
        <f>VLOOKUP(C120,'Master List'!A:G,5,FALSE)</f>
        <v>150</v>
      </c>
      <c r="F120" s="43">
        <f>VLOOKUP(C120,'2022-002-bottles_csv'!E:L,8,FALSE)</f>
        <v>0.06</v>
      </c>
      <c r="G120" s="218">
        <v>304</v>
      </c>
      <c r="H120" s="218">
        <v>10</v>
      </c>
      <c r="I120" s="218">
        <v>1</v>
      </c>
      <c r="J120" s="249">
        <v>2627.58</v>
      </c>
      <c r="K120" s="249">
        <v>1947.21</v>
      </c>
      <c r="L120" s="249">
        <v>427.13</v>
      </c>
      <c r="M120" s="249">
        <v>458.5</v>
      </c>
      <c r="N120" s="250">
        <f t="shared" si="10"/>
        <v>2200.4499999999998</v>
      </c>
      <c r="O120" s="250">
        <f t="shared" si="11"/>
        <v>1488.71</v>
      </c>
      <c r="P120" s="95">
        <f t="shared" si="12"/>
        <v>3.8897846389697309E-2</v>
      </c>
      <c r="Q120" s="95">
        <f t="shared" si="13"/>
        <v>3.0990932490335587E-2</v>
      </c>
      <c r="R120" s="133">
        <f t="shared" si="14"/>
        <v>1.4780917707276768</v>
      </c>
      <c r="S120" s="221"/>
      <c r="T120" s="85">
        <v>26</v>
      </c>
    </row>
    <row r="121" spans="1:20" s="60" customFormat="1">
      <c r="A121" s="219">
        <v>44757</v>
      </c>
      <c r="B121" s="81" t="str">
        <f>VLOOKUP(C121,'Master List'!A:C,3,FALSE)</f>
        <v>49-141</v>
      </c>
      <c r="C121" s="120">
        <v>184</v>
      </c>
      <c r="D121" s="78" t="s">
        <v>106</v>
      </c>
      <c r="E121" s="81">
        <f>VLOOKUP(C121,'Master List'!A:G,5,FALSE)</f>
        <v>150</v>
      </c>
      <c r="F121" s="43">
        <f>VLOOKUP(C121,'2022-002-bottles_csv'!E:L,8,FALSE)</f>
        <v>0.06</v>
      </c>
      <c r="G121" s="218">
        <v>304</v>
      </c>
      <c r="H121" s="218">
        <v>10</v>
      </c>
      <c r="I121" s="218">
        <v>1</v>
      </c>
      <c r="J121" s="249">
        <v>2114.3200000000002</v>
      </c>
      <c r="K121" s="249">
        <v>1850.11</v>
      </c>
      <c r="L121" s="249">
        <v>351.09</v>
      </c>
      <c r="M121" s="249">
        <v>351.83</v>
      </c>
      <c r="N121" s="250">
        <f t="shared" si="10"/>
        <v>1763.2300000000002</v>
      </c>
      <c r="O121" s="250">
        <f t="shared" si="11"/>
        <v>1498.28</v>
      </c>
      <c r="P121" s="95">
        <f t="shared" si="12"/>
        <v>1.4479984827254776E-2</v>
      </c>
      <c r="Q121" s="95">
        <f t="shared" si="13"/>
        <v>5.5858065982087306E-2</v>
      </c>
      <c r="R121" s="133">
        <f t="shared" si="14"/>
        <v>1.1768361054008598</v>
      </c>
      <c r="S121" s="221" t="s">
        <v>212</v>
      </c>
      <c r="T121" s="85">
        <v>267</v>
      </c>
    </row>
    <row r="122" spans="1:20" s="60" customFormat="1">
      <c r="A122" s="219">
        <v>44748</v>
      </c>
      <c r="B122" s="81" t="str">
        <f>VLOOKUP(C122,'Master List'!A:C,3,FALSE)</f>
        <v>49-141</v>
      </c>
      <c r="C122" s="120">
        <v>188</v>
      </c>
      <c r="D122" s="78" t="s">
        <v>105</v>
      </c>
      <c r="E122" s="81">
        <f>VLOOKUP(C122,'Master List'!A:G,5,FALSE)</f>
        <v>100</v>
      </c>
      <c r="F122" s="43">
        <f>VLOOKUP(C122,'2022-002-bottles_csv'!E:L,8,FALSE)</f>
        <v>0.08</v>
      </c>
      <c r="G122" s="218">
        <v>304</v>
      </c>
      <c r="H122" s="218">
        <v>10</v>
      </c>
      <c r="I122" s="218">
        <v>1</v>
      </c>
      <c r="J122" s="249">
        <v>7211.77</v>
      </c>
      <c r="K122" s="249">
        <v>5167.58</v>
      </c>
      <c r="L122" s="249">
        <v>427.13</v>
      </c>
      <c r="M122" s="249">
        <v>458.5</v>
      </c>
      <c r="N122" s="250">
        <f t="shared" si="10"/>
        <v>6784.64</v>
      </c>
      <c r="O122" s="250">
        <f t="shared" si="11"/>
        <v>4709.08</v>
      </c>
      <c r="P122" s="95">
        <f t="shared" si="12"/>
        <v>0.11343301493888243</v>
      </c>
      <c r="Q122" s="95">
        <f t="shared" si="13"/>
        <v>0.10763881963493334</v>
      </c>
      <c r="R122" s="133">
        <f t="shared" si="14"/>
        <v>1.440757005614685</v>
      </c>
      <c r="S122" s="221"/>
      <c r="T122" s="85">
        <v>25</v>
      </c>
    </row>
    <row r="123" spans="1:20" s="60" customFormat="1">
      <c r="A123" s="219">
        <v>44761</v>
      </c>
      <c r="B123" s="81" t="str">
        <f>VLOOKUP(C123,'Master List'!A:C,3,FALSE)</f>
        <v>49-141</v>
      </c>
      <c r="C123" s="120">
        <v>188</v>
      </c>
      <c r="D123" s="78" t="s">
        <v>106</v>
      </c>
      <c r="E123" s="81">
        <f>VLOOKUP(C123,'Master List'!A:G,5,FALSE)</f>
        <v>100</v>
      </c>
      <c r="F123" s="43">
        <f>VLOOKUP(C123,'2022-002-bottles_csv'!E:L,8,FALSE)</f>
        <v>0.08</v>
      </c>
      <c r="G123" s="218">
        <v>304</v>
      </c>
      <c r="H123" s="218">
        <v>10</v>
      </c>
      <c r="I123" s="218">
        <v>1</v>
      </c>
      <c r="J123" s="249">
        <v>6375.46</v>
      </c>
      <c r="K123" s="249">
        <v>4549.97</v>
      </c>
      <c r="L123" s="249">
        <v>345.92</v>
      </c>
      <c r="M123" s="249">
        <v>349.76</v>
      </c>
      <c r="N123" s="250">
        <f t="shared" si="10"/>
        <v>6029.54</v>
      </c>
      <c r="O123" s="250">
        <f t="shared" si="11"/>
        <v>4200.21</v>
      </c>
      <c r="P123" s="95">
        <f t="shared" si="12"/>
        <v>9.9976111130560305E-2</v>
      </c>
      <c r="Q123" s="95">
        <f t="shared" si="13"/>
        <v>9.7206381053748861E-2</v>
      </c>
      <c r="R123" s="133">
        <f t="shared" si="14"/>
        <v>1.4355329852554992</v>
      </c>
      <c r="S123" s="221"/>
      <c r="T123" s="85">
        <v>345</v>
      </c>
    </row>
    <row r="124" spans="1:20" s="60" customFormat="1">
      <c r="A124" s="219">
        <v>44748</v>
      </c>
      <c r="B124" s="81" t="str">
        <f>VLOOKUP(C124,'Master List'!A:C,3,FALSE)</f>
        <v>49-141</v>
      </c>
      <c r="C124" s="120">
        <v>189</v>
      </c>
      <c r="D124" s="78" t="s">
        <v>105</v>
      </c>
      <c r="E124" s="81">
        <f>VLOOKUP(C124,'Master List'!A:G,5,FALSE)</f>
        <v>75</v>
      </c>
      <c r="F124" s="43">
        <f>VLOOKUP(C124,'2022-002-bottles_csv'!E:L,8,FALSE)</f>
        <v>0.18</v>
      </c>
      <c r="G124" s="218">
        <v>304</v>
      </c>
      <c r="H124" s="218">
        <v>10</v>
      </c>
      <c r="I124" s="218">
        <v>1</v>
      </c>
      <c r="J124" s="249">
        <v>19256.919999999998</v>
      </c>
      <c r="K124" s="249">
        <v>11982.55</v>
      </c>
      <c r="L124" s="249">
        <v>307.91000000000003</v>
      </c>
      <c r="M124" s="249">
        <v>311.38</v>
      </c>
      <c r="N124" s="250">
        <f t="shared" si="10"/>
        <v>18949.009999999998</v>
      </c>
      <c r="O124" s="250">
        <f t="shared" si="11"/>
        <v>11671.17</v>
      </c>
      <c r="P124" s="95">
        <f t="shared" si="12"/>
        <v>0.39774679288615883</v>
      </c>
      <c r="Q124" s="95">
        <f t="shared" si="13"/>
        <v>0.15016637986157141</v>
      </c>
      <c r="R124" s="133">
        <f t="shared" si="14"/>
        <v>1.6235741575180551</v>
      </c>
      <c r="S124" s="221"/>
      <c r="T124" s="85">
        <v>21</v>
      </c>
    </row>
    <row r="125" spans="1:20" s="60" customFormat="1">
      <c r="A125" s="219">
        <v>44748</v>
      </c>
      <c r="B125" s="81" t="str">
        <f>VLOOKUP(C125,'Master List'!A:C,3,FALSE)</f>
        <v>49-141</v>
      </c>
      <c r="C125" s="120">
        <v>189</v>
      </c>
      <c r="D125" s="78" t="s">
        <v>106</v>
      </c>
      <c r="E125" s="81">
        <f>VLOOKUP(C125,'Master List'!A:G,5,FALSE)</f>
        <v>75</v>
      </c>
      <c r="F125" s="43">
        <f>VLOOKUP(C125,'2022-002-bottles_csv'!E:L,8,FALSE)</f>
        <v>0.18</v>
      </c>
      <c r="G125" s="218">
        <v>304</v>
      </c>
      <c r="H125" s="218">
        <v>10</v>
      </c>
      <c r="I125" s="218">
        <v>1</v>
      </c>
      <c r="J125" s="249">
        <v>19365.97</v>
      </c>
      <c r="K125" s="249">
        <v>12327.78</v>
      </c>
      <c r="L125" s="249">
        <v>427.13</v>
      </c>
      <c r="M125" s="249">
        <v>458.5</v>
      </c>
      <c r="N125" s="250">
        <f t="shared" si="10"/>
        <v>18938.84</v>
      </c>
      <c r="O125" s="250">
        <f t="shared" si="11"/>
        <v>11869.28</v>
      </c>
      <c r="P125" s="95">
        <f t="shared" si="12"/>
        <v>0.38636392351525634</v>
      </c>
      <c r="Q125" s="95">
        <f t="shared" si="13"/>
        <v>0.1708496945736909</v>
      </c>
      <c r="R125" s="133">
        <f t="shared" si="14"/>
        <v>1.5956182683364113</v>
      </c>
      <c r="S125" s="221"/>
      <c r="T125" s="85">
        <v>27</v>
      </c>
    </row>
    <row r="126" spans="1:20" s="60" customFormat="1">
      <c r="A126" s="219">
        <v>44748</v>
      </c>
      <c r="B126" s="81" t="str">
        <f>VLOOKUP(C126,'Master List'!A:C,3,FALSE)</f>
        <v>49-141</v>
      </c>
      <c r="C126" s="120">
        <v>192</v>
      </c>
      <c r="D126" s="78" t="s">
        <v>105</v>
      </c>
      <c r="E126" s="81">
        <f>VLOOKUP(C126,'Master List'!A:G,5,FALSE)</f>
        <v>50</v>
      </c>
      <c r="F126" s="43">
        <f>VLOOKUP(C126,'2022-002-bottles_csv'!E:L,8,FALSE)</f>
        <v>0.22</v>
      </c>
      <c r="G126" s="218">
        <v>304</v>
      </c>
      <c r="H126" s="218">
        <v>10</v>
      </c>
      <c r="I126" s="218">
        <v>1</v>
      </c>
      <c r="J126" s="249">
        <v>24483.98</v>
      </c>
      <c r="K126" s="249">
        <v>18273.63</v>
      </c>
      <c r="L126" s="249">
        <v>307.91000000000003</v>
      </c>
      <c r="M126" s="249">
        <v>311.38</v>
      </c>
      <c r="N126" s="250">
        <f t="shared" si="10"/>
        <v>24176.07</v>
      </c>
      <c r="O126" s="250">
        <f t="shared" si="11"/>
        <v>17962.25</v>
      </c>
      <c r="P126" s="95">
        <f t="shared" si="12"/>
        <v>0.3395962231337693</v>
      </c>
      <c r="Q126" s="95">
        <f t="shared" si="13"/>
        <v>0.50365714282593443</v>
      </c>
      <c r="R126" s="133">
        <f t="shared" si="14"/>
        <v>1.3459377305181701</v>
      </c>
      <c r="S126" s="221"/>
      <c r="T126" s="85">
        <v>15</v>
      </c>
    </row>
    <row r="127" spans="1:20" s="60" customFormat="1">
      <c r="A127" s="219">
        <v>44756</v>
      </c>
      <c r="B127" s="81" t="str">
        <f>VLOOKUP(C127,'Master List'!A:C,3,FALSE)</f>
        <v>49-141</v>
      </c>
      <c r="C127" s="120">
        <v>192</v>
      </c>
      <c r="D127" s="78" t="s">
        <v>106</v>
      </c>
      <c r="E127" s="81">
        <f>VLOOKUP(C127,'Master List'!A:G,5,FALSE)</f>
        <v>50</v>
      </c>
      <c r="F127" s="43">
        <f>VLOOKUP(C127,'2022-002-bottles_csv'!E:L,8,FALSE)</f>
        <v>0.22</v>
      </c>
      <c r="G127" s="218">
        <v>304</v>
      </c>
      <c r="H127" s="218">
        <v>10</v>
      </c>
      <c r="I127" s="218">
        <v>1</v>
      </c>
      <c r="J127" s="249">
        <v>23094.39</v>
      </c>
      <c r="K127" s="249">
        <v>14545.83</v>
      </c>
      <c r="L127" s="249">
        <v>332.16</v>
      </c>
      <c r="M127" s="249">
        <v>344.15</v>
      </c>
      <c r="N127" s="250">
        <f t="shared" si="10"/>
        <v>22762.23</v>
      </c>
      <c r="O127" s="250">
        <f t="shared" si="11"/>
        <v>14201.68</v>
      </c>
      <c r="P127" s="95">
        <f t="shared" si="12"/>
        <v>0.4678491568709407</v>
      </c>
      <c r="Q127" s="95">
        <f t="shared" si="13"/>
        <v>0.19886099705090124</v>
      </c>
      <c r="R127" s="133">
        <f t="shared" si="14"/>
        <v>1.6027843184749972</v>
      </c>
      <c r="S127" s="221"/>
      <c r="T127" s="85">
        <v>261</v>
      </c>
    </row>
    <row r="128" spans="1:20" s="60" customFormat="1">
      <c r="A128" s="219">
        <v>44748</v>
      </c>
      <c r="B128" s="81" t="str">
        <f>VLOOKUP(C128,'Master List'!A:C,3,FALSE)</f>
        <v>49-141</v>
      </c>
      <c r="C128" s="120">
        <v>194</v>
      </c>
      <c r="D128" s="78" t="s">
        <v>105</v>
      </c>
      <c r="E128" s="81">
        <f>VLOOKUP(C128,'Master List'!A:G,5,FALSE)</f>
        <v>25</v>
      </c>
      <c r="F128" s="43">
        <f>VLOOKUP(C128,'2022-002-bottles_csv'!E:L,8,FALSE)</f>
        <v>0.32</v>
      </c>
      <c r="G128" s="218">
        <v>304</v>
      </c>
      <c r="H128" s="218">
        <v>10</v>
      </c>
      <c r="I128" s="218">
        <v>1</v>
      </c>
      <c r="J128" s="249">
        <v>24596.16</v>
      </c>
      <c r="K128" s="249">
        <v>15208.03</v>
      </c>
      <c r="L128" s="249">
        <v>307.91000000000003</v>
      </c>
      <c r="M128" s="249">
        <v>311.38</v>
      </c>
      <c r="N128" s="250">
        <f t="shared" si="10"/>
        <v>24288.25</v>
      </c>
      <c r="O128" s="250">
        <f t="shared" si="11"/>
        <v>14896.650000000001</v>
      </c>
      <c r="P128" s="95">
        <f t="shared" si="12"/>
        <v>0.51326750520341868</v>
      </c>
      <c r="Q128" s="95">
        <f t="shared" si="13"/>
        <v>0.18606861660891666</v>
      </c>
      <c r="R128" s="133">
        <f t="shared" si="14"/>
        <v>1.630450470407776</v>
      </c>
      <c r="S128" s="221"/>
      <c r="T128" s="85">
        <v>24</v>
      </c>
    </row>
    <row r="129" spans="1:20" s="60" customFormat="1">
      <c r="A129" s="219">
        <v>44757</v>
      </c>
      <c r="B129" s="81" t="str">
        <f>VLOOKUP(C129,'Master List'!A:C,3,FALSE)</f>
        <v>49-141</v>
      </c>
      <c r="C129" s="120">
        <v>194</v>
      </c>
      <c r="D129" s="78" t="s">
        <v>106</v>
      </c>
      <c r="E129" s="81">
        <f>VLOOKUP(C129,'Master List'!A:G,5,FALSE)</f>
        <v>25</v>
      </c>
      <c r="F129" s="43">
        <f>VLOOKUP(C129,'2022-002-bottles_csv'!E:L,8,FALSE)</f>
        <v>0.32</v>
      </c>
      <c r="G129" s="218">
        <v>304</v>
      </c>
      <c r="H129" s="218">
        <v>10</v>
      </c>
      <c r="I129" s="218">
        <v>1</v>
      </c>
      <c r="J129" s="249">
        <v>26541.39</v>
      </c>
      <c r="K129" s="249">
        <v>16575.02</v>
      </c>
      <c r="L129" s="249">
        <v>338.28</v>
      </c>
      <c r="M129" s="249">
        <v>338.2</v>
      </c>
      <c r="N129" s="250">
        <f t="shared" si="10"/>
        <v>26203.11</v>
      </c>
      <c r="O129" s="250">
        <f t="shared" si="11"/>
        <v>16236.82</v>
      </c>
      <c r="P129" s="95">
        <f t="shared" si="12"/>
        <v>0.54467532735995805</v>
      </c>
      <c r="Q129" s="95">
        <f t="shared" si="13"/>
        <v>0.21757623452576563</v>
      </c>
      <c r="R129" s="133">
        <f t="shared" si="14"/>
        <v>1.6138079993496264</v>
      </c>
      <c r="S129" s="221"/>
      <c r="T129" s="85">
        <v>321</v>
      </c>
    </row>
    <row r="130" spans="1:20" s="60" customFormat="1">
      <c r="A130" s="219">
        <v>44748</v>
      </c>
      <c r="B130" s="81" t="str">
        <f>VLOOKUP(C130,'Master List'!A:C,3,FALSE)</f>
        <v>49-141</v>
      </c>
      <c r="C130" s="120">
        <v>200</v>
      </c>
      <c r="D130" s="78" t="s">
        <v>105</v>
      </c>
      <c r="E130" s="81">
        <f>VLOOKUP(C130,'Master List'!A:G,5,FALSE)</f>
        <v>5</v>
      </c>
      <c r="F130" s="43">
        <f>VLOOKUP(C130,'2022-002-bottles_csv'!E:L,8,FALSE)</f>
        <v>0.32</v>
      </c>
      <c r="G130" s="218">
        <v>304</v>
      </c>
      <c r="H130" s="218">
        <v>10</v>
      </c>
      <c r="I130" s="218">
        <v>1</v>
      </c>
      <c r="J130" s="249">
        <v>26401.52</v>
      </c>
      <c r="K130" s="249">
        <v>16370.23</v>
      </c>
      <c r="L130" s="249">
        <v>307.91000000000003</v>
      </c>
      <c r="M130" s="249">
        <v>311.38</v>
      </c>
      <c r="N130" s="250">
        <f t="shared" si="10"/>
        <v>26093.61</v>
      </c>
      <c r="O130" s="250">
        <f t="shared" si="11"/>
        <v>16058.85</v>
      </c>
      <c r="P130" s="95">
        <f t="shared" si="12"/>
        <v>0.54841733362952627</v>
      </c>
      <c r="Q130" s="95">
        <f t="shared" si="13"/>
        <v>0.20547927263873023</v>
      </c>
      <c r="R130" s="133">
        <f t="shared" si="14"/>
        <v>1.6248741348228546</v>
      </c>
      <c r="S130" s="221"/>
      <c r="T130" s="85">
        <v>3</v>
      </c>
    </row>
    <row r="131" spans="1:20" s="60" customFormat="1">
      <c r="A131" s="219">
        <v>44757</v>
      </c>
      <c r="B131" s="81" t="str">
        <f>VLOOKUP(C131,'Master List'!A:C,3,FALSE)</f>
        <v>49-141</v>
      </c>
      <c r="C131" s="120">
        <v>200</v>
      </c>
      <c r="D131" s="78" t="s">
        <v>106</v>
      </c>
      <c r="E131" s="81">
        <f>VLOOKUP(C131,'Master List'!A:G,5,FALSE)</f>
        <v>5</v>
      </c>
      <c r="F131" s="43">
        <f>VLOOKUP(C131,'2022-002-bottles_csv'!E:L,8,FALSE)</f>
        <v>0.32</v>
      </c>
      <c r="G131" s="218">
        <v>304</v>
      </c>
      <c r="H131" s="218">
        <v>10</v>
      </c>
      <c r="I131" s="218">
        <v>1</v>
      </c>
      <c r="J131" s="249">
        <v>21160.99</v>
      </c>
      <c r="K131" s="249">
        <v>13022.19</v>
      </c>
      <c r="L131" s="249">
        <v>305.45999999999998</v>
      </c>
      <c r="M131" s="249">
        <v>318.69</v>
      </c>
      <c r="N131" s="250">
        <f t="shared" si="10"/>
        <v>20855.530000000002</v>
      </c>
      <c r="O131" s="250">
        <f t="shared" si="11"/>
        <v>12703.5</v>
      </c>
      <c r="P131" s="95">
        <f t="shared" si="12"/>
        <v>0.44552281831034407</v>
      </c>
      <c r="Q131" s="95">
        <f t="shared" si="13"/>
        <v>0.1508539793886689</v>
      </c>
      <c r="R131" s="133">
        <f t="shared" si="14"/>
        <v>1.6417152753178259</v>
      </c>
      <c r="S131" s="221"/>
      <c r="T131" s="85">
        <v>307</v>
      </c>
    </row>
    <row r="132" spans="1:20" s="60" customFormat="1">
      <c r="A132" s="219">
        <v>44748</v>
      </c>
      <c r="B132" s="81" t="str">
        <f>VLOOKUP(C132,'Master List'!A:C,3,FALSE)</f>
        <v>48-141</v>
      </c>
      <c r="C132" s="120">
        <v>204</v>
      </c>
      <c r="D132" s="78" t="s">
        <v>105</v>
      </c>
      <c r="E132" s="81">
        <f>VLOOKUP(C132,'Master List'!A:G,5,FALSE)</f>
        <v>150</v>
      </c>
      <c r="F132" s="43">
        <f>VLOOKUP(C132,'2022-002-bottles_csv'!E:L,8,FALSE)</f>
        <v>0.06</v>
      </c>
      <c r="G132" s="218">
        <v>304</v>
      </c>
      <c r="H132" s="218">
        <v>10</v>
      </c>
      <c r="I132" s="218">
        <v>1</v>
      </c>
      <c r="J132" s="249">
        <v>2438.6</v>
      </c>
      <c r="K132" s="251"/>
      <c r="L132" s="249">
        <v>307.91000000000003</v>
      </c>
      <c r="M132" s="249">
        <v>311.38</v>
      </c>
      <c r="N132" s="250">
        <f t="shared" si="10"/>
        <v>2130.69</v>
      </c>
      <c r="O132" s="250">
        <f t="shared" si="11"/>
        <v>-311.38</v>
      </c>
      <c r="P132" s="95">
        <v>-99</v>
      </c>
      <c r="Q132" s="95">
        <v>-99</v>
      </c>
      <c r="R132" s="133"/>
      <c r="S132" s="221" t="s">
        <v>213</v>
      </c>
      <c r="T132" s="85">
        <v>8</v>
      </c>
    </row>
    <row r="133" spans="1:20" s="60" customFormat="1">
      <c r="A133" s="219">
        <v>44757</v>
      </c>
      <c r="B133" s="81" t="str">
        <f>VLOOKUP(C133,'Master List'!A:C,3,FALSE)</f>
        <v>48-141</v>
      </c>
      <c r="C133" s="120">
        <v>204</v>
      </c>
      <c r="D133" s="78" t="s">
        <v>106</v>
      </c>
      <c r="E133" s="81">
        <f>VLOOKUP(C133,'Master List'!A:G,5,FALSE)</f>
        <v>150</v>
      </c>
      <c r="F133" s="43">
        <f>VLOOKUP(C133,'2022-002-bottles_csv'!E:L,8,FALSE)</f>
        <v>0.06</v>
      </c>
      <c r="G133" s="218">
        <v>304</v>
      </c>
      <c r="H133" s="218">
        <v>10</v>
      </c>
      <c r="I133" s="218">
        <v>1</v>
      </c>
      <c r="J133" s="249">
        <v>2202.21</v>
      </c>
      <c r="K133" s="249">
        <v>1898.7</v>
      </c>
      <c r="L133" s="249">
        <v>351.09</v>
      </c>
      <c r="M133" s="249">
        <v>351.83</v>
      </c>
      <c r="N133" s="250">
        <f t="shared" si="10"/>
        <v>1851.1200000000001</v>
      </c>
      <c r="O133" s="250">
        <f t="shared" si="11"/>
        <v>1546.8700000000001</v>
      </c>
      <c r="P133" s="95">
        <f t="shared" si="12"/>
        <v>1.6627799145847371E-2</v>
      </c>
      <c r="Q133" s="95">
        <f t="shared" si="13"/>
        <v>5.5991351250238144E-2</v>
      </c>
      <c r="R133" s="133">
        <f t="shared" si="14"/>
        <v>1.1966875044444587</v>
      </c>
      <c r="S133" s="221"/>
      <c r="T133" s="85">
        <v>285</v>
      </c>
    </row>
    <row r="134" spans="1:20" s="60" customFormat="1">
      <c r="A134" s="219">
        <v>44748</v>
      </c>
      <c r="B134" s="81" t="str">
        <f>VLOOKUP(C134,'Master List'!A:C,3,FALSE)</f>
        <v>48-141</v>
      </c>
      <c r="C134" s="120">
        <v>208</v>
      </c>
      <c r="D134" s="78" t="s">
        <v>105</v>
      </c>
      <c r="E134" s="81">
        <f>VLOOKUP(C134,'Master List'!A:G,5,FALSE)</f>
        <v>100</v>
      </c>
      <c r="F134" s="43">
        <f>VLOOKUP(C134,'2022-002-bottles_csv'!E:L,8,FALSE)</f>
        <v>0.11</v>
      </c>
      <c r="G134" s="218">
        <v>304</v>
      </c>
      <c r="H134" s="218">
        <v>10</v>
      </c>
      <c r="I134" s="218">
        <v>1</v>
      </c>
      <c r="J134" s="249">
        <v>9905.85</v>
      </c>
      <c r="K134" s="249">
        <v>6763.54</v>
      </c>
      <c r="L134" s="249">
        <v>427.13</v>
      </c>
      <c r="M134" s="249">
        <v>458.5</v>
      </c>
      <c r="N134" s="250">
        <f t="shared" si="10"/>
        <v>9478.7200000000012</v>
      </c>
      <c r="O134" s="250">
        <f t="shared" si="11"/>
        <v>6305.04</v>
      </c>
      <c r="P134" s="95">
        <f t="shared" si="12"/>
        <v>0.17344720983793888</v>
      </c>
      <c r="Q134" s="95">
        <f t="shared" si="13"/>
        <v>0.12254834765127157</v>
      </c>
      <c r="R134" s="133">
        <f t="shared" si="14"/>
        <v>1.5033560453224724</v>
      </c>
      <c r="S134" s="221"/>
      <c r="T134" s="85">
        <v>28</v>
      </c>
    </row>
    <row r="135" spans="1:20" s="60" customFormat="1">
      <c r="A135" s="219">
        <v>44756</v>
      </c>
      <c r="B135" s="81" t="str">
        <f>VLOOKUP(C135,'Master List'!A:C,3,FALSE)</f>
        <v>48-141</v>
      </c>
      <c r="C135" s="120">
        <v>208</v>
      </c>
      <c r="D135" s="78" t="s">
        <v>106</v>
      </c>
      <c r="E135" s="81">
        <f>VLOOKUP(C135,'Master List'!A:G,5,FALSE)</f>
        <v>100</v>
      </c>
      <c r="F135" s="43">
        <f>VLOOKUP(C135,'2022-002-bottles_csv'!E:L,8,FALSE)</f>
        <v>0.11</v>
      </c>
      <c r="G135" s="218">
        <v>304</v>
      </c>
      <c r="H135" s="218">
        <v>10</v>
      </c>
      <c r="I135" s="218">
        <v>1</v>
      </c>
      <c r="J135" s="249">
        <v>10528.37</v>
      </c>
      <c r="K135" s="249">
        <v>7788.66</v>
      </c>
      <c r="L135" s="249">
        <v>332.16</v>
      </c>
      <c r="M135" s="249">
        <v>344.15</v>
      </c>
      <c r="N135" s="250">
        <f t="shared" si="10"/>
        <v>10196.210000000001</v>
      </c>
      <c r="O135" s="250">
        <f t="shared" si="11"/>
        <v>7444.51</v>
      </c>
      <c r="P135" s="95">
        <f t="shared" si="12"/>
        <v>0.15038525853616508</v>
      </c>
      <c r="Q135" s="95">
        <f t="shared" si="13"/>
        <v>0.19910370389452567</v>
      </c>
      <c r="R135" s="133">
        <f t="shared" si="14"/>
        <v>1.3696280883496699</v>
      </c>
      <c r="S135" s="221"/>
      <c r="T135" s="85">
        <v>248</v>
      </c>
    </row>
    <row r="136" spans="1:20" s="60" customFormat="1">
      <c r="A136" s="219">
        <v>44748</v>
      </c>
      <c r="B136" s="81" t="str">
        <f>VLOOKUP(C136,'Master List'!A:C,3,FALSE)</f>
        <v>48-141</v>
      </c>
      <c r="C136" s="120">
        <v>209</v>
      </c>
      <c r="D136" s="78" t="s">
        <v>105</v>
      </c>
      <c r="E136" s="81">
        <f>VLOOKUP(C136,'Master List'!A:G,5,FALSE)</f>
        <v>75</v>
      </c>
      <c r="F136" s="43">
        <f>VLOOKUP(C136,'2022-002-bottles_csv'!E:L,8,FALSE)</f>
        <v>0.16</v>
      </c>
      <c r="G136" s="218">
        <v>304</v>
      </c>
      <c r="H136" s="218">
        <v>10</v>
      </c>
      <c r="I136" s="218">
        <v>1</v>
      </c>
      <c r="J136" s="249">
        <v>17255.3</v>
      </c>
      <c r="K136" s="249">
        <v>11255.72</v>
      </c>
      <c r="L136" s="249">
        <v>307.91000000000003</v>
      </c>
      <c r="M136" s="249">
        <v>311.38</v>
      </c>
      <c r="N136" s="250">
        <f t="shared" si="10"/>
        <v>16947.39</v>
      </c>
      <c r="O136" s="250">
        <f t="shared" si="11"/>
        <v>10944.34</v>
      </c>
      <c r="P136" s="95">
        <f t="shared" si="12"/>
        <v>0.32807727087092536</v>
      </c>
      <c r="Q136" s="95">
        <f t="shared" si="13"/>
        <v>0.18571423872321927</v>
      </c>
      <c r="R136" s="133">
        <f t="shared" si="14"/>
        <v>1.5485072649424267</v>
      </c>
      <c r="S136" s="221"/>
      <c r="T136" s="85">
        <v>12</v>
      </c>
    </row>
    <row r="137" spans="1:20" s="60" customFormat="1">
      <c r="A137" s="219">
        <v>44757</v>
      </c>
      <c r="B137" s="81" t="str">
        <f>VLOOKUP(C137,'Master List'!A:C,3,FALSE)</f>
        <v>48-141</v>
      </c>
      <c r="C137" s="120">
        <v>209</v>
      </c>
      <c r="D137" s="78" t="s">
        <v>106</v>
      </c>
      <c r="E137" s="81">
        <f>VLOOKUP(C137,'Master List'!A:G,5,FALSE)</f>
        <v>75</v>
      </c>
      <c r="F137" s="43">
        <f>VLOOKUP(C137,'2022-002-bottles_csv'!E:L,8,FALSE)</f>
        <v>0.16</v>
      </c>
      <c r="G137" s="218">
        <v>304</v>
      </c>
      <c r="H137" s="218">
        <v>10</v>
      </c>
      <c r="I137" s="218">
        <v>1</v>
      </c>
      <c r="J137" s="249">
        <v>16810.16</v>
      </c>
      <c r="K137" s="249">
        <v>11001.37</v>
      </c>
      <c r="L137" s="249">
        <v>338.28</v>
      </c>
      <c r="M137" s="249">
        <v>338.2</v>
      </c>
      <c r="N137" s="250">
        <f t="shared" si="10"/>
        <v>16471.88</v>
      </c>
      <c r="O137" s="250">
        <f t="shared" si="11"/>
        <v>10663.17</v>
      </c>
      <c r="P137" s="95">
        <f t="shared" si="12"/>
        <v>0.31745624708783932</v>
      </c>
      <c r="Q137" s="95">
        <f t="shared" si="13"/>
        <v>0.18313549360725939</v>
      </c>
      <c r="R137" s="133">
        <f t="shared" si="14"/>
        <v>1.5447451367651459</v>
      </c>
      <c r="S137" s="221"/>
      <c r="T137" s="85">
        <v>323</v>
      </c>
    </row>
    <row r="138" spans="1:20" s="60" customFormat="1">
      <c r="A138" s="219">
        <v>44748</v>
      </c>
      <c r="B138" s="81" t="str">
        <f>VLOOKUP(C138,'Master List'!A:C,3,FALSE)</f>
        <v>48-141</v>
      </c>
      <c r="C138" s="120">
        <v>212</v>
      </c>
      <c r="D138" s="78" t="s">
        <v>105</v>
      </c>
      <c r="E138" s="81">
        <f>VLOOKUP(C138,'Master List'!A:G,5,FALSE)</f>
        <v>50</v>
      </c>
      <c r="F138" s="43">
        <f>VLOOKUP(C138,'2022-002-bottles_csv'!E:L,8,FALSE)</f>
        <v>0.23</v>
      </c>
      <c r="G138" s="218">
        <v>304</v>
      </c>
      <c r="H138" s="218">
        <v>10</v>
      </c>
      <c r="I138" s="218">
        <v>1</v>
      </c>
      <c r="J138" s="249">
        <v>25770.91</v>
      </c>
      <c r="K138" s="249">
        <v>15069.9</v>
      </c>
      <c r="L138" s="249">
        <v>307.91000000000003</v>
      </c>
      <c r="M138" s="249">
        <v>311.38</v>
      </c>
      <c r="N138" s="250">
        <f t="shared" si="10"/>
        <v>25463</v>
      </c>
      <c r="O138" s="250">
        <f t="shared" si="11"/>
        <v>14758.52</v>
      </c>
      <c r="P138" s="95">
        <f t="shared" si="12"/>
        <v>0.58501871290300822</v>
      </c>
      <c r="Q138" s="95">
        <f t="shared" si="13"/>
        <v>0.10783277655870215</v>
      </c>
      <c r="R138" s="133">
        <f t="shared" si="14"/>
        <v>1.7253084997682695</v>
      </c>
      <c r="S138" s="221"/>
      <c r="T138" s="85">
        <v>4</v>
      </c>
    </row>
    <row r="139" spans="1:20" s="60" customFormat="1">
      <c r="A139" s="219">
        <v>44757</v>
      </c>
      <c r="B139" s="81" t="str">
        <f>VLOOKUP(C139,'Master List'!A:C,3,FALSE)</f>
        <v>48-141</v>
      </c>
      <c r="C139" s="120">
        <v>212</v>
      </c>
      <c r="D139" s="78" t="s">
        <v>106</v>
      </c>
      <c r="E139" s="81">
        <f>VLOOKUP(C139,'Master List'!A:G,5,FALSE)</f>
        <v>50</v>
      </c>
      <c r="F139" s="43">
        <f>VLOOKUP(C139,'2022-002-bottles_csv'!E:L,8,FALSE)</f>
        <v>0.23</v>
      </c>
      <c r="G139" s="218">
        <v>304</v>
      </c>
      <c r="H139" s="218">
        <v>10</v>
      </c>
      <c r="I139" s="218">
        <v>1</v>
      </c>
      <c r="J139" s="249">
        <v>23755.17</v>
      </c>
      <c r="K139" s="249">
        <v>15131.53</v>
      </c>
      <c r="L139" s="249">
        <v>338.28</v>
      </c>
      <c r="M139" s="249">
        <v>338.2</v>
      </c>
      <c r="N139" s="250">
        <f t="shared" si="10"/>
        <v>23416.89</v>
      </c>
      <c r="O139" s="250">
        <f t="shared" si="11"/>
        <v>14793.33</v>
      </c>
      <c r="P139" s="95">
        <f t="shared" si="12"/>
        <v>0.47129276450998703</v>
      </c>
      <c r="Q139" s="95">
        <f t="shared" si="13"/>
        <v>0.22319291051695356</v>
      </c>
      <c r="R139" s="133">
        <f t="shared" si="14"/>
        <v>1.5829356879079963</v>
      </c>
      <c r="S139" s="221"/>
      <c r="T139" s="85">
        <v>325</v>
      </c>
    </row>
    <row r="140" spans="1:20" s="60" customFormat="1">
      <c r="A140" s="219">
        <v>44748</v>
      </c>
      <c r="B140" s="81" t="str">
        <f>VLOOKUP(C140,'Master List'!A:C,3,FALSE)</f>
        <v>48-141</v>
      </c>
      <c r="C140" s="120">
        <v>214</v>
      </c>
      <c r="D140" s="78" t="s">
        <v>105</v>
      </c>
      <c r="E140" s="81">
        <f>VLOOKUP(C140,'Master List'!A:G,5,FALSE)</f>
        <v>25</v>
      </c>
      <c r="F140" s="43">
        <f>VLOOKUP(C140,'2022-002-bottles_csv'!E:L,8,FALSE)</f>
        <v>0.31</v>
      </c>
      <c r="G140" s="218">
        <v>304</v>
      </c>
      <c r="H140" s="218">
        <v>10</v>
      </c>
      <c r="I140" s="218">
        <v>1</v>
      </c>
      <c r="J140" s="249">
        <v>30066.57</v>
      </c>
      <c r="K140" s="249">
        <v>18948.64</v>
      </c>
      <c r="L140" s="249">
        <v>307.91000000000003</v>
      </c>
      <c r="M140" s="249">
        <v>311.38</v>
      </c>
      <c r="N140" s="250">
        <f t="shared" si="10"/>
        <v>29758.66</v>
      </c>
      <c r="O140" s="250">
        <f t="shared" si="11"/>
        <v>18637.259999999998</v>
      </c>
      <c r="P140" s="95">
        <f t="shared" si="12"/>
        <v>0.60780412627979286</v>
      </c>
      <c r="Q140" s="95">
        <f t="shared" si="13"/>
        <v>0.26713816810237789</v>
      </c>
      <c r="R140" s="133">
        <f t="shared" si="14"/>
        <v>1.5967293475543081</v>
      </c>
      <c r="S140" s="221"/>
      <c r="T140" s="85">
        <v>13</v>
      </c>
    </row>
    <row r="141" spans="1:20" s="60" customFormat="1">
      <c r="A141" s="219">
        <v>44761</v>
      </c>
      <c r="B141" s="81" t="str">
        <f>VLOOKUP(C141,'Master List'!A:C,3,FALSE)</f>
        <v>48-141</v>
      </c>
      <c r="C141" s="120">
        <v>214</v>
      </c>
      <c r="D141" s="78" t="s">
        <v>106</v>
      </c>
      <c r="E141" s="81">
        <f>VLOOKUP(C141,'Master List'!A:G,5,FALSE)</f>
        <v>25</v>
      </c>
      <c r="F141" s="43">
        <f>VLOOKUP(C141,'2022-002-bottles_csv'!E:L,8,FALSE)</f>
        <v>0.31</v>
      </c>
      <c r="G141" s="218">
        <v>304</v>
      </c>
      <c r="H141" s="218">
        <v>10</v>
      </c>
      <c r="I141" s="218">
        <v>1</v>
      </c>
      <c r="J141" s="249">
        <v>28844.71</v>
      </c>
      <c r="K141" s="249">
        <v>18404.88</v>
      </c>
      <c r="L141" s="249">
        <v>345.92</v>
      </c>
      <c r="M141" s="249">
        <v>349.76</v>
      </c>
      <c r="N141" s="250">
        <f t="shared" ref="N141:N204" si="15">J141-L141</f>
        <v>28498.79</v>
      </c>
      <c r="O141" s="250">
        <f t="shared" ref="O141:O204" si="16">K141-M141</f>
        <v>18055.120000000003</v>
      </c>
      <c r="P141" s="95">
        <f t="shared" ref="P141:P204" si="17">0.0007677*(1.859/(1.859-1))*(N141-O141)*(H141/G141)*I141</f>
        <v>0.57076498637801731</v>
      </c>
      <c r="Q141" s="95">
        <f t="shared" ref="Q141:Q204" si="18">0.0007677*(1.859/(1.859-1))*((1.859*O141)-N141)*(H141/G141)*I141</f>
        <v>0.27684824207645636</v>
      </c>
      <c r="R141" s="133">
        <f t="shared" ref="R141:R204" si="19">N141/O141</f>
        <v>1.578432599727944</v>
      </c>
      <c r="S141" s="221"/>
      <c r="T141" s="85">
        <v>350</v>
      </c>
    </row>
    <row r="142" spans="1:20" s="60" customFormat="1">
      <c r="A142" s="219">
        <v>44748</v>
      </c>
      <c r="B142" s="81" t="str">
        <f>VLOOKUP(C142,'Master List'!A:C,3,FALSE)</f>
        <v>48-141</v>
      </c>
      <c r="C142" s="120">
        <v>220</v>
      </c>
      <c r="D142" s="78" t="s">
        <v>105</v>
      </c>
      <c r="E142" s="81">
        <f>VLOOKUP(C142,'Master List'!A:G,5,FALSE)</f>
        <v>5</v>
      </c>
      <c r="F142" s="43">
        <f>VLOOKUP(C142,'2022-002-bottles_csv'!E:L,8,FALSE)</f>
        <v>0.28999999999999998</v>
      </c>
      <c r="G142" s="218">
        <v>304</v>
      </c>
      <c r="H142" s="218">
        <v>10</v>
      </c>
      <c r="I142" s="218">
        <v>1</v>
      </c>
      <c r="J142" s="249">
        <v>22630.65</v>
      </c>
      <c r="K142" s="249">
        <v>14380.81</v>
      </c>
      <c r="L142" s="249">
        <v>427.13</v>
      </c>
      <c r="M142" s="249">
        <v>458.5</v>
      </c>
      <c r="N142" s="250">
        <f t="shared" si="15"/>
        <v>22203.52</v>
      </c>
      <c r="O142" s="250">
        <f t="shared" si="16"/>
        <v>13922.31</v>
      </c>
      <c r="P142" s="95">
        <f t="shared" si="17"/>
        <v>0.45258273316214537</v>
      </c>
      <c r="Q142" s="95">
        <f t="shared" si="18"/>
        <v>0.20101215441788747</v>
      </c>
      <c r="R142" s="133">
        <f t="shared" si="19"/>
        <v>1.5948158028373165</v>
      </c>
      <c r="S142" s="221"/>
      <c r="T142" s="85">
        <v>34</v>
      </c>
    </row>
    <row r="143" spans="1:20" s="60" customFormat="1">
      <c r="A143" s="219">
        <v>44757</v>
      </c>
      <c r="B143" s="81" t="str">
        <f>VLOOKUP(C143,'Master List'!A:C,3,FALSE)</f>
        <v>48-141</v>
      </c>
      <c r="C143" s="120">
        <v>220</v>
      </c>
      <c r="D143" s="78" t="s">
        <v>106</v>
      </c>
      <c r="E143" s="81">
        <f>VLOOKUP(C143,'Master List'!A:G,5,FALSE)</f>
        <v>5</v>
      </c>
      <c r="F143" s="43">
        <f>VLOOKUP(C143,'2022-002-bottles_csv'!E:L,8,FALSE)</f>
        <v>0.28999999999999998</v>
      </c>
      <c r="G143" s="218">
        <v>304</v>
      </c>
      <c r="H143" s="218">
        <v>10</v>
      </c>
      <c r="I143" s="218">
        <v>1</v>
      </c>
      <c r="J143" s="249">
        <v>23809.55</v>
      </c>
      <c r="K143" s="249">
        <v>14903.95</v>
      </c>
      <c r="L143" s="249">
        <v>338.28</v>
      </c>
      <c r="M143" s="249">
        <v>338.2</v>
      </c>
      <c r="N143" s="250">
        <f t="shared" si="15"/>
        <v>23471.27</v>
      </c>
      <c r="O143" s="250">
        <f t="shared" si="16"/>
        <v>14565.75</v>
      </c>
      <c r="P143" s="95">
        <f t="shared" si="17"/>
        <v>0.48670237584002196</v>
      </c>
      <c r="Q143" s="95">
        <f t="shared" si="18"/>
        <v>0.19709935920027397</v>
      </c>
      <c r="R143" s="133">
        <f t="shared" si="19"/>
        <v>1.6114014039785112</v>
      </c>
      <c r="S143" s="221"/>
      <c r="T143" s="85">
        <v>327</v>
      </c>
    </row>
    <row r="144" spans="1:20" s="60" customFormat="1">
      <c r="A144" s="219">
        <v>44748</v>
      </c>
      <c r="B144" s="81" t="str">
        <f>VLOOKUP(C144,'Master List'!A:C,3,FALSE)</f>
        <v>46-144</v>
      </c>
      <c r="C144" s="120">
        <v>224</v>
      </c>
      <c r="D144" s="78" t="s">
        <v>105</v>
      </c>
      <c r="E144" s="81">
        <f>VLOOKUP(C144,'Master List'!A:G,5,FALSE)</f>
        <v>150</v>
      </c>
      <c r="F144" s="43">
        <f>VLOOKUP(C144,'2022-002-bottles_csv'!E:L,8,FALSE)</f>
        <v>0.06</v>
      </c>
      <c r="G144" s="218">
        <v>304</v>
      </c>
      <c r="H144" s="218">
        <v>10</v>
      </c>
      <c r="I144" s="218">
        <v>1</v>
      </c>
      <c r="J144" s="249">
        <v>2441.88</v>
      </c>
      <c r="K144" s="249">
        <v>2104.0700000000002</v>
      </c>
      <c r="L144" s="249">
        <v>427.13</v>
      </c>
      <c r="M144" s="249">
        <v>458.5</v>
      </c>
      <c r="N144" s="250">
        <f t="shared" si="15"/>
        <v>2014.75</v>
      </c>
      <c r="O144" s="250">
        <f t="shared" si="16"/>
        <v>1645.5700000000002</v>
      </c>
      <c r="P144" s="95">
        <f t="shared" si="17"/>
        <v>2.017633817145088E-2</v>
      </c>
      <c r="Q144" s="95">
        <f t="shared" si="18"/>
        <v>5.7076369113121493E-2</v>
      </c>
      <c r="R144" s="133">
        <f t="shared" si="19"/>
        <v>1.2243477943812782</v>
      </c>
      <c r="S144" s="221"/>
      <c r="T144" s="85">
        <v>32</v>
      </c>
    </row>
    <row r="145" spans="1:20" s="60" customFormat="1">
      <c r="A145" s="219">
        <v>44761</v>
      </c>
      <c r="B145" s="81" t="str">
        <f>VLOOKUP(C145,'Master List'!A:C,3,FALSE)</f>
        <v>46-144</v>
      </c>
      <c r="C145" s="120">
        <v>224</v>
      </c>
      <c r="D145" s="78" t="s">
        <v>106</v>
      </c>
      <c r="E145" s="81">
        <f>VLOOKUP(C145,'Master List'!A:G,5,FALSE)</f>
        <v>150</v>
      </c>
      <c r="F145" s="43">
        <f>VLOOKUP(C145,'2022-002-bottles_csv'!E:L,8,FALSE)</f>
        <v>0.06</v>
      </c>
      <c r="G145" s="218">
        <v>304</v>
      </c>
      <c r="H145" s="218">
        <v>10</v>
      </c>
      <c r="I145" s="218">
        <v>1</v>
      </c>
      <c r="J145" s="249">
        <v>2632.6</v>
      </c>
      <c r="K145" s="249">
        <v>2524.94</v>
      </c>
      <c r="L145" s="249">
        <v>345.92</v>
      </c>
      <c r="M145" s="249">
        <v>349.76</v>
      </c>
      <c r="N145" s="250">
        <f t="shared" si="15"/>
        <v>2286.6799999999998</v>
      </c>
      <c r="O145" s="250">
        <f t="shared" si="16"/>
        <v>2175.1800000000003</v>
      </c>
      <c r="P145" s="95">
        <f t="shared" si="17"/>
        <v>6.0936716672538192E-3</v>
      </c>
      <c r="Q145" s="95">
        <f t="shared" si="18"/>
        <v>9.6022035249654067E-2</v>
      </c>
      <c r="R145" s="133">
        <f t="shared" si="19"/>
        <v>1.0512601255988008</v>
      </c>
      <c r="S145" s="221"/>
      <c r="T145" s="85">
        <v>352</v>
      </c>
    </row>
    <row r="146" spans="1:20" s="60" customFormat="1">
      <c r="A146" s="219">
        <v>44748</v>
      </c>
      <c r="B146" s="81" t="str">
        <f>VLOOKUP(C146,'Master List'!A:C,3,FALSE)</f>
        <v>46-144</v>
      </c>
      <c r="C146" s="85">
        <v>228</v>
      </c>
      <c r="D146" s="78" t="s">
        <v>105</v>
      </c>
      <c r="E146" s="81">
        <f>VLOOKUP(C146,'Master List'!A:G,5,FALSE)</f>
        <v>100</v>
      </c>
      <c r="F146" s="43">
        <f>VLOOKUP(C146,'2022-002-bottles_csv'!E:L,8,FALSE)</f>
        <v>0.08</v>
      </c>
      <c r="G146" s="218">
        <v>304</v>
      </c>
      <c r="H146" s="218">
        <v>10</v>
      </c>
      <c r="I146" s="218">
        <v>1</v>
      </c>
      <c r="J146" s="249">
        <v>5786.75</v>
      </c>
      <c r="K146" s="249">
        <v>4307.51</v>
      </c>
      <c r="L146" s="249">
        <v>307.91000000000003</v>
      </c>
      <c r="M146" s="249">
        <v>311.38</v>
      </c>
      <c r="N146" s="250">
        <f t="shared" si="15"/>
        <v>5478.84</v>
      </c>
      <c r="O146" s="250">
        <f t="shared" si="16"/>
        <v>3996.13</v>
      </c>
      <c r="P146" s="95">
        <f t="shared" si="17"/>
        <v>8.1032716751156461E-2</v>
      </c>
      <c r="Q146" s="95">
        <f t="shared" si="18"/>
        <v>0.10656906327710006</v>
      </c>
      <c r="R146" s="133">
        <f t="shared" si="19"/>
        <v>1.3710364777922641</v>
      </c>
      <c r="S146" s="221"/>
      <c r="T146" s="85">
        <v>1</v>
      </c>
    </row>
    <row r="147" spans="1:20" s="60" customFormat="1">
      <c r="A147" s="219">
        <v>44757</v>
      </c>
      <c r="B147" s="81" t="str">
        <f>VLOOKUP(C147,'Master List'!A:C,3,FALSE)</f>
        <v>46-144</v>
      </c>
      <c r="C147" s="120">
        <v>228</v>
      </c>
      <c r="D147" s="78" t="s">
        <v>106</v>
      </c>
      <c r="E147" s="81">
        <f>VLOOKUP(C147,'Master List'!A:G,5,FALSE)</f>
        <v>100</v>
      </c>
      <c r="F147" s="43">
        <f>VLOOKUP(C147,'2022-002-bottles_csv'!E:L,8,FALSE)</f>
        <v>0.08</v>
      </c>
      <c r="G147" s="218">
        <v>304</v>
      </c>
      <c r="H147" s="218">
        <v>10</v>
      </c>
      <c r="I147" s="218">
        <v>1</v>
      </c>
      <c r="J147" s="249">
        <v>5411.26</v>
      </c>
      <c r="K147" s="249">
        <v>4103.0600000000004</v>
      </c>
      <c r="L147" s="249">
        <v>305.45999999999998</v>
      </c>
      <c r="M147" s="249">
        <v>318.69</v>
      </c>
      <c r="N147" s="250">
        <f t="shared" si="15"/>
        <v>5105.8</v>
      </c>
      <c r="O147" s="250">
        <f t="shared" si="16"/>
        <v>3784.3700000000003</v>
      </c>
      <c r="P147" s="95">
        <f t="shared" si="17"/>
        <v>7.2218480280351979E-2</v>
      </c>
      <c r="Q147" s="95">
        <f t="shared" si="18"/>
        <v>0.10544204334764144</v>
      </c>
      <c r="R147" s="133">
        <f t="shared" si="19"/>
        <v>1.3491809733192051</v>
      </c>
      <c r="S147" s="221"/>
      <c r="T147" s="85">
        <v>309</v>
      </c>
    </row>
    <row r="148" spans="1:20" s="60" customFormat="1">
      <c r="A148" s="219">
        <v>44748</v>
      </c>
      <c r="B148" s="81" t="str">
        <f>VLOOKUP(C148,'Master List'!A:C,3,FALSE)</f>
        <v>46-144</v>
      </c>
      <c r="C148" s="120">
        <v>229</v>
      </c>
      <c r="D148" s="78" t="s">
        <v>105</v>
      </c>
      <c r="E148" s="81">
        <f>VLOOKUP(C148,'Master List'!A:G,5,FALSE)</f>
        <v>75</v>
      </c>
      <c r="F148" s="43">
        <f>VLOOKUP(C148,'2022-002-bottles_csv'!E:L,8,FALSE)</f>
        <v>0.09</v>
      </c>
      <c r="G148" s="218">
        <v>304</v>
      </c>
      <c r="H148" s="218">
        <v>10</v>
      </c>
      <c r="I148" s="218">
        <v>1</v>
      </c>
      <c r="J148" s="249">
        <v>7159.65</v>
      </c>
      <c r="K148" s="249">
        <v>5169.63</v>
      </c>
      <c r="L148" s="249">
        <v>307.91000000000003</v>
      </c>
      <c r="M148" s="249">
        <v>311.38</v>
      </c>
      <c r="N148" s="250">
        <f t="shared" si="15"/>
        <v>6851.74</v>
      </c>
      <c r="O148" s="250">
        <f t="shared" si="16"/>
        <v>4858.25</v>
      </c>
      <c r="P148" s="95">
        <f t="shared" si="17"/>
        <v>0.10894774468120057</v>
      </c>
      <c r="Q148" s="95">
        <f t="shared" si="18"/>
        <v>0.11912700459429282</v>
      </c>
      <c r="R148" s="133">
        <f t="shared" si="19"/>
        <v>1.4103308804610712</v>
      </c>
      <c r="S148" s="221"/>
      <c r="T148" s="85">
        <v>2</v>
      </c>
    </row>
    <row r="149" spans="1:20" s="60" customFormat="1">
      <c r="A149" s="219">
        <v>44761</v>
      </c>
      <c r="B149" s="81" t="str">
        <f>VLOOKUP(C149,'Master List'!A:C,3,FALSE)</f>
        <v>46-144</v>
      </c>
      <c r="C149" s="120">
        <v>229</v>
      </c>
      <c r="D149" s="78" t="s">
        <v>106</v>
      </c>
      <c r="E149" s="81">
        <f>VLOOKUP(C149,'Master List'!A:G,5,FALSE)</f>
        <v>75</v>
      </c>
      <c r="F149" s="43">
        <f>VLOOKUP(C149,'2022-002-bottles_csv'!E:L,8,FALSE)</f>
        <v>0.09</v>
      </c>
      <c r="G149" s="218">
        <v>304</v>
      </c>
      <c r="H149" s="218">
        <v>10</v>
      </c>
      <c r="I149" s="218">
        <v>1</v>
      </c>
      <c r="J149" s="249">
        <v>7274.85</v>
      </c>
      <c r="K149" s="249">
        <v>5336.05</v>
      </c>
      <c r="L149" s="249">
        <v>362.04</v>
      </c>
      <c r="M149" s="249">
        <v>363.93</v>
      </c>
      <c r="N149" s="250">
        <f t="shared" si="15"/>
        <v>6912.81</v>
      </c>
      <c r="O149" s="250">
        <f t="shared" si="16"/>
        <v>4972.12</v>
      </c>
      <c r="P149" s="95">
        <f t="shared" si="17"/>
        <v>0.10606213155087771</v>
      </c>
      <c r="Q149" s="95">
        <f t="shared" si="18"/>
        <v>0.12735834338714858</v>
      </c>
      <c r="R149" s="133">
        <f t="shared" si="19"/>
        <v>1.3903143930556785</v>
      </c>
      <c r="S149" s="221"/>
      <c r="T149" s="85">
        <v>386</v>
      </c>
    </row>
    <row r="150" spans="1:20" s="60" customFormat="1">
      <c r="A150" s="219">
        <v>44748</v>
      </c>
      <c r="B150" s="81" t="str">
        <f>VLOOKUP(C150,'Master List'!A:C,3,FALSE)</f>
        <v>46-144</v>
      </c>
      <c r="C150" s="120">
        <v>232</v>
      </c>
      <c r="D150" s="78" t="s">
        <v>105</v>
      </c>
      <c r="E150" s="81">
        <f>VLOOKUP(C150,'Master List'!A:G,5,FALSE)</f>
        <v>50</v>
      </c>
      <c r="F150" s="43">
        <f>VLOOKUP(C150,'2022-002-bottles_csv'!E:L,8,FALSE)</f>
        <v>0.24</v>
      </c>
      <c r="G150" s="218">
        <v>304</v>
      </c>
      <c r="H150" s="218">
        <v>10</v>
      </c>
      <c r="I150" s="218">
        <v>1</v>
      </c>
      <c r="J150" s="249">
        <v>24836.53</v>
      </c>
      <c r="K150" s="249">
        <v>15679.47</v>
      </c>
      <c r="L150" s="249">
        <v>307.91000000000003</v>
      </c>
      <c r="M150" s="249">
        <v>311.38</v>
      </c>
      <c r="N150" s="250">
        <f t="shared" si="15"/>
        <v>24528.62</v>
      </c>
      <c r="O150" s="250">
        <f t="shared" si="16"/>
        <v>15368.09</v>
      </c>
      <c r="P150" s="95">
        <f t="shared" si="17"/>
        <v>0.5006391221347879</v>
      </c>
      <c r="Q150" s="95">
        <f t="shared" si="18"/>
        <v>0.22082915833517922</v>
      </c>
      <c r="R150" s="133">
        <f t="shared" si="19"/>
        <v>1.5960747236644242</v>
      </c>
      <c r="S150" s="221"/>
      <c r="T150" s="85">
        <v>10</v>
      </c>
    </row>
    <row r="151" spans="1:20" s="60" customFormat="1">
      <c r="A151" s="219">
        <v>44761</v>
      </c>
      <c r="B151" s="81" t="str">
        <f>VLOOKUP(C151,'Master List'!A:C,3,FALSE)</f>
        <v>46-144</v>
      </c>
      <c r="C151" s="120">
        <v>232</v>
      </c>
      <c r="D151" s="78" t="s">
        <v>106</v>
      </c>
      <c r="E151" s="81">
        <f>VLOOKUP(C151,'Master List'!A:G,5,FALSE)</f>
        <v>50</v>
      </c>
      <c r="F151" s="43">
        <f>VLOOKUP(C151,'2022-002-bottles_csv'!E:L,8,FALSE)</f>
        <v>0.24</v>
      </c>
      <c r="G151" s="218">
        <v>304</v>
      </c>
      <c r="H151" s="218">
        <v>10</v>
      </c>
      <c r="I151" s="218">
        <v>1</v>
      </c>
      <c r="J151" s="249">
        <v>23918.68</v>
      </c>
      <c r="K151" s="249">
        <v>15002.79</v>
      </c>
      <c r="L151" s="249">
        <v>334.87</v>
      </c>
      <c r="M151" s="249">
        <v>333.82</v>
      </c>
      <c r="N151" s="250">
        <f t="shared" si="15"/>
        <v>23583.81</v>
      </c>
      <c r="O151" s="250">
        <f t="shared" si="16"/>
        <v>14668.970000000001</v>
      </c>
      <c r="P151" s="95">
        <f t="shared" si="17"/>
        <v>0.48721173027893505</v>
      </c>
      <c r="Q151" s="95">
        <f t="shared" si="18"/>
        <v>0.2014357569602426</v>
      </c>
      <c r="R151" s="133">
        <f t="shared" si="19"/>
        <v>1.6077345580500879</v>
      </c>
      <c r="S151" s="221"/>
      <c r="T151" s="85">
        <v>409</v>
      </c>
    </row>
    <row r="152" spans="1:20" s="60" customFormat="1">
      <c r="A152" s="219">
        <v>44748</v>
      </c>
      <c r="B152" s="81" t="str">
        <f>VLOOKUP(C152,'Master List'!A:C,3,FALSE)</f>
        <v>46-144</v>
      </c>
      <c r="C152" s="120">
        <v>234</v>
      </c>
      <c r="D152" s="78" t="s">
        <v>105</v>
      </c>
      <c r="E152" s="81">
        <f>VLOOKUP(C152,'Master List'!A:G,5,FALSE)</f>
        <v>25</v>
      </c>
      <c r="F152" s="43">
        <f>VLOOKUP(C152,'2022-002-bottles_csv'!E:L,8,FALSE)</f>
        <v>0.25</v>
      </c>
      <c r="G152" s="218">
        <v>304</v>
      </c>
      <c r="H152" s="218">
        <v>10</v>
      </c>
      <c r="I152" s="218">
        <v>1</v>
      </c>
      <c r="J152" s="249">
        <v>24854.21</v>
      </c>
      <c r="K152" s="249">
        <v>15439.82</v>
      </c>
      <c r="L152" s="249">
        <v>307.91000000000003</v>
      </c>
      <c r="M152" s="249">
        <v>311.38</v>
      </c>
      <c r="N152" s="250">
        <f t="shared" si="15"/>
        <v>24546.3</v>
      </c>
      <c r="O152" s="250">
        <f t="shared" si="16"/>
        <v>15128.44</v>
      </c>
      <c r="P152" s="95">
        <f t="shared" si="17"/>
        <v>0.51470266052164382</v>
      </c>
      <c r="Q152" s="95">
        <f t="shared" si="18"/>
        <v>0.1955150433695404</v>
      </c>
      <c r="R152" s="133">
        <f t="shared" si="19"/>
        <v>1.6225268434815485</v>
      </c>
      <c r="S152" s="221"/>
      <c r="T152" s="85">
        <v>14</v>
      </c>
    </row>
    <row r="153" spans="1:20" s="60" customFormat="1">
      <c r="A153" s="219">
        <v>44756</v>
      </c>
      <c r="B153" s="81" t="str">
        <f>VLOOKUP(C153,'Master List'!A:C,3,FALSE)</f>
        <v>46-144</v>
      </c>
      <c r="C153" s="120">
        <v>234</v>
      </c>
      <c r="D153" s="78" t="s">
        <v>106</v>
      </c>
      <c r="E153" s="81">
        <f>VLOOKUP(C153,'Master List'!A:G,5,FALSE)</f>
        <v>25</v>
      </c>
      <c r="F153" s="43">
        <f>VLOOKUP(C153,'2022-002-bottles_csv'!E:L,8,FALSE)</f>
        <v>0.25</v>
      </c>
      <c r="G153" s="218">
        <v>304</v>
      </c>
      <c r="H153" s="218">
        <v>10</v>
      </c>
      <c r="I153" s="218">
        <v>1</v>
      </c>
      <c r="J153" s="249">
        <v>23253.65</v>
      </c>
      <c r="K153" s="249">
        <v>14825.93</v>
      </c>
      <c r="L153" s="249">
        <v>332.16</v>
      </c>
      <c r="M153" s="249">
        <v>344.15</v>
      </c>
      <c r="N153" s="250">
        <f t="shared" si="15"/>
        <v>22921.49</v>
      </c>
      <c r="O153" s="250">
        <f t="shared" si="16"/>
        <v>14481.78</v>
      </c>
      <c r="P153" s="95">
        <f t="shared" si="17"/>
        <v>0.46124503772949721</v>
      </c>
      <c r="Q153" s="95">
        <f t="shared" si="18"/>
        <v>0.21861465301569999</v>
      </c>
      <c r="R153" s="133">
        <f t="shared" si="19"/>
        <v>1.5827812603146851</v>
      </c>
      <c r="S153" s="221"/>
      <c r="T153" s="85">
        <v>259</v>
      </c>
    </row>
    <row r="154" spans="1:20" s="60" customFormat="1">
      <c r="A154" s="219">
        <v>44748</v>
      </c>
      <c r="B154" s="81" t="str">
        <f>VLOOKUP(C154,'Master List'!A:C,3,FALSE)</f>
        <v>46-144</v>
      </c>
      <c r="C154" s="120">
        <v>240</v>
      </c>
      <c r="D154" s="78" t="s">
        <v>105</v>
      </c>
      <c r="E154" s="81">
        <f>VLOOKUP(C154,'Master List'!A:G,5,FALSE)</f>
        <v>5</v>
      </c>
      <c r="F154" s="43">
        <f>VLOOKUP(C154,'2022-002-bottles_csv'!E:L,8,FALSE)</f>
        <v>0.19</v>
      </c>
      <c r="G154" s="218">
        <v>304</v>
      </c>
      <c r="H154" s="218">
        <v>10</v>
      </c>
      <c r="I154" s="218">
        <v>1</v>
      </c>
      <c r="J154" s="249">
        <v>22681.54</v>
      </c>
      <c r="K154" s="249">
        <v>14024.71</v>
      </c>
      <c r="L154" s="249">
        <v>427.13</v>
      </c>
      <c r="M154" s="249">
        <v>458.5</v>
      </c>
      <c r="N154" s="250">
        <f t="shared" si="15"/>
        <v>22254.41</v>
      </c>
      <c r="O154" s="250">
        <f t="shared" si="16"/>
        <v>13566.21</v>
      </c>
      <c r="P154" s="95">
        <f t="shared" si="17"/>
        <v>0.47482545452407937</v>
      </c>
      <c r="Q154" s="95">
        <f t="shared" si="18"/>
        <v>0.16205201048259821</v>
      </c>
      <c r="R154" s="133">
        <f t="shared" si="19"/>
        <v>1.6404294198600788</v>
      </c>
      <c r="S154" s="221"/>
      <c r="T154" s="85">
        <v>31</v>
      </c>
    </row>
    <row r="155" spans="1:20" s="60" customFormat="1">
      <c r="A155" s="219">
        <v>44755</v>
      </c>
      <c r="B155" s="81" t="str">
        <f>VLOOKUP(C155,'Master List'!A:C,3,FALSE)</f>
        <v>46-144</v>
      </c>
      <c r="C155" s="120">
        <v>240</v>
      </c>
      <c r="D155" s="78" t="s">
        <v>106</v>
      </c>
      <c r="E155" s="81">
        <f>VLOOKUP(C155,'Master List'!A:G,5,FALSE)</f>
        <v>5</v>
      </c>
      <c r="F155" s="43">
        <f>VLOOKUP(C155,'2022-002-bottles_csv'!E:L,8,FALSE)</f>
        <v>0.19</v>
      </c>
      <c r="G155" s="218">
        <v>304</v>
      </c>
      <c r="H155" s="218">
        <v>10</v>
      </c>
      <c r="I155" s="218">
        <v>1</v>
      </c>
      <c r="J155" s="249">
        <v>23234.09</v>
      </c>
      <c r="K155" s="249">
        <v>14215.44</v>
      </c>
      <c r="L155" s="249">
        <v>311.39</v>
      </c>
      <c r="M155" s="249">
        <v>298.52999999999997</v>
      </c>
      <c r="N155" s="250">
        <f t="shared" si="15"/>
        <v>22922.7</v>
      </c>
      <c r="O155" s="250">
        <f t="shared" si="16"/>
        <v>13916.91</v>
      </c>
      <c r="P155" s="95">
        <f t="shared" si="17"/>
        <v>0.49218230819944392</v>
      </c>
      <c r="Q155" s="95">
        <f t="shared" si="18"/>
        <v>0.16115907170887839</v>
      </c>
      <c r="R155" s="133">
        <f t="shared" si="19"/>
        <v>1.6471113199697347</v>
      </c>
      <c r="S155" s="221"/>
      <c r="T155" s="85">
        <v>213</v>
      </c>
    </row>
    <row r="156" spans="1:20" s="60" customFormat="1">
      <c r="A156" s="219">
        <v>44749</v>
      </c>
      <c r="B156" s="81" t="str">
        <f>VLOOKUP(C156,'Master List'!A:C,3,FALSE)</f>
        <v>47-144</v>
      </c>
      <c r="C156" s="120">
        <v>252</v>
      </c>
      <c r="D156" s="78" t="s">
        <v>105</v>
      </c>
      <c r="E156" s="81">
        <f>VLOOKUP(C156,'Master List'!A:G,5,FALSE)</f>
        <v>150</v>
      </c>
      <c r="F156" s="43">
        <f>VLOOKUP(C156,'2022-002-bottles_csv'!E:L,8,FALSE)</f>
        <v>0.08</v>
      </c>
      <c r="G156" s="218">
        <v>304</v>
      </c>
      <c r="H156" s="218">
        <v>10</v>
      </c>
      <c r="I156" s="218">
        <v>1</v>
      </c>
      <c r="J156" s="249">
        <v>2686.58</v>
      </c>
      <c r="K156" s="249">
        <v>2203.71</v>
      </c>
      <c r="L156" s="249">
        <v>347.66</v>
      </c>
      <c r="M156" s="249">
        <v>357.34</v>
      </c>
      <c r="N156" s="250">
        <f t="shared" si="15"/>
        <v>2338.92</v>
      </c>
      <c r="O156" s="250">
        <f t="shared" si="16"/>
        <v>1846.3700000000001</v>
      </c>
      <c r="P156" s="95">
        <f t="shared" si="17"/>
        <v>2.6918726275389059E-2</v>
      </c>
      <c r="Q156" s="95">
        <f t="shared" si="18"/>
        <v>5.9760710727604346E-2</v>
      </c>
      <c r="R156" s="133">
        <f t="shared" si="19"/>
        <v>1.2667666827342299</v>
      </c>
      <c r="S156" s="221"/>
      <c r="T156" s="85">
        <v>49</v>
      </c>
    </row>
    <row r="157" spans="1:20" s="60" customFormat="1">
      <c r="A157" s="219">
        <v>44755</v>
      </c>
      <c r="B157" s="81" t="str">
        <f>VLOOKUP(C157,'Master List'!A:C,3,FALSE)</f>
        <v>47-144</v>
      </c>
      <c r="C157" s="120">
        <v>252</v>
      </c>
      <c r="D157" s="78" t="s">
        <v>106</v>
      </c>
      <c r="E157" s="81">
        <f>VLOOKUP(C157,'Master List'!A:G,5,FALSE)</f>
        <v>150</v>
      </c>
      <c r="F157" s="43">
        <f>VLOOKUP(C157,'2022-002-bottles_csv'!E:L,8,FALSE)</f>
        <v>0.08</v>
      </c>
      <c r="G157" s="218">
        <v>304</v>
      </c>
      <c r="H157" s="218">
        <v>10</v>
      </c>
      <c r="I157" s="218">
        <v>1</v>
      </c>
      <c r="J157" s="249">
        <v>2427.29</v>
      </c>
      <c r="K157" s="249">
        <v>2252.7600000000002</v>
      </c>
      <c r="L157" s="249">
        <v>332.42</v>
      </c>
      <c r="M157" s="249">
        <v>348.04</v>
      </c>
      <c r="N157" s="250">
        <f t="shared" si="15"/>
        <v>2094.87</v>
      </c>
      <c r="O157" s="250">
        <f t="shared" si="16"/>
        <v>1904.7200000000003</v>
      </c>
      <c r="P157" s="95">
        <f t="shared" si="17"/>
        <v>1.0392032892630639E-2</v>
      </c>
      <c r="Q157" s="95">
        <f t="shared" si="18"/>
        <v>7.9026695340790404E-2</v>
      </c>
      <c r="R157" s="133">
        <f t="shared" si="19"/>
        <v>1.099830946280818</v>
      </c>
      <c r="S157" s="221"/>
      <c r="T157" s="85">
        <v>236</v>
      </c>
    </row>
    <row r="158" spans="1:20" s="60" customFormat="1">
      <c r="A158" s="219">
        <v>44748</v>
      </c>
      <c r="B158" s="81" t="str">
        <f>VLOOKUP(C158,'Master List'!A:C,3,FALSE)</f>
        <v>47-144</v>
      </c>
      <c r="C158" s="120">
        <v>254</v>
      </c>
      <c r="D158" s="78" t="s">
        <v>105</v>
      </c>
      <c r="E158" s="81">
        <f>VLOOKUP(C158,'Master List'!A:G,5,FALSE)</f>
        <v>100</v>
      </c>
      <c r="F158" s="43">
        <f>VLOOKUP(C158,'2022-002-bottles_csv'!E:L,8,FALSE)</f>
        <v>0.09</v>
      </c>
      <c r="G158" s="218">
        <v>304</v>
      </c>
      <c r="H158" s="218">
        <v>10</v>
      </c>
      <c r="I158" s="218">
        <v>1</v>
      </c>
      <c r="J158" s="249">
        <v>5165.43</v>
      </c>
      <c r="K158" s="249">
        <v>3893.76</v>
      </c>
      <c r="L158" s="249">
        <v>427.13</v>
      </c>
      <c r="M158" s="249">
        <v>458.5</v>
      </c>
      <c r="N158" s="250">
        <f t="shared" si="15"/>
        <v>4738.3</v>
      </c>
      <c r="O158" s="250">
        <f t="shared" si="16"/>
        <v>3435.26</v>
      </c>
      <c r="P158" s="95">
        <f t="shared" si="17"/>
        <v>7.1213434343483831E-2</v>
      </c>
      <c r="Q158" s="95">
        <f t="shared" si="18"/>
        <v>9.0057818308424048E-2</v>
      </c>
      <c r="R158" s="133">
        <f t="shared" si="19"/>
        <v>1.379313356194291</v>
      </c>
      <c r="S158" s="221"/>
      <c r="T158" s="85">
        <v>35</v>
      </c>
    </row>
    <row r="159" spans="1:20" s="60" customFormat="1">
      <c r="A159" s="219">
        <v>44755</v>
      </c>
      <c r="B159" s="81" t="str">
        <f>VLOOKUP(C159,'Master List'!A:C,3,FALSE)</f>
        <v>47-144</v>
      </c>
      <c r="C159" s="120">
        <v>254</v>
      </c>
      <c r="D159" s="78" t="s">
        <v>106</v>
      </c>
      <c r="E159" s="81">
        <f>VLOOKUP(C159,'Master List'!A:G,5,FALSE)</f>
        <v>100</v>
      </c>
      <c r="F159" s="43">
        <f>VLOOKUP(C159,'2022-002-bottles_csv'!E:L,8,FALSE)</f>
        <v>0.09</v>
      </c>
      <c r="G159" s="218">
        <v>304</v>
      </c>
      <c r="H159" s="218">
        <v>10</v>
      </c>
      <c r="I159" s="218">
        <v>1</v>
      </c>
      <c r="J159" s="249">
        <v>5638.19</v>
      </c>
      <c r="K159" s="249">
        <v>4342.08</v>
      </c>
      <c r="L159" s="249">
        <v>332.42</v>
      </c>
      <c r="M159" s="249">
        <v>348.04</v>
      </c>
      <c r="N159" s="250">
        <f t="shared" si="15"/>
        <v>5305.7699999999995</v>
      </c>
      <c r="O159" s="250">
        <f t="shared" si="16"/>
        <v>3994.04</v>
      </c>
      <c r="P159" s="95">
        <f t="shared" si="17"/>
        <v>7.1688358171182798E-2</v>
      </c>
      <c r="Q159" s="95">
        <f t="shared" si="18"/>
        <v>0.11581530499894875</v>
      </c>
      <c r="R159" s="133">
        <f t="shared" si="19"/>
        <v>1.328421848554346</v>
      </c>
      <c r="S159" s="221"/>
      <c r="T159" s="85">
        <v>239</v>
      </c>
    </row>
    <row r="160" spans="1:20" s="60" customFormat="1">
      <c r="A160" s="219">
        <v>44748</v>
      </c>
      <c r="B160" s="81" t="str">
        <f>VLOOKUP(C160,'Master List'!A:C,3,FALSE)</f>
        <v>47-144</v>
      </c>
      <c r="C160" s="120">
        <v>255</v>
      </c>
      <c r="D160" s="78" t="s">
        <v>105</v>
      </c>
      <c r="E160" s="81">
        <f>VLOOKUP(C160,'Master List'!A:G,5,FALSE)</f>
        <v>75</v>
      </c>
      <c r="F160" s="43">
        <f>VLOOKUP(C160,'2022-002-bottles_csv'!E:L,8,FALSE)</f>
        <v>0.1</v>
      </c>
      <c r="G160" s="218">
        <v>304</v>
      </c>
      <c r="H160" s="218">
        <v>10</v>
      </c>
      <c r="I160" s="218">
        <v>1</v>
      </c>
      <c r="J160" s="249">
        <v>10061.15</v>
      </c>
      <c r="K160" s="249">
        <v>7015.73</v>
      </c>
      <c r="L160" s="249">
        <v>307.91000000000003</v>
      </c>
      <c r="M160" s="249">
        <v>311.38</v>
      </c>
      <c r="N160" s="250">
        <f t="shared" si="15"/>
        <v>9753.24</v>
      </c>
      <c r="O160" s="250">
        <f t="shared" si="16"/>
        <v>6704.3499999999995</v>
      </c>
      <c r="P160" s="95">
        <f t="shared" si="17"/>
        <v>0.16662721622935939</v>
      </c>
      <c r="Q160" s="95">
        <f t="shared" si="18"/>
        <v>0.14811429466554182</v>
      </c>
      <c r="R160" s="133">
        <f t="shared" si="19"/>
        <v>1.4547629524114942</v>
      </c>
      <c r="S160" s="221"/>
      <c r="T160" s="85">
        <v>11</v>
      </c>
    </row>
    <row r="161" spans="1:20" s="60" customFormat="1">
      <c r="A161" s="219">
        <v>44757</v>
      </c>
      <c r="B161" s="81" t="str">
        <f>VLOOKUP(C161,'Master List'!A:C,3,FALSE)</f>
        <v>47-144</v>
      </c>
      <c r="C161" s="120">
        <v>255</v>
      </c>
      <c r="D161" s="78" t="s">
        <v>106</v>
      </c>
      <c r="E161" s="81">
        <f>VLOOKUP(C161,'Master List'!A:G,5,FALSE)</f>
        <v>75</v>
      </c>
      <c r="F161" s="43">
        <f>VLOOKUP(C161,'2022-002-bottles_csv'!E:L,8,FALSE)</f>
        <v>0.1</v>
      </c>
      <c r="G161" s="218">
        <v>304</v>
      </c>
      <c r="H161" s="218">
        <v>10</v>
      </c>
      <c r="I161" s="218">
        <v>1</v>
      </c>
      <c r="J161" s="249">
        <v>9025.39</v>
      </c>
      <c r="K161" s="249">
        <v>6340.83</v>
      </c>
      <c r="L161" s="249">
        <v>351.09</v>
      </c>
      <c r="M161" s="249">
        <v>351.83</v>
      </c>
      <c r="N161" s="250">
        <f t="shared" si="15"/>
        <v>8674.2999999999993</v>
      </c>
      <c r="O161" s="250">
        <f t="shared" si="16"/>
        <v>5989</v>
      </c>
      <c r="P161" s="95">
        <f t="shared" si="17"/>
        <v>0.14675638141772865</v>
      </c>
      <c r="Q161" s="95">
        <f t="shared" si="18"/>
        <v>0.13440240485529759</v>
      </c>
      <c r="R161" s="133">
        <f t="shared" si="19"/>
        <v>1.4483720153614958</v>
      </c>
      <c r="S161" s="221"/>
      <c r="T161" s="85">
        <v>283</v>
      </c>
    </row>
    <row r="162" spans="1:20" s="60" customFormat="1">
      <c r="A162" s="219">
        <v>44748</v>
      </c>
      <c r="B162" s="81" t="str">
        <f>VLOOKUP(C162,'Master List'!A:C,3,FALSE)</f>
        <v>47-144</v>
      </c>
      <c r="C162" s="120">
        <v>257</v>
      </c>
      <c r="D162" s="78" t="s">
        <v>105</v>
      </c>
      <c r="E162" s="81">
        <f>VLOOKUP(C162,'Master List'!A:G,5,FALSE)</f>
        <v>50</v>
      </c>
      <c r="F162" s="43">
        <f>VLOOKUP(C162,'2022-002-bottles_csv'!E:L,8,FALSE)</f>
        <v>0.23</v>
      </c>
      <c r="G162" s="218">
        <v>304</v>
      </c>
      <c r="H162" s="218">
        <v>10</v>
      </c>
      <c r="I162" s="218">
        <v>1</v>
      </c>
      <c r="J162" s="249">
        <v>24506.44</v>
      </c>
      <c r="K162" s="249">
        <v>15197.85</v>
      </c>
      <c r="L162" s="249">
        <v>427.13</v>
      </c>
      <c r="M162" s="249">
        <v>458.5</v>
      </c>
      <c r="N162" s="250">
        <f t="shared" si="15"/>
        <v>24079.309999999998</v>
      </c>
      <c r="O162" s="250">
        <f t="shared" si="16"/>
        <v>14739.35</v>
      </c>
      <c r="P162" s="95">
        <f t="shared" si="17"/>
        <v>0.51044528811914081</v>
      </c>
      <c r="Q162" s="95">
        <f t="shared" si="18"/>
        <v>0.18150624910799723</v>
      </c>
      <c r="R162" s="133">
        <f t="shared" si="19"/>
        <v>1.6336751620661696</v>
      </c>
      <c r="S162" s="221"/>
      <c r="T162" s="85">
        <v>33</v>
      </c>
    </row>
    <row r="163" spans="1:20" s="60" customFormat="1">
      <c r="A163" s="219">
        <v>44755</v>
      </c>
      <c r="B163" s="81" t="str">
        <f>VLOOKUP(C163,'Master List'!A:C,3,FALSE)</f>
        <v>47-144</v>
      </c>
      <c r="C163" s="120">
        <v>257</v>
      </c>
      <c r="D163" s="78" t="s">
        <v>106</v>
      </c>
      <c r="E163" s="81">
        <f>VLOOKUP(C163,'Master List'!A:G,5,FALSE)</f>
        <v>50</v>
      </c>
      <c r="F163" s="43">
        <f>VLOOKUP(C163,'2022-002-bottles_csv'!E:L,8,FALSE)</f>
        <v>0.23</v>
      </c>
      <c r="G163" s="218">
        <v>304</v>
      </c>
      <c r="H163" s="218">
        <v>10</v>
      </c>
      <c r="I163" s="218">
        <v>1</v>
      </c>
      <c r="J163" s="249">
        <v>24279.45</v>
      </c>
      <c r="K163" s="249">
        <v>15278.36</v>
      </c>
      <c r="L163" s="249">
        <v>332.42</v>
      </c>
      <c r="M163" s="249">
        <v>348.04</v>
      </c>
      <c r="N163" s="250">
        <f t="shared" si="15"/>
        <v>23947.030000000002</v>
      </c>
      <c r="O163" s="250">
        <f t="shared" si="16"/>
        <v>14930.32</v>
      </c>
      <c r="P163" s="95">
        <f t="shared" si="17"/>
        <v>0.49277910546048809</v>
      </c>
      <c r="Q163" s="95">
        <f t="shared" si="18"/>
        <v>0.20813768363082757</v>
      </c>
      <c r="R163" s="133">
        <f t="shared" si="19"/>
        <v>1.6039194069517602</v>
      </c>
      <c r="S163" s="221"/>
      <c r="T163" s="85">
        <v>222</v>
      </c>
    </row>
    <row r="164" spans="1:20" s="60" customFormat="1">
      <c r="A164" s="219">
        <v>44748</v>
      </c>
      <c r="B164" s="81" t="str">
        <f>VLOOKUP(C164,'Master List'!A:C,3,FALSE)</f>
        <v>47-144</v>
      </c>
      <c r="C164" s="120">
        <v>258</v>
      </c>
      <c r="D164" s="78" t="s">
        <v>105</v>
      </c>
      <c r="E164" s="81">
        <f>VLOOKUP(C164,'Master List'!A:G,5,FALSE)</f>
        <v>25</v>
      </c>
      <c r="F164" s="43">
        <f>VLOOKUP(C164,'2022-002-bottles_csv'!E:L,8,FALSE)</f>
        <v>0.25</v>
      </c>
      <c r="G164" s="218">
        <v>304</v>
      </c>
      <c r="H164" s="218">
        <v>10</v>
      </c>
      <c r="I164" s="218">
        <v>1</v>
      </c>
      <c r="J164" s="249">
        <v>23781.19</v>
      </c>
      <c r="K164" s="249">
        <v>14787.23</v>
      </c>
      <c r="L164" s="249">
        <v>307.91000000000003</v>
      </c>
      <c r="M164" s="249">
        <v>311.38</v>
      </c>
      <c r="N164" s="250">
        <f t="shared" si="15"/>
        <v>23473.279999999999</v>
      </c>
      <c r="O164" s="250">
        <f t="shared" si="16"/>
        <v>14475.85</v>
      </c>
      <c r="P164" s="95">
        <f t="shared" si="17"/>
        <v>0.49172541945380938</v>
      </c>
      <c r="Q164" s="95">
        <f t="shared" si="18"/>
        <v>0.1878558823111576</v>
      </c>
      <c r="R164" s="133">
        <f t="shared" si="19"/>
        <v>1.6215476120573229</v>
      </c>
      <c r="S164" s="221"/>
      <c r="T164" s="85">
        <v>19</v>
      </c>
    </row>
    <row r="165" spans="1:20" s="60" customFormat="1">
      <c r="A165" s="219">
        <v>44755</v>
      </c>
      <c r="B165" s="81" t="str">
        <f>VLOOKUP(C165,'Master List'!A:C,3,FALSE)</f>
        <v>47-144</v>
      </c>
      <c r="C165" s="120">
        <v>258</v>
      </c>
      <c r="D165" s="78" t="s">
        <v>106</v>
      </c>
      <c r="E165" s="81">
        <f>VLOOKUP(C165,'Master List'!A:G,5,FALSE)</f>
        <v>25</v>
      </c>
      <c r="F165" s="43">
        <f>VLOOKUP(C165,'2022-002-bottles_csv'!E:L,8,FALSE)</f>
        <v>0.25</v>
      </c>
      <c r="G165" s="218">
        <v>304</v>
      </c>
      <c r="H165" s="218">
        <v>10</v>
      </c>
      <c r="I165" s="218">
        <v>1</v>
      </c>
      <c r="J165" s="249">
        <v>27277.95</v>
      </c>
      <c r="K165" s="249">
        <v>16908.73</v>
      </c>
      <c r="L165" s="249">
        <v>332.42</v>
      </c>
      <c r="M165" s="249">
        <v>348.04</v>
      </c>
      <c r="N165" s="250">
        <f t="shared" si="15"/>
        <v>26945.530000000002</v>
      </c>
      <c r="O165" s="250">
        <f t="shared" si="16"/>
        <v>16560.689999999999</v>
      </c>
      <c r="P165" s="95">
        <f t="shared" si="17"/>
        <v>0.56754982311178859</v>
      </c>
      <c r="Q165" s="95">
        <f t="shared" si="18"/>
        <v>0.20990609611409933</v>
      </c>
      <c r="R165" s="133">
        <f t="shared" si="19"/>
        <v>1.6270777364952791</v>
      </c>
      <c r="S165" s="221"/>
      <c r="T165" s="85">
        <v>234</v>
      </c>
    </row>
    <row r="166" spans="1:20" s="60" customFormat="1">
      <c r="A166" s="219">
        <v>44749</v>
      </c>
      <c r="B166" s="81" t="str">
        <f>VLOOKUP(C166,'Master List'!A:C,3,FALSE)</f>
        <v>47-144</v>
      </c>
      <c r="C166" s="120">
        <v>261</v>
      </c>
      <c r="D166" s="78" t="s">
        <v>105</v>
      </c>
      <c r="E166" s="81">
        <f>VLOOKUP(C166,'Master List'!A:G,5,FALSE)</f>
        <v>5</v>
      </c>
      <c r="F166" s="43">
        <f>VLOOKUP(C166,'2022-002-bottles_csv'!E:L,8,FALSE)</f>
        <v>0.27</v>
      </c>
      <c r="G166" s="218">
        <v>304</v>
      </c>
      <c r="H166" s="218">
        <v>10</v>
      </c>
      <c r="I166" s="218">
        <v>1</v>
      </c>
      <c r="J166" s="249">
        <v>25093.25</v>
      </c>
      <c r="K166" s="249">
        <v>15546.79</v>
      </c>
      <c r="L166" s="249">
        <v>347.66</v>
      </c>
      <c r="M166" s="249">
        <v>357.34</v>
      </c>
      <c r="N166" s="250">
        <f t="shared" si="15"/>
        <v>24745.59</v>
      </c>
      <c r="O166" s="250">
        <f t="shared" si="16"/>
        <v>15189.45</v>
      </c>
      <c r="P166" s="95">
        <f t="shared" si="17"/>
        <v>0.52225990642431519</v>
      </c>
      <c r="Q166" s="95">
        <f t="shared" si="18"/>
        <v>0.19082196469854665</v>
      </c>
      <c r="R166" s="133">
        <f t="shared" si="19"/>
        <v>1.6291300870011751</v>
      </c>
      <c r="S166" s="221"/>
      <c r="T166" s="85">
        <v>50</v>
      </c>
    </row>
    <row r="167" spans="1:20" s="60" customFormat="1">
      <c r="A167" s="219">
        <v>44755</v>
      </c>
      <c r="B167" s="81" t="str">
        <f>VLOOKUP(C167,'Master List'!A:C,3,FALSE)</f>
        <v>47-144</v>
      </c>
      <c r="C167" s="120">
        <v>261</v>
      </c>
      <c r="D167" s="78" t="s">
        <v>106</v>
      </c>
      <c r="E167" s="81">
        <f>VLOOKUP(C167,'Master List'!A:G,5,FALSE)</f>
        <v>5</v>
      </c>
      <c r="F167" s="43">
        <f>VLOOKUP(C167,'2022-002-bottles_csv'!E:L,8,FALSE)</f>
        <v>0.27</v>
      </c>
      <c r="G167" s="218">
        <v>304</v>
      </c>
      <c r="H167" s="218">
        <v>10</v>
      </c>
      <c r="I167" s="218">
        <v>1</v>
      </c>
      <c r="J167" s="249">
        <v>23990.42</v>
      </c>
      <c r="K167" s="249">
        <v>15099.03</v>
      </c>
      <c r="L167" s="249">
        <v>311.39</v>
      </c>
      <c r="M167" s="249">
        <v>298.52999999999997</v>
      </c>
      <c r="N167" s="250">
        <f t="shared" si="15"/>
        <v>23679.03</v>
      </c>
      <c r="O167" s="250">
        <f t="shared" si="16"/>
        <v>14800.5</v>
      </c>
      <c r="P167" s="95">
        <f t="shared" si="17"/>
        <v>0.48522732473419966</v>
      </c>
      <c r="Q167" s="95">
        <f t="shared" si="18"/>
        <v>0.20959495214573437</v>
      </c>
      <c r="R167" s="133">
        <f t="shared" si="19"/>
        <v>1.5998804094456267</v>
      </c>
      <c r="S167" s="221"/>
      <c r="T167" s="85">
        <v>215</v>
      </c>
    </row>
    <row r="168" spans="1:20" s="60" customFormat="1">
      <c r="A168" s="219">
        <v>44748</v>
      </c>
      <c r="B168" s="81" t="str">
        <f>VLOOKUP(C168,'Master List'!A:C,3,FALSE)</f>
        <v>48-144</v>
      </c>
      <c r="C168" s="120">
        <v>268</v>
      </c>
      <c r="D168" s="78" t="s">
        <v>105</v>
      </c>
      <c r="E168" s="81">
        <f>VLOOKUP(C168,'Master List'!A:G,5,FALSE)</f>
        <v>150</v>
      </c>
      <c r="F168" s="43">
        <f>VLOOKUP(C168,'2022-002-bottles_csv'!E:L,8,FALSE)</f>
        <v>0.06</v>
      </c>
      <c r="G168" s="218">
        <v>304</v>
      </c>
      <c r="H168" s="218">
        <v>10</v>
      </c>
      <c r="I168" s="218">
        <v>1</v>
      </c>
      <c r="J168" s="249">
        <v>2325.2399999999998</v>
      </c>
      <c r="K168" s="249">
        <v>1913.79</v>
      </c>
      <c r="L168" s="249">
        <v>427.13</v>
      </c>
      <c r="M168" s="249">
        <v>458.5</v>
      </c>
      <c r="N168" s="250">
        <f t="shared" si="15"/>
        <v>1898.1099999999997</v>
      </c>
      <c r="O168" s="250">
        <f t="shared" si="16"/>
        <v>1455.29</v>
      </c>
      <c r="P168" s="95">
        <f t="shared" si="17"/>
        <v>2.4200894060030002E-2</v>
      </c>
      <c r="Q168" s="95">
        <f t="shared" si="18"/>
        <v>4.4118954007305512E-2</v>
      </c>
      <c r="R168" s="133">
        <f t="shared" si="19"/>
        <v>1.3042829951418615</v>
      </c>
      <c r="S168" s="221"/>
      <c r="T168" s="85">
        <v>37</v>
      </c>
    </row>
    <row r="169" spans="1:20" s="60" customFormat="1">
      <c r="A169" s="219">
        <v>44761</v>
      </c>
      <c r="B169" s="81" t="str">
        <f>VLOOKUP(C169,'Master List'!A:C,3,FALSE)</f>
        <v>48-144</v>
      </c>
      <c r="C169" s="120">
        <v>268</v>
      </c>
      <c r="D169" s="78" t="s">
        <v>106</v>
      </c>
      <c r="E169" s="81">
        <f>VLOOKUP(C169,'Master List'!A:G,5,FALSE)</f>
        <v>150</v>
      </c>
      <c r="F169" s="43">
        <f>VLOOKUP(C169,'2022-002-bottles_csv'!E:L,8,FALSE)</f>
        <v>0.06</v>
      </c>
      <c r="G169" s="218">
        <v>304</v>
      </c>
      <c r="H169" s="218">
        <v>10</v>
      </c>
      <c r="I169" s="218">
        <v>1</v>
      </c>
      <c r="J169" s="249">
        <v>2129.29</v>
      </c>
      <c r="K169" s="249">
        <v>1817.13</v>
      </c>
      <c r="L169" s="249">
        <v>345.92</v>
      </c>
      <c r="M169" s="249">
        <v>349.76</v>
      </c>
      <c r="N169" s="250">
        <f t="shared" si="15"/>
        <v>1783.37</v>
      </c>
      <c r="O169" s="250">
        <f t="shared" si="16"/>
        <v>1467.3700000000001</v>
      </c>
      <c r="P169" s="95">
        <f t="shared" si="17"/>
        <v>1.7269957370871867E-2</v>
      </c>
      <c r="Q169" s="95">
        <f t="shared" si="18"/>
        <v>5.1616996747253119E-2</v>
      </c>
      <c r="R169" s="133">
        <f t="shared" si="19"/>
        <v>1.215351274729618</v>
      </c>
      <c r="S169" s="221"/>
      <c r="T169" s="85">
        <v>354</v>
      </c>
    </row>
    <row r="170" spans="1:20" s="60" customFormat="1">
      <c r="A170" s="219">
        <v>44749</v>
      </c>
      <c r="B170" s="81" t="str">
        <f>VLOOKUP(C170,'Master List'!A:C,3,FALSE)</f>
        <v>48-144</v>
      </c>
      <c r="C170" s="120">
        <v>272</v>
      </c>
      <c r="D170" s="78" t="s">
        <v>105</v>
      </c>
      <c r="E170" s="81">
        <f>VLOOKUP(C170,'Master List'!A:G,5,FALSE)</f>
        <v>100</v>
      </c>
      <c r="F170" s="43">
        <f>VLOOKUP(C170,'2022-002-bottles_csv'!E:L,8,FALSE)</f>
        <v>7.0000000000000007E-2</v>
      </c>
      <c r="G170" s="218">
        <v>304</v>
      </c>
      <c r="H170" s="218">
        <v>10</v>
      </c>
      <c r="I170" s="218">
        <v>1</v>
      </c>
      <c r="J170" s="249">
        <v>5464.86</v>
      </c>
      <c r="K170" s="249">
        <v>4160.54</v>
      </c>
      <c r="L170" s="249">
        <v>347.66</v>
      </c>
      <c r="M170" s="249">
        <v>357.34</v>
      </c>
      <c r="N170" s="250">
        <f t="shared" si="15"/>
        <v>5117.2</v>
      </c>
      <c r="O170" s="250">
        <f t="shared" si="16"/>
        <v>3803.2</v>
      </c>
      <c r="P170" s="95">
        <f t="shared" si="17"/>
        <v>7.1812417675081175E-2</v>
      </c>
      <c r="Q170" s="95">
        <f t="shared" si="18"/>
        <v>0.10673209659333985</v>
      </c>
      <c r="R170" s="133">
        <f t="shared" si="19"/>
        <v>1.3454985275557425</v>
      </c>
      <c r="S170" s="221"/>
      <c r="T170" s="85">
        <v>51</v>
      </c>
    </row>
    <row r="171" spans="1:20" s="60" customFormat="1">
      <c r="A171" s="219">
        <v>44761</v>
      </c>
      <c r="B171" s="81" t="str">
        <f>VLOOKUP(C171,'Master List'!A:C,3,FALSE)</f>
        <v>48-144</v>
      </c>
      <c r="C171" s="120">
        <v>272</v>
      </c>
      <c r="D171" s="78" t="s">
        <v>106</v>
      </c>
      <c r="E171" s="81">
        <f>VLOOKUP(C171,'Master List'!A:G,5,FALSE)</f>
        <v>100</v>
      </c>
      <c r="F171" s="43">
        <f>VLOOKUP(C171,'2022-002-bottles_csv'!E:L,8,FALSE)</f>
        <v>7.0000000000000007E-2</v>
      </c>
      <c r="G171" s="218">
        <v>304</v>
      </c>
      <c r="H171" s="218">
        <v>10</v>
      </c>
      <c r="I171" s="218">
        <v>1</v>
      </c>
      <c r="J171" s="249">
        <v>5290.87</v>
      </c>
      <c r="K171" s="249">
        <v>4046.82</v>
      </c>
      <c r="L171" s="249">
        <v>362.04</v>
      </c>
      <c r="M171" s="249">
        <v>363.93</v>
      </c>
      <c r="N171" s="250">
        <f t="shared" si="15"/>
        <v>4928.83</v>
      </c>
      <c r="O171" s="250">
        <f t="shared" si="16"/>
        <v>3682.8900000000003</v>
      </c>
      <c r="P171" s="95">
        <f t="shared" si="17"/>
        <v>6.8092818628683868E-2</v>
      </c>
      <c r="Q171" s="95">
        <f t="shared" si="18"/>
        <v>0.10480363860575692</v>
      </c>
      <c r="R171" s="133">
        <f t="shared" si="19"/>
        <v>1.3383049724536979</v>
      </c>
      <c r="S171" s="221"/>
      <c r="T171" s="85">
        <v>373</v>
      </c>
    </row>
    <row r="172" spans="1:20" s="60" customFormat="1">
      <c r="A172" s="219">
        <v>44748</v>
      </c>
      <c r="B172" s="81" t="str">
        <f>VLOOKUP(C172,'Master List'!A:C,3,FALSE)</f>
        <v>48-144</v>
      </c>
      <c r="C172" s="120">
        <v>273</v>
      </c>
      <c r="D172" s="78" t="s">
        <v>105</v>
      </c>
      <c r="E172" s="81">
        <f>VLOOKUP(C172,'Master List'!A:G,5,FALSE)</f>
        <v>75</v>
      </c>
      <c r="F172" s="43">
        <f>VLOOKUP(C172,'2022-002-bottles_csv'!E:L,8,FALSE)</f>
        <v>0.2</v>
      </c>
      <c r="G172" s="218">
        <v>304</v>
      </c>
      <c r="H172" s="218">
        <v>10</v>
      </c>
      <c r="I172" s="218">
        <v>1</v>
      </c>
      <c r="J172" s="249">
        <v>2157.79</v>
      </c>
      <c r="K172" s="249">
        <v>2073.3000000000002</v>
      </c>
      <c r="L172" s="249">
        <v>307.91000000000003</v>
      </c>
      <c r="M172" s="249">
        <v>311.38</v>
      </c>
      <c r="N172" s="250">
        <f t="shared" si="15"/>
        <v>1849.8799999999999</v>
      </c>
      <c r="O172" s="250">
        <f t="shared" si="16"/>
        <v>1761.92</v>
      </c>
      <c r="P172" s="95">
        <f t="shared" si="17"/>
        <v>4.8071691466515416E-3</v>
      </c>
      <c r="Q172" s="95">
        <f t="shared" si="18"/>
        <v>7.7907689545980027E-2</v>
      </c>
      <c r="R172" s="133">
        <f t="shared" si="19"/>
        <v>1.0499228114783872</v>
      </c>
      <c r="S172" s="221" t="s">
        <v>232</v>
      </c>
      <c r="T172" s="85">
        <v>9</v>
      </c>
    </row>
    <row r="173" spans="1:20" s="60" customFormat="1">
      <c r="A173" s="219">
        <v>44755</v>
      </c>
      <c r="B173" s="81" t="str">
        <f>VLOOKUP(C173,'Master List'!A:C,3,FALSE)</f>
        <v>48-144</v>
      </c>
      <c r="C173" s="120">
        <v>273</v>
      </c>
      <c r="D173" s="78" t="s">
        <v>106</v>
      </c>
      <c r="E173" s="81">
        <f>VLOOKUP(C173,'Master List'!A:G,5,FALSE)</f>
        <v>75</v>
      </c>
      <c r="F173" s="43">
        <f>VLOOKUP(C173,'2022-002-bottles_csv'!E:L,8,FALSE)</f>
        <v>0.2</v>
      </c>
      <c r="G173" s="218">
        <v>304</v>
      </c>
      <c r="H173" s="218">
        <v>10</v>
      </c>
      <c r="I173" s="218">
        <v>1</v>
      </c>
      <c r="J173" s="249">
        <v>22043.88</v>
      </c>
      <c r="K173" s="249">
        <v>14366.28</v>
      </c>
      <c r="L173" s="249">
        <v>332.42</v>
      </c>
      <c r="M173" s="249">
        <v>348.04</v>
      </c>
      <c r="N173" s="250">
        <f t="shared" si="15"/>
        <v>21711.460000000003</v>
      </c>
      <c r="O173" s="250">
        <f t="shared" si="16"/>
        <v>14018.24</v>
      </c>
      <c r="P173" s="95">
        <f t="shared" si="17"/>
        <v>0.42044804254664242</v>
      </c>
      <c r="Q173" s="95">
        <f t="shared" si="18"/>
        <v>0.23765036187546265</v>
      </c>
      <c r="R173" s="133">
        <f t="shared" si="19"/>
        <v>1.5488007053667225</v>
      </c>
      <c r="S173" s="221"/>
      <c r="T173" s="85">
        <v>232</v>
      </c>
    </row>
    <row r="174" spans="1:20" s="60" customFormat="1">
      <c r="A174" s="219">
        <v>44748</v>
      </c>
      <c r="B174" s="81" t="str">
        <f>VLOOKUP(C174,'Master List'!A:C,3,FALSE)</f>
        <v>48-144</v>
      </c>
      <c r="C174" s="120">
        <v>276</v>
      </c>
      <c r="D174" s="78" t="s">
        <v>105</v>
      </c>
      <c r="E174" s="81">
        <f>VLOOKUP(C174,'Master List'!A:G,5,FALSE)</f>
        <v>50</v>
      </c>
      <c r="F174" s="43">
        <f>VLOOKUP(C174,'2022-002-bottles_csv'!E:L,8,FALSE)</f>
        <v>0.2</v>
      </c>
      <c r="G174" s="218">
        <v>304</v>
      </c>
      <c r="H174" s="218">
        <v>10</v>
      </c>
      <c r="I174" s="218">
        <v>1</v>
      </c>
      <c r="J174" s="249">
        <v>20288.75</v>
      </c>
      <c r="K174" s="249">
        <v>12864.75</v>
      </c>
      <c r="L174" s="249">
        <v>307.91000000000003</v>
      </c>
      <c r="M174" s="249">
        <v>311.38</v>
      </c>
      <c r="N174" s="250">
        <f t="shared" si="15"/>
        <v>19980.84</v>
      </c>
      <c r="O174" s="250">
        <f t="shared" si="16"/>
        <v>12553.37</v>
      </c>
      <c r="P174" s="95">
        <f t="shared" si="17"/>
        <v>0.40592433630832203</v>
      </c>
      <c r="Q174" s="95">
        <f t="shared" si="18"/>
        <v>0.18340447865848714</v>
      </c>
      <c r="R174" s="133">
        <f t="shared" si="19"/>
        <v>1.5916713997914502</v>
      </c>
      <c r="S174" s="221"/>
      <c r="T174" s="85">
        <v>23</v>
      </c>
    </row>
    <row r="175" spans="1:20" s="60" customFormat="1">
      <c r="A175" s="219">
        <v>44761</v>
      </c>
      <c r="B175" s="81" t="str">
        <f>VLOOKUP(C175,'Master List'!A:C,3,FALSE)</f>
        <v>48-144</v>
      </c>
      <c r="C175" s="120">
        <v>276</v>
      </c>
      <c r="D175" s="78" t="s">
        <v>106</v>
      </c>
      <c r="E175" s="81">
        <f>VLOOKUP(C175,'Master List'!A:G,5,FALSE)</f>
        <v>50</v>
      </c>
      <c r="F175" s="43">
        <f>VLOOKUP(C175,'2022-002-bottles_csv'!E:L,8,FALSE)</f>
        <v>0.2</v>
      </c>
      <c r="G175" s="218">
        <v>304</v>
      </c>
      <c r="H175" s="218">
        <v>10</v>
      </c>
      <c r="I175" s="218">
        <v>1</v>
      </c>
      <c r="J175" s="249">
        <v>21699.79</v>
      </c>
      <c r="K175" s="249">
        <v>13825.32</v>
      </c>
      <c r="L175" s="249">
        <v>345.92</v>
      </c>
      <c r="M175" s="249">
        <v>349.76</v>
      </c>
      <c r="N175" s="250">
        <f t="shared" si="15"/>
        <v>21353.870000000003</v>
      </c>
      <c r="O175" s="250">
        <f t="shared" si="16"/>
        <v>13475.56</v>
      </c>
      <c r="P175" s="95">
        <f t="shared" si="17"/>
        <v>0.43056353751428383</v>
      </c>
      <c r="Q175" s="95">
        <f t="shared" si="18"/>
        <v>0.20205828481821594</v>
      </c>
      <c r="R175" s="133">
        <f t="shared" si="19"/>
        <v>1.5846369278901955</v>
      </c>
      <c r="S175" s="221"/>
      <c r="T175" s="85">
        <v>360</v>
      </c>
    </row>
    <row r="176" spans="1:20" s="60" customFormat="1">
      <c r="A176" s="219">
        <v>44748</v>
      </c>
      <c r="B176" s="81" t="str">
        <f>VLOOKUP(C176,'Master List'!A:C,3,FALSE)</f>
        <v>48-144</v>
      </c>
      <c r="C176" s="120">
        <v>278</v>
      </c>
      <c r="D176" s="78" t="s">
        <v>105</v>
      </c>
      <c r="E176" s="81">
        <f>VLOOKUP(C176,'Master List'!A:G,5,FALSE)</f>
        <v>25</v>
      </c>
      <c r="F176" s="43">
        <f>VLOOKUP(C176,'2022-002-bottles_csv'!E:L,8,FALSE)</f>
        <v>0.21</v>
      </c>
      <c r="G176" s="218">
        <v>304</v>
      </c>
      <c r="H176" s="218">
        <v>10</v>
      </c>
      <c r="I176" s="218">
        <v>1</v>
      </c>
      <c r="J176" s="249">
        <v>20361.2</v>
      </c>
      <c r="K176" s="249">
        <v>12842.39</v>
      </c>
      <c r="L176" s="249">
        <v>427.13</v>
      </c>
      <c r="M176" s="249">
        <v>458.5</v>
      </c>
      <c r="N176" s="250">
        <f t="shared" si="15"/>
        <v>19934.07</v>
      </c>
      <c r="O176" s="250">
        <f t="shared" si="16"/>
        <v>12383.89</v>
      </c>
      <c r="P176" s="95">
        <f t="shared" si="17"/>
        <v>0.41263065424813117</v>
      </c>
      <c r="Q176" s="95">
        <f t="shared" si="18"/>
        <v>0.16874177549617794</v>
      </c>
      <c r="R176" s="133">
        <f t="shared" si="19"/>
        <v>1.6096775730404582</v>
      </c>
      <c r="S176" s="221"/>
      <c r="T176" s="85">
        <v>36</v>
      </c>
    </row>
    <row r="177" spans="1:20" s="60" customFormat="1">
      <c r="A177" s="219">
        <v>44757</v>
      </c>
      <c r="B177" s="81" t="str">
        <f>VLOOKUP(C177,'Master List'!A:C,3,FALSE)</f>
        <v>48-144</v>
      </c>
      <c r="C177" s="120">
        <v>278</v>
      </c>
      <c r="D177" s="78" t="s">
        <v>106</v>
      </c>
      <c r="E177" s="81">
        <f>VLOOKUP(C177,'Master List'!A:G,5,FALSE)</f>
        <v>25</v>
      </c>
      <c r="F177" s="43">
        <f>VLOOKUP(C177,'2022-002-bottles_csv'!E:L,8,FALSE)</f>
        <v>0.21</v>
      </c>
      <c r="G177" s="218">
        <v>304</v>
      </c>
      <c r="H177" s="218">
        <v>10</v>
      </c>
      <c r="I177" s="218">
        <v>1</v>
      </c>
      <c r="J177" s="249">
        <v>20043</v>
      </c>
      <c r="K177" s="249">
        <v>12873.91</v>
      </c>
      <c r="L177" s="249">
        <v>305.45999999999998</v>
      </c>
      <c r="M177" s="249">
        <v>318.69</v>
      </c>
      <c r="N177" s="250">
        <f t="shared" si="15"/>
        <v>19737.54</v>
      </c>
      <c r="O177" s="250">
        <f t="shared" si="16"/>
        <v>12555.22</v>
      </c>
      <c r="P177" s="95">
        <f t="shared" si="17"/>
        <v>0.39252645640493844</v>
      </c>
      <c r="Q177" s="95">
        <f t="shared" si="18"/>
        <v>0.1968892084123641</v>
      </c>
      <c r="R177" s="133">
        <f t="shared" si="19"/>
        <v>1.5720584744831234</v>
      </c>
      <c r="S177" s="221"/>
      <c r="T177" s="85">
        <v>297</v>
      </c>
    </row>
    <row r="178" spans="1:20" s="60" customFormat="1">
      <c r="A178" s="219">
        <v>44748</v>
      </c>
      <c r="B178" s="81" t="str">
        <f>VLOOKUP(C178,'Master List'!A:C,3,FALSE)</f>
        <v>48-144</v>
      </c>
      <c r="C178" s="120">
        <v>284</v>
      </c>
      <c r="D178" s="78" t="s">
        <v>105</v>
      </c>
      <c r="E178" s="81">
        <f>VLOOKUP(C178,'Master List'!A:G,5,FALSE)</f>
        <v>5</v>
      </c>
      <c r="F178" s="43">
        <f>VLOOKUP(C178,'2022-002-bottles_csv'!E:L,8,FALSE)</f>
        <v>0.21</v>
      </c>
      <c r="G178" s="218">
        <v>304</v>
      </c>
      <c r="H178" s="218">
        <v>10</v>
      </c>
      <c r="I178" s="218">
        <v>1</v>
      </c>
      <c r="J178" s="249">
        <v>19627.54</v>
      </c>
      <c r="K178" s="249">
        <v>12603.44</v>
      </c>
      <c r="L178" s="249">
        <v>427.13</v>
      </c>
      <c r="M178" s="249">
        <v>458.5</v>
      </c>
      <c r="N178" s="250">
        <f t="shared" si="15"/>
        <v>19200.41</v>
      </c>
      <c r="O178" s="250">
        <f t="shared" si="16"/>
        <v>12144.94</v>
      </c>
      <c r="P178" s="95">
        <f t="shared" si="17"/>
        <v>0.38559388016286522</v>
      </c>
      <c r="Q178" s="95">
        <f t="shared" si="18"/>
        <v>0.18456083510825319</v>
      </c>
      <c r="R178" s="133">
        <f t="shared" si="19"/>
        <v>1.5809390577475062</v>
      </c>
      <c r="S178" s="221"/>
      <c r="T178" s="85">
        <v>48</v>
      </c>
    </row>
    <row r="179" spans="1:20" s="60" customFormat="1">
      <c r="A179" s="219">
        <v>44761</v>
      </c>
      <c r="B179" s="81" t="str">
        <f>VLOOKUP(C179,'Master List'!A:C,3,FALSE)</f>
        <v>48-144</v>
      </c>
      <c r="C179" s="120">
        <v>284</v>
      </c>
      <c r="D179" s="78" t="s">
        <v>106</v>
      </c>
      <c r="E179" s="81">
        <f>VLOOKUP(C179,'Master List'!A:G,5,FALSE)</f>
        <v>5</v>
      </c>
      <c r="F179" s="43">
        <f>VLOOKUP(C179,'2022-002-bottles_csv'!E:L,8,FALSE)</f>
        <v>0.21</v>
      </c>
      <c r="G179" s="218">
        <v>304</v>
      </c>
      <c r="H179" s="218">
        <v>10</v>
      </c>
      <c r="I179" s="218">
        <v>1</v>
      </c>
      <c r="J179" s="249">
        <v>20786.240000000002</v>
      </c>
      <c r="K179" s="249">
        <v>14565.95</v>
      </c>
      <c r="L179" s="249">
        <v>345.92</v>
      </c>
      <c r="M179" s="249">
        <v>349.76</v>
      </c>
      <c r="N179" s="250">
        <f t="shared" si="15"/>
        <v>20440.320000000003</v>
      </c>
      <c r="O179" s="250">
        <f t="shared" si="16"/>
        <v>14216.19</v>
      </c>
      <c r="P179" s="95">
        <f t="shared" si="17"/>
        <v>0.3401596828188761</v>
      </c>
      <c r="Q179" s="95">
        <f t="shared" si="18"/>
        <v>0.32723165560602507</v>
      </c>
      <c r="R179" s="133">
        <f t="shared" si="19"/>
        <v>1.4378198378046441</v>
      </c>
      <c r="S179" s="221"/>
      <c r="T179" s="85">
        <v>343</v>
      </c>
    </row>
    <row r="180" spans="1:20" s="60" customFormat="1">
      <c r="A180" s="219">
        <v>44749</v>
      </c>
      <c r="B180" s="81" t="str">
        <f>VLOOKUP(C180,'Master List'!A:C,3,FALSE)</f>
        <v>49-144</v>
      </c>
      <c r="C180" s="120">
        <v>296</v>
      </c>
      <c r="D180" s="78" t="s">
        <v>105</v>
      </c>
      <c r="E180" s="81">
        <f>VLOOKUP(C180,'Master List'!A:G,5,FALSE)</f>
        <v>150</v>
      </c>
      <c r="F180" s="43">
        <f>VLOOKUP(C180,'2022-002-bottles_csv'!E:L,8,FALSE)</f>
        <v>0.06</v>
      </c>
      <c r="G180" s="218">
        <v>304</v>
      </c>
      <c r="H180" s="218">
        <v>10</v>
      </c>
      <c r="I180" s="218">
        <v>1</v>
      </c>
      <c r="J180" s="249">
        <v>2103.34</v>
      </c>
      <c r="K180" s="249">
        <v>1828.59</v>
      </c>
      <c r="L180" s="249">
        <v>347.66</v>
      </c>
      <c r="M180" s="249">
        <v>357.34</v>
      </c>
      <c r="N180" s="250">
        <f t="shared" si="15"/>
        <v>1755.68</v>
      </c>
      <c r="O180" s="250">
        <f t="shared" si="16"/>
        <v>1471.25</v>
      </c>
      <c r="P180" s="95">
        <f t="shared" si="17"/>
        <v>1.5544601186699652E-2</v>
      </c>
      <c r="Q180" s="95">
        <f t="shared" si="18"/>
        <v>5.3524502888135865E-2</v>
      </c>
      <c r="R180" s="133">
        <f t="shared" si="19"/>
        <v>1.1933254035683942</v>
      </c>
      <c r="S180" s="221"/>
      <c r="T180" s="85">
        <v>52</v>
      </c>
    </row>
    <row r="181" spans="1:20" s="60" customFormat="1">
      <c r="A181" s="219">
        <v>44761</v>
      </c>
      <c r="B181" s="81" t="str">
        <f>VLOOKUP(C181,'Master List'!A:C,3,FALSE)</f>
        <v>49-144</v>
      </c>
      <c r="C181" s="120">
        <v>296</v>
      </c>
      <c r="D181" s="78" t="s">
        <v>106</v>
      </c>
      <c r="E181" s="81">
        <f>VLOOKUP(C181,'Master List'!A:G,5,FALSE)</f>
        <v>150</v>
      </c>
      <c r="F181" s="43">
        <f>VLOOKUP(C181,'2022-002-bottles_csv'!E:L,8,FALSE)</f>
        <v>0.06</v>
      </c>
      <c r="G181" s="218">
        <v>304</v>
      </c>
      <c r="H181" s="218">
        <v>10</v>
      </c>
      <c r="I181" s="218">
        <v>1</v>
      </c>
      <c r="J181" s="249">
        <v>1880.55</v>
      </c>
      <c r="K181" s="249">
        <v>1599.84</v>
      </c>
      <c r="L181" s="249">
        <v>362.04</v>
      </c>
      <c r="M181" s="249">
        <v>363.93</v>
      </c>
      <c r="N181" s="250">
        <f t="shared" si="15"/>
        <v>1518.51</v>
      </c>
      <c r="O181" s="250">
        <f t="shared" si="16"/>
        <v>1235.9099999999999</v>
      </c>
      <c r="P181" s="95">
        <f t="shared" si="17"/>
        <v>1.5444588458887328E-2</v>
      </c>
      <c r="Q181" s="95">
        <f t="shared" si="18"/>
        <v>4.2576275715882399E-2</v>
      </c>
      <c r="R181" s="133">
        <f t="shared" si="19"/>
        <v>1.2286574265116392</v>
      </c>
      <c r="S181" s="221"/>
      <c r="T181" s="85">
        <v>388</v>
      </c>
    </row>
    <row r="182" spans="1:20" s="60" customFormat="1">
      <c r="A182" s="219">
        <v>44748</v>
      </c>
      <c r="B182" s="81" t="str">
        <f>VLOOKUP(C182,'Master List'!A:C,3,FALSE)</f>
        <v>49-144</v>
      </c>
      <c r="C182" s="120">
        <v>298</v>
      </c>
      <c r="D182" s="78" t="s">
        <v>105</v>
      </c>
      <c r="E182" s="81">
        <f>VLOOKUP(C182,'Master List'!A:G,5,FALSE)</f>
        <v>100</v>
      </c>
      <c r="F182" s="43">
        <f>VLOOKUP(C182,'2022-002-bottles_csv'!E:L,8,FALSE)</f>
        <v>7.0000000000000007E-2</v>
      </c>
      <c r="G182" s="218">
        <v>304</v>
      </c>
      <c r="H182" s="218">
        <v>10</v>
      </c>
      <c r="I182" s="218">
        <v>1</v>
      </c>
      <c r="J182" s="249">
        <v>3486.51</v>
      </c>
      <c r="K182" s="249">
        <v>2703.86</v>
      </c>
      <c r="L182" s="249">
        <v>427.13</v>
      </c>
      <c r="M182" s="249">
        <v>458.5</v>
      </c>
      <c r="N182" s="250">
        <f t="shared" si="15"/>
        <v>3059.38</v>
      </c>
      <c r="O182" s="250">
        <f t="shared" si="16"/>
        <v>2245.36</v>
      </c>
      <c r="P182" s="95">
        <f t="shared" si="17"/>
        <v>4.4487628794421287E-2</v>
      </c>
      <c r="Q182" s="95">
        <f t="shared" si="18"/>
        <v>6.0922738937420798E-2</v>
      </c>
      <c r="R182" s="133">
        <f t="shared" si="19"/>
        <v>1.3625342929418891</v>
      </c>
      <c r="S182" s="221"/>
      <c r="T182" s="85">
        <v>43</v>
      </c>
    </row>
    <row r="183" spans="1:20" s="60" customFormat="1">
      <c r="A183" s="219">
        <v>44757</v>
      </c>
      <c r="B183" s="81" t="str">
        <f>VLOOKUP(C183,'Master List'!A:C,3,FALSE)</f>
        <v>49-144</v>
      </c>
      <c r="C183" s="120">
        <v>298</v>
      </c>
      <c r="D183" s="78" t="s">
        <v>106</v>
      </c>
      <c r="E183" s="81">
        <f>VLOOKUP(C183,'Master List'!A:G,5,FALSE)</f>
        <v>100</v>
      </c>
      <c r="F183" s="43">
        <f>VLOOKUP(C183,'2022-002-bottles_csv'!E:L,8,FALSE)</f>
        <v>7.0000000000000007E-2</v>
      </c>
      <c r="G183" s="218">
        <v>304</v>
      </c>
      <c r="H183" s="218">
        <v>10</v>
      </c>
      <c r="I183" s="218">
        <v>1</v>
      </c>
      <c r="J183" s="249">
        <v>3923.07</v>
      </c>
      <c r="K183" s="249">
        <v>2890</v>
      </c>
      <c r="L183" s="249">
        <v>338.28</v>
      </c>
      <c r="M183" s="249">
        <v>338.2</v>
      </c>
      <c r="N183" s="250">
        <f t="shared" si="15"/>
        <v>3584.79</v>
      </c>
      <c r="O183" s="250">
        <f t="shared" si="16"/>
        <v>2551.8000000000002</v>
      </c>
      <c r="P183" s="95">
        <f t="shared" si="17"/>
        <v>5.6454725520686512E-2</v>
      </c>
      <c r="Q183" s="95">
        <f t="shared" si="18"/>
        <v>6.3341733122076652E-2</v>
      </c>
      <c r="R183" s="133">
        <f t="shared" si="19"/>
        <v>1.4048083705619561</v>
      </c>
      <c r="S183" s="221"/>
      <c r="T183" s="85">
        <v>315</v>
      </c>
    </row>
    <row r="184" spans="1:20" s="60" customFormat="1">
      <c r="A184" s="219">
        <v>44748</v>
      </c>
      <c r="B184" s="81" t="str">
        <f>VLOOKUP(C184,'Master List'!A:C,3,FALSE)</f>
        <v>49-144</v>
      </c>
      <c r="C184" s="120">
        <v>299</v>
      </c>
      <c r="D184" s="78" t="s">
        <v>105</v>
      </c>
      <c r="E184" s="81">
        <f>VLOOKUP(C184,'Master List'!A:G,5,FALSE)</f>
        <v>75</v>
      </c>
      <c r="F184" s="43">
        <f>VLOOKUP(C184,'2022-002-bottles_csv'!E:L,8,FALSE)</f>
        <v>0.1</v>
      </c>
      <c r="G184" s="218">
        <v>304</v>
      </c>
      <c r="H184" s="218">
        <v>10</v>
      </c>
      <c r="I184" s="218">
        <v>1</v>
      </c>
      <c r="J184" s="249">
        <v>8857.0300000000007</v>
      </c>
      <c r="K184" s="249">
        <v>6145.22</v>
      </c>
      <c r="L184" s="249">
        <v>427.13</v>
      </c>
      <c r="M184" s="249">
        <v>458.5</v>
      </c>
      <c r="N184" s="250">
        <f t="shared" si="15"/>
        <v>8429.9000000000015</v>
      </c>
      <c r="O184" s="250">
        <f t="shared" si="16"/>
        <v>5686.72</v>
      </c>
      <c r="P184" s="95">
        <f t="shared" si="17"/>
        <v>0.14991962550831756</v>
      </c>
      <c r="Q184" s="95">
        <f t="shared" si="18"/>
        <v>0.11704836465273501</v>
      </c>
      <c r="R184" s="133">
        <f t="shared" si="19"/>
        <v>1.4823835180912726</v>
      </c>
      <c r="S184" s="221"/>
      <c r="T184" s="85">
        <v>40</v>
      </c>
    </row>
    <row r="185" spans="1:20" s="60" customFormat="1">
      <c r="A185" s="219">
        <v>44761</v>
      </c>
      <c r="B185" s="81" t="str">
        <f>VLOOKUP(C185,'Master List'!A:C,3,FALSE)</f>
        <v>49-144</v>
      </c>
      <c r="C185" s="78">
        <v>299</v>
      </c>
      <c r="D185" s="78" t="s">
        <v>106</v>
      </c>
      <c r="E185" s="81">
        <f>VLOOKUP(C185,'Master List'!A:G,5,FALSE)</f>
        <v>75</v>
      </c>
      <c r="F185" s="43">
        <f>VLOOKUP(C185,'2022-002-bottles_csv'!E:L,8,FALSE)</f>
        <v>0.1</v>
      </c>
      <c r="G185" s="218">
        <v>304</v>
      </c>
      <c r="H185" s="218">
        <v>10</v>
      </c>
      <c r="I185" s="218">
        <v>1</v>
      </c>
      <c r="J185" s="252">
        <v>9705.31</v>
      </c>
      <c r="K185" s="252">
        <v>6717.59</v>
      </c>
      <c r="L185" s="252">
        <v>345.92</v>
      </c>
      <c r="M185" s="252">
        <v>349.76</v>
      </c>
      <c r="N185" s="250">
        <f t="shared" si="15"/>
        <v>9359.39</v>
      </c>
      <c r="O185" s="250">
        <f t="shared" si="16"/>
        <v>6367.83</v>
      </c>
      <c r="P185" s="95">
        <f t="shared" si="17"/>
        <v>0.16349403060887807</v>
      </c>
      <c r="Q185" s="95">
        <f t="shared" si="18"/>
        <v>0.13544925775194419</v>
      </c>
      <c r="R185" s="133">
        <f t="shared" si="19"/>
        <v>1.4697926923300402</v>
      </c>
      <c r="S185" s="221"/>
      <c r="T185" s="85">
        <v>353</v>
      </c>
    </row>
    <row r="186" spans="1:20" s="60" customFormat="1">
      <c r="A186" s="219">
        <v>44748</v>
      </c>
      <c r="B186" s="81" t="str">
        <f>VLOOKUP(C186,'Master List'!A:C,3,FALSE)</f>
        <v>49-144</v>
      </c>
      <c r="C186" s="78">
        <v>301</v>
      </c>
      <c r="D186" s="78" t="s">
        <v>105</v>
      </c>
      <c r="E186" s="81">
        <f>VLOOKUP(C186,'Master List'!A:G,5,FALSE)</f>
        <v>50</v>
      </c>
      <c r="F186" s="43">
        <f>VLOOKUP(C186,'2022-002-bottles_csv'!E:L,8,FALSE)</f>
        <v>0.18</v>
      </c>
      <c r="G186" s="218">
        <v>304</v>
      </c>
      <c r="H186" s="218">
        <v>10</v>
      </c>
      <c r="I186" s="218">
        <v>1</v>
      </c>
      <c r="J186" s="252">
        <v>18251.02</v>
      </c>
      <c r="K186" s="252">
        <v>10820.33</v>
      </c>
      <c r="L186" s="252">
        <v>427.13</v>
      </c>
      <c r="M186" s="252">
        <v>458.5</v>
      </c>
      <c r="N186" s="250">
        <f t="shared" si="15"/>
        <v>17823.89</v>
      </c>
      <c r="O186" s="250">
        <f t="shared" si="16"/>
        <v>10361.83</v>
      </c>
      <c r="P186" s="95">
        <f t="shared" si="17"/>
        <v>0.40781474081926644</v>
      </c>
      <c r="Q186" s="95">
        <f t="shared" si="18"/>
        <v>7.863033287708214E-2</v>
      </c>
      <c r="R186" s="133">
        <f t="shared" si="19"/>
        <v>1.720148854015169</v>
      </c>
      <c r="S186" s="221"/>
      <c r="T186" s="85">
        <v>38</v>
      </c>
    </row>
    <row r="187" spans="1:20" s="60" customFormat="1">
      <c r="A187" s="219">
        <v>44761</v>
      </c>
      <c r="B187" s="81" t="str">
        <f>VLOOKUP(C187,'Master List'!A:C,3,FALSE)</f>
        <v>49-144</v>
      </c>
      <c r="C187" s="78">
        <v>301</v>
      </c>
      <c r="D187" s="78" t="s">
        <v>106</v>
      </c>
      <c r="E187" s="81">
        <f>VLOOKUP(C187,'Master List'!A:G,5,FALSE)</f>
        <v>50</v>
      </c>
      <c r="F187" s="43">
        <f>VLOOKUP(C187,'2022-002-bottles_csv'!E:L,8,FALSE)</f>
        <v>0.18</v>
      </c>
      <c r="G187" s="218">
        <v>304</v>
      </c>
      <c r="H187" s="218">
        <v>10</v>
      </c>
      <c r="I187" s="218">
        <v>1</v>
      </c>
      <c r="J187" s="252">
        <v>19407.900000000001</v>
      </c>
      <c r="K187" s="252">
        <v>12303.89</v>
      </c>
      <c r="L187" s="252">
        <v>362.04</v>
      </c>
      <c r="M187" s="252">
        <v>363.93</v>
      </c>
      <c r="N187" s="250">
        <f t="shared" si="15"/>
        <v>19045.86</v>
      </c>
      <c r="O187" s="250">
        <f t="shared" si="16"/>
        <v>11939.96</v>
      </c>
      <c r="P187" s="95">
        <f t="shared" si="17"/>
        <v>0.38834996861290672</v>
      </c>
      <c r="Q187" s="95">
        <f t="shared" si="18"/>
        <v>0.17218178322354044</v>
      </c>
      <c r="R187" s="133">
        <f t="shared" si="19"/>
        <v>1.5951359971055181</v>
      </c>
      <c r="S187" s="221"/>
      <c r="T187" s="85">
        <v>367</v>
      </c>
    </row>
    <row r="188" spans="1:20" s="60" customFormat="1">
      <c r="A188" s="219">
        <v>44748</v>
      </c>
      <c r="B188" s="81" t="str">
        <f>VLOOKUP(C188,'Master List'!A:C,3,FALSE)</f>
        <v>49-144</v>
      </c>
      <c r="C188" s="78">
        <v>302</v>
      </c>
      <c r="D188" s="78" t="s">
        <v>105</v>
      </c>
      <c r="E188" s="81">
        <f>VLOOKUP(C188,'Master List'!A:G,5,FALSE)</f>
        <v>25</v>
      </c>
      <c r="F188" s="43">
        <f>VLOOKUP(C188,'2022-002-bottles_csv'!E:L,8,FALSE)</f>
        <v>0.19</v>
      </c>
      <c r="G188" s="218">
        <v>304</v>
      </c>
      <c r="H188" s="218">
        <v>10</v>
      </c>
      <c r="I188" s="218">
        <v>1</v>
      </c>
      <c r="J188" s="252">
        <v>17651.13</v>
      </c>
      <c r="K188" s="252">
        <v>11298.08</v>
      </c>
      <c r="L188" s="252">
        <v>427.13</v>
      </c>
      <c r="M188" s="252">
        <v>458.5</v>
      </c>
      <c r="N188" s="250">
        <f t="shared" si="15"/>
        <v>17224</v>
      </c>
      <c r="O188" s="250">
        <f t="shared" si="16"/>
        <v>10839.58</v>
      </c>
      <c r="P188" s="95">
        <f t="shared" si="17"/>
        <v>0.34891981404348688</v>
      </c>
      <c r="Q188" s="95">
        <f t="shared" si="18"/>
        <v>0.1599536467194736</v>
      </c>
      <c r="R188" s="133">
        <f t="shared" si="19"/>
        <v>1.588991455388493</v>
      </c>
      <c r="S188" s="221"/>
      <c r="T188" s="85">
        <v>41</v>
      </c>
    </row>
    <row r="189" spans="1:20" s="60" customFormat="1">
      <c r="A189" s="219">
        <v>44761</v>
      </c>
      <c r="B189" s="81" t="str">
        <f>VLOOKUP(C189,'Master List'!A:C,3,FALSE)</f>
        <v>49-144</v>
      </c>
      <c r="C189" s="78">
        <v>302</v>
      </c>
      <c r="D189" s="78" t="s">
        <v>106</v>
      </c>
      <c r="E189" s="81">
        <f>VLOOKUP(C189,'Master List'!A:G,5,FALSE)</f>
        <v>25</v>
      </c>
      <c r="F189" s="43">
        <f>VLOOKUP(C189,'2022-002-bottles_csv'!E:L,8,FALSE)</f>
        <v>0.19</v>
      </c>
      <c r="G189" s="218">
        <v>304</v>
      </c>
      <c r="H189" s="218">
        <v>10</v>
      </c>
      <c r="I189" s="218">
        <v>1</v>
      </c>
      <c r="J189" s="252">
        <v>20349.63</v>
      </c>
      <c r="K189" s="252">
        <v>13044.96</v>
      </c>
      <c r="L189" s="252">
        <v>362.04</v>
      </c>
      <c r="M189" s="252">
        <v>363.93</v>
      </c>
      <c r="N189" s="250">
        <f t="shared" si="15"/>
        <v>19987.59</v>
      </c>
      <c r="O189" s="250">
        <f t="shared" si="16"/>
        <v>12681.029999999999</v>
      </c>
      <c r="P189" s="95">
        <f t="shared" si="17"/>
        <v>0.39931639154341031</v>
      </c>
      <c r="Q189" s="95">
        <f t="shared" si="18"/>
        <v>0.19600553256609612</v>
      </c>
      <c r="R189" s="133">
        <f t="shared" si="19"/>
        <v>1.5761803260460705</v>
      </c>
      <c r="S189" s="221"/>
      <c r="T189" s="85">
        <v>372</v>
      </c>
    </row>
    <row r="190" spans="1:20" s="60" customFormat="1">
      <c r="A190" s="219">
        <v>44748</v>
      </c>
      <c r="B190" s="81" t="str">
        <f>VLOOKUP(C190,'Master List'!A:C,3,FALSE)</f>
        <v>49-144</v>
      </c>
      <c r="C190" s="78">
        <v>305</v>
      </c>
      <c r="D190" s="78" t="s">
        <v>105</v>
      </c>
      <c r="E190" s="81">
        <f>VLOOKUP(C190,'Master List'!A:G,5,FALSE)</f>
        <v>5</v>
      </c>
      <c r="F190" s="43">
        <f>VLOOKUP(C190,'2022-002-bottles_csv'!E:L,8,FALSE)</f>
        <v>0.19</v>
      </c>
      <c r="G190" s="218">
        <v>304</v>
      </c>
      <c r="H190" s="218">
        <v>10</v>
      </c>
      <c r="I190" s="218">
        <v>1</v>
      </c>
      <c r="J190" s="252">
        <v>19001.849999999999</v>
      </c>
      <c r="K190" s="252">
        <v>11994.53</v>
      </c>
      <c r="L190" s="252">
        <v>427.13</v>
      </c>
      <c r="M190" s="252">
        <v>458.5</v>
      </c>
      <c r="N190" s="250">
        <f t="shared" si="15"/>
        <v>18574.719999999998</v>
      </c>
      <c r="O190" s="250">
        <f t="shared" si="16"/>
        <v>11536.03</v>
      </c>
      <c r="P190" s="95">
        <f t="shared" si="17"/>
        <v>0.38467682356576627</v>
      </c>
      <c r="Q190" s="95">
        <f t="shared" si="18"/>
        <v>0.15689208496808238</v>
      </c>
      <c r="R190" s="133">
        <f t="shared" si="19"/>
        <v>1.6101483786016504</v>
      </c>
      <c r="S190" s="221"/>
      <c r="T190" s="85">
        <v>39</v>
      </c>
    </row>
    <row r="191" spans="1:20" s="60" customFormat="1">
      <c r="A191" s="219">
        <v>44761</v>
      </c>
      <c r="B191" s="81" t="str">
        <f>VLOOKUP(C191,'Master List'!A:C,3,FALSE)</f>
        <v>49-144</v>
      </c>
      <c r="C191" s="78">
        <v>305</v>
      </c>
      <c r="D191" s="78" t="s">
        <v>106</v>
      </c>
      <c r="E191" s="81">
        <f>VLOOKUP(C191,'Master List'!A:G,5,FALSE)</f>
        <v>5</v>
      </c>
      <c r="F191" s="43">
        <f>VLOOKUP(C191,'2022-002-bottles_csv'!E:L,8,FALSE)</f>
        <v>0.19</v>
      </c>
      <c r="G191" s="218">
        <v>304</v>
      </c>
      <c r="H191" s="218">
        <v>10</v>
      </c>
      <c r="I191" s="218">
        <v>1</v>
      </c>
      <c r="J191" s="252">
        <v>19198.45</v>
      </c>
      <c r="K191" s="252">
        <v>11880.63</v>
      </c>
      <c r="L191" s="252">
        <v>334.87</v>
      </c>
      <c r="M191" s="252">
        <v>333.82</v>
      </c>
      <c r="N191" s="250">
        <f t="shared" si="15"/>
        <v>18863.580000000002</v>
      </c>
      <c r="O191" s="250">
        <f t="shared" si="16"/>
        <v>11546.81</v>
      </c>
      <c r="P191" s="95">
        <f t="shared" si="17"/>
        <v>0.39987438605213382</v>
      </c>
      <c r="Q191" s="95">
        <f t="shared" si="18"/>
        <v>0.14220059890783315</v>
      </c>
      <c r="R191" s="133">
        <f t="shared" si="19"/>
        <v>1.633661591383248</v>
      </c>
      <c r="S191" s="221"/>
      <c r="T191" s="85">
        <v>401</v>
      </c>
    </row>
    <row r="192" spans="1:20" s="60" customFormat="1">
      <c r="A192" s="219">
        <v>44748</v>
      </c>
      <c r="B192" s="81" t="str">
        <f>VLOOKUP(C192,'Master List'!A:C,3,FALSE)</f>
        <v>51-141</v>
      </c>
      <c r="C192" s="78">
        <v>312</v>
      </c>
      <c r="D192" s="78" t="s">
        <v>105</v>
      </c>
      <c r="E192" s="81">
        <f>VLOOKUP(C192,'Master List'!A:G,5,FALSE)</f>
        <v>150</v>
      </c>
      <c r="F192" s="43">
        <f>VLOOKUP(C192,'2022-002-bottles_csv'!E:L,8,FALSE)</f>
        <v>0.06</v>
      </c>
      <c r="G192" s="218">
        <v>304</v>
      </c>
      <c r="H192" s="218">
        <v>10</v>
      </c>
      <c r="I192" s="218">
        <v>1</v>
      </c>
      <c r="J192" s="252">
        <v>2729.56</v>
      </c>
      <c r="K192" s="252">
        <v>2248.0700000000002</v>
      </c>
      <c r="L192" s="252">
        <v>307.91000000000003</v>
      </c>
      <c r="M192" s="252">
        <v>311.38</v>
      </c>
      <c r="N192" s="250">
        <f t="shared" si="15"/>
        <v>2421.65</v>
      </c>
      <c r="O192" s="250">
        <f t="shared" si="16"/>
        <v>1936.69</v>
      </c>
      <c r="P192" s="95">
        <f t="shared" si="17"/>
        <v>2.650391938790515E-2</v>
      </c>
      <c r="Q192" s="95">
        <f t="shared" si="18"/>
        <v>6.4415668153772476E-2</v>
      </c>
      <c r="R192" s="133">
        <f t="shared" si="19"/>
        <v>1.2504066216069687</v>
      </c>
      <c r="S192" s="221"/>
      <c r="T192" s="85">
        <v>20</v>
      </c>
    </row>
    <row r="193" spans="1:20" s="60" customFormat="1">
      <c r="A193" s="219">
        <v>44756</v>
      </c>
      <c r="B193" s="81" t="str">
        <f>VLOOKUP(C193,'Master List'!A:C,3,FALSE)</f>
        <v>51-141</v>
      </c>
      <c r="C193" s="78">
        <v>312</v>
      </c>
      <c r="D193" s="78" t="s">
        <v>106</v>
      </c>
      <c r="E193" s="81">
        <f>VLOOKUP(C193,'Master List'!A:G,5,FALSE)</f>
        <v>150</v>
      </c>
      <c r="F193" s="43">
        <f>VLOOKUP(C193,'2022-002-bottles_csv'!E:L,8,FALSE)</f>
        <v>0.06</v>
      </c>
      <c r="G193" s="218">
        <v>304</v>
      </c>
      <c r="H193" s="218">
        <v>10</v>
      </c>
      <c r="I193" s="218">
        <v>1</v>
      </c>
      <c r="J193" s="252">
        <v>1753.44</v>
      </c>
      <c r="K193" s="252">
        <v>1452.24</v>
      </c>
      <c r="L193" s="252">
        <v>332.16</v>
      </c>
      <c r="M193" s="252">
        <v>344.15</v>
      </c>
      <c r="N193" s="250">
        <f t="shared" si="15"/>
        <v>1421.28</v>
      </c>
      <c r="O193" s="250">
        <f t="shared" si="16"/>
        <v>1108.0900000000001</v>
      </c>
      <c r="P193" s="95">
        <f t="shared" si="17"/>
        <v>1.7116385914504307E-2</v>
      </c>
      <c r="Q193" s="95">
        <f t="shared" si="18"/>
        <v>3.4903857779147007E-2</v>
      </c>
      <c r="R193" s="133">
        <f t="shared" si="19"/>
        <v>1.2826394967917767</v>
      </c>
      <c r="S193" s="221"/>
      <c r="T193" s="85">
        <v>263</v>
      </c>
    </row>
    <row r="194" spans="1:20" s="60" customFormat="1">
      <c r="A194" s="219">
        <v>44748</v>
      </c>
      <c r="B194" s="81" t="str">
        <f>VLOOKUP(C194,'Master List'!A:C,3,FALSE)</f>
        <v>51-141</v>
      </c>
      <c r="C194" s="78">
        <v>316</v>
      </c>
      <c r="D194" s="78" t="s">
        <v>105</v>
      </c>
      <c r="E194" s="81">
        <f>VLOOKUP(C194,'Master List'!A:G,5,FALSE)</f>
        <v>100</v>
      </c>
      <c r="F194" s="43">
        <f>VLOOKUP(C194,'2022-002-bottles_csv'!E:L,8,FALSE)</f>
        <v>7.0000000000000007E-2</v>
      </c>
      <c r="G194" s="218">
        <v>304</v>
      </c>
      <c r="H194" s="218">
        <v>10</v>
      </c>
      <c r="I194" s="218">
        <v>1</v>
      </c>
      <c r="J194" s="252">
        <v>5675.71</v>
      </c>
      <c r="K194" s="252">
        <v>4748.8500000000004</v>
      </c>
      <c r="L194" s="252">
        <v>427.13</v>
      </c>
      <c r="M194" s="252">
        <v>458.5</v>
      </c>
      <c r="N194" s="250">
        <f t="shared" si="15"/>
        <v>5248.58</v>
      </c>
      <c r="O194" s="250">
        <f t="shared" si="16"/>
        <v>4290.3500000000004</v>
      </c>
      <c r="P194" s="95">
        <f t="shared" si="17"/>
        <v>5.2368959656615671E-2</v>
      </c>
      <c r="Q194" s="95">
        <f t="shared" si="18"/>
        <v>0.14904523281065402</v>
      </c>
      <c r="R194" s="133">
        <f t="shared" si="19"/>
        <v>1.2233454147097556</v>
      </c>
      <c r="S194" s="221"/>
      <c r="T194" s="85">
        <v>44</v>
      </c>
    </row>
    <row r="195" spans="1:20" s="60" customFormat="1">
      <c r="A195" s="219">
        <v>44755</v>
      </c>
      <c r="B195" s="81" t="str">
        <f>VLOOKUP(C195,'Master List'!A:C,3,FALSE)</f>
        <v>51-141</v>
      </c>
      <c r="C195" s="78">
        <v>316</v>
      </c>
      <c r="D195" s="78" t="s">
        <v>106</v>
      </c>
      <c r="E195" s="81">
        <f>VLOOKUP(C195,'Master List'!A:G,5,FALSE)</f>
        <v>100</v>
      </c>
      <c r="F195" s="43">
        <f>VLOOKUP(C195,'2022-002-bottles_csv'!E:L,8,FALSE)</f>
        <v>7.0000000000000007E-2</v>
      </c>
      <c r="G195" s="218">
        <v>304</v>
      </c>
      <c r="H195" s="218">
        <v>10</v>
      </c>
      <c r="I195" s="218">
        <v>1</v>
      </c>
      <c r="J195" s="252">
        <v>6131.16</v>
      </c>
      <c r="K195" s="252">
        <v>4193.37</v>
      </c>
      <c r="L195" s="252">
        <v>332.42</v>
      </c>
      <c r="M195" s="252">
        <v>348.04</v>
      </c>
      <c r="N195" s="250">
        <f t="shared" si="15"/>
        <v>5798.74</v>
      </c>
      <c r="O195" s="250">
        <f t="shared" si="16"/>
        <v>3845.33</v>
      </c>
      <c r="P195" s="95">
        <f t="shared" si="17"/>
        <v>0.1067573019868191</v>
      </c>
      <c r="Q195" s="95">
        <f t="shared" si="18"/>
        <v>7.376504157959532E-2</v>
      </c>
      <c r="R195" s="133">
        <f t="shared" si="19"/>
        <v>1.5079954126173827</v>
      </c>
      <c r="S195" s="221"/>
      <c r="T195" s="85">
        <v>220</v>
      </c>
    </row>
    <row r="196" spans="1:20" s="60" customFormat="1">
      <c r="A196" s="219">
        <v>44748</v>
      </c>
      <c r="B196" s="81" t="str">
        <f>VLOOKUP(C196,'Master List'!A:C,3,FALSE)</f>
        <v>51-141</v>
      </c>
      <c r="C196" s="78">
        <v>317</v>
      </c>
      <c r="D196" s="78" t="s">
        <v>105</v>
      </c>
      <c r="E196" s="81">
        <f>VLOOKUP(C196,'Master List'!A:G,5,FALSE)</f>
        <v>75</v>
      </c>
      <c r="F196" s="43">
        <f>VLOOKUP(C196,'2022-002-bottles_csv'!E:L,8,FALSE)</f>
        <v>0.16</v>
      </c>
      <c r="G196" s="218">
        <v>304</v>
      </c>
      <c r="H196" s="218">
        <v>10</v>
      </c>
      <c r="I196" s="218">
        <v>1</v>
      </c>
      <c r="J196" s="252">
        <v>17857.11</v>
      </c>
      <c r="K196" s="252">
        <v>11223.07</v>
      </c>
      <c r="L196" s="252">
        <v>427.13</v>
      </c>
      <c r="M196" s="252">
        <v>458.5</v>
      </c>
      <c r="N196" s="250">
        <f t="shared" si="15"/>
        <v>17429.98</v>
      </c>
      <c r="O196" s="250">
        <f t="shared" si="16"/>
        <v>10764.57</v>
      </c>
      <c r="P196" s="95">
        <f t="shared" si="17"/>
        <v>0.36427641316260484</v>
      </c>
      <c r="Q196" s="95">
        <f t="shared" si="18"/>
        <v>0.14107563825683575</v>
      </c>
      <c r="R196" s="133">
        <f t="shared" si="19"/>
        <v>1.619198909013551</v>
      </c>
      <c r="S196" s="221"/>
      <c r="T196" s="85">
        <v>42</v>
      </c>
    </row>
    <row r="197" spans="1:20" s="60" customFormat="1">
      <c r="A197" s="219">
        <v>44761</v>
      </c>
      <c r="B197" s="81" t="str">
        <f>VLOOKUP(C197,'Master List'!A:C,3,FALSE)</f>
        <v>51-141</v>
      </c>
      <c r="C197" s="78">
        <v>317</v>
      </c>
      <c r="D197" s="78" t="s">
        <v>106</v>
      </c>
      <c r="E197" s="81">
        <f>VLOOKUP(C197,'Master List'!A:G,5,FALSE)</f>
        <v>75</v>
      </c>
      <c r="F197" s="43">
        <f>VLOOKUP(C197,'2022-002-bottles_csv'!E:L,8,FALSE)</f>
        <v>0.16</v>
      </c>
      <c r="G197" s="218">
        <v>304</v>
      </c>
      <c r="H197" s="218">
        <v>10</v>
      </c>
      <c r="I197" s="218">
        <v>1</v>
      </c>
      <c r="J197" s="252">
        <v>19466.599999999999</v>
      </c>
      <c r="K197" s="252">
        <v>12343.19</v>
      </c>
      <c r="L197" s="252">
        <v>334.87</v>
      </c>
      <c r="M197" s="252">
        <v>333.82</v>
      </c>
      <c r="N197" s="250">
        <f t="shared" si="15"/>
        <v>19131.73</v>
      </c>
      <c r="O197" s="250">
        <f t="shared" si="16"/>
        <v>12009.37</v>
      </c>
      <c r="P197" s="95">
        <f t="shared" si="17"/>
        <v>0.38924953664557915</v>
      </c>
      <c r="Q197" s="95">
        <f t="shared" si="18"/>
        <v>0.17454072768965107</v>
      </c>
      <c r="R197" s="133">
        <f t="shared" si="19"/>
        <v>1.5930669135849755</v>
      </c>
      <c r="S197" s="221"/>
      <c r="T197" s="85">
        <v>406</v>
      </c>
    </row>
    <row r="198" spans="1:20" s="60" customFormat="1">
      <c r="A198" s="219">
        <v>44748</v>
      </c>
      <c r="B198" s="81" t="str">
        <f>VLOOKUP(C198,'Master List'!A:C,3,FALSE)</f>
        <v>51-141</v>
      </c>
      <c r="C198" s="78">
        <v>320</v>
      </c>
      <c r="D198" s="78" t="s">
        <v>105</v>
      </c>
      <c r="E198" s="81">
        <f>VLOOKUP(C198,'Master List'!A:G,5,FALSE)</f>
        <v>50</v>
      </c>
      <c r="F198" s="43">
        <f>VLOOKUP(C198,'2022-002-bottles_csv'!E:L,8,FALSE)</f>
        <v>0.17</v>
      </c>
      <c r="G198" s="218">
        <v>304</v>
      </c>
      <c r="H198" s="218">
        <v>10</v>
      </c>
      <c r="I198" s="218">
        <v>1</v>
      </c>
      <c r="J198" s="252">
        <v>18234.310000000001</v>
      </c>
      <c r="K198" s="252">
        <v>11834.16</v>
      </c>
      <c r="L198" s="252">
        <v>427.13</v>
      </c>
      <c r="M198" s="252">
        <v>458.5</v>
      </c>
      <c r="N198" s="250">
        <f t="shared" si="15"/>
        <v>17807.18</v>
      </c>
      <c r="O198" s="250">
        <f t="shared" si="16"/>
        <v>11375.66</v>
      </c>
      <c r="P198" s="95">
        <f t="shared" si="17"/>
        <v>0.35149391211996811</v>
      </c>
      <c r="Q198" s="95">
        <f t="shared" si="18"/>
        <v>0.18254628802272921</v>
      </c>
      <c r="R198" s="133">
        <f t="shared" si="19"/>
        <v>1.565375547440764</v>
      </c>
      <c r="S198" s="221"/>
      <c r="T198" s="85">
        <v>47</v>
      </c>
    </row>
    <row r="199" spans="1:20" s="60" customFormat="1">
      <c r="A199" s="219">
        <v>44761</v>
      </c>
      <c r="B199" s="81" t="str">
        <f>VLOOKUP(C199,'Master List'!A:C,3,FALSE)</f>
        <v>51-141</v>
      </c>
      <c r="C199" s="78">
        <v>320</v>
      </c>
      <c r="D199" s="78" t="s">
        <v>106</v>
      </c>
      <c r="E199" s="81">
        <f>VLOOKUP(C199,'Master List'!A:G,5,FALSE)</f>
        <v>50</v>
      </c>
      <c r="F199" s="43">
        <f>VLOOKUP(C199,'2022-002-bottles_csv'!E:L,8,FALSE)</f>
        <v>0.17</v>
      </c>
      <c r="G199" s="218">
        <v>304</v>
      </c>
      <c r="H199" s="218">
        <v>10</v>
      </c>
      <c r="I199" s="218">
        <v>1</v>
      </c>
      <c r="J199" s="252">
        <v>19799.23</v>
      </c>
      <c r="K199" s="252">
        <v>12906.66</v>
      </c>
      <c r="L199" s="252">
        <v>334.87</v>
      </c>
      <c r="M199" s="252">
        <v>333.82</v>
      </c>
      <c r="N199" s="250">
        <f t="shared" si="15"/>
        <v>19464.36</v>
      </c>
      <c r="O199" s="250">
        <f t="shared" si="16"/>
        <v>12572.84</v>
      </c>
      <c r="P199" s="95">
        <f t="shared" si="17"/>
        <v>0.37663372348262969</v>
      </c>
      <c r="Q199" s="95">
        <f t="shared" si="18"/>
        <v>0.21360912747829125</v>
      </c>
      <c r="R199" s="133">
        <f t="shared" si="19"/>
        <v>1.5481275511340318</v>
      </c>
      <c r="S199" s="221"/>
      <c r="T199" s="85">
        <v>392</v>
      </c>
    </row>
    <row r="200" spans="1:20" s="60" customFormat="1">
      <c r="A200" s="219">
        <v>44748</v>
      </c>
      <c r="B200" s="81" t="str">
        <f>VLOOKUP(C200,'Master List'!A:C,3,FALSE)</f>
        <v>51-141</v>
      </c>
      <c r="C200" s="78">
        <v>322</v>
      </c>
      <c r="D200" s="78" t="s">
        <v>105</v>
      </c>
      <c r="E200" s="81">
        <f>VLOOKUP(C200,'Master List'!A:G,5,FALSE)</f>
        <v>25</v>
      </c>
      <c r="F200" s="43">
        <f>VLOOKUP(C200,'2022-002-bottles_csv'!E:L,8,FALSE)</f>
        <v>0.18</v>
      </c>
      <c r="G200" s="218">
        <v>304</v>
      </c>
      <c r="H200" s="218">
        <v>10</v>
      </c>
      <c r="I200" s="218">
        <v>1</v>
      </c>
      <c r="J200" s="252">
        <v>19394.7</v>
      </c>
      <c r="K200" s="252">
        <v>11845.49</v>
      </c>
      <c r="L200" s="252">
        <v>427.13</v>
      </c>
      <c r="M200" s="252">
        <v>458.5</v>
      </c>
      <c r="N200" s="250">
        <f t="shared" si="15"/>
        <v>18967.57</v>
      </c>
      <c r="O200" s="250">
        <f t="shared" si="16"/>
        <v>11386.99</v>
      </c>
      <c r="P200" s="95">
        <f t="shared" si="17"/>
        <v>0.41429206786862011</v>
      </c>
      <c r="Q200" s="95">
        <f t="shared" si="18"/>
        <v>0.12028002892601804</v>
      </c>
      <c r="R200" s="133">
        <f t="shared" si="19"/>
        <v>1.6657228995546671</v>
      </c>
      <c r="S200" s="221"/>
      <c r="T200" s="85">
        <v>29</v>
      </c>
    </row>
    <row r="201" spans="1:20" s="60" customFormat="1">
      <c r="A201" s="219">
        <v>44761</v>
      </c>
      <c r="B201" s="81" t="str">
        <f>VLOOKUP(C201,'Master List'!A:C,3,FALSE)</f>
        <v>51-141</v>
      </c>
      <c r="C201" s="78">
        <v>322</v>
      </c>
      <c r="D201" s="78" t="s">
        <v>106</v>
      </c>
      <c r="E201" s="81">
        <f>VLOOKUP(C201,'Master List'!A:G,5,FALSE)</f>
        <v>25</v>
      </c>
      <c r="F201" s="43">
        <f>VLOOKUP(C201,'2022-002-bottles_csv'!E:L,8,FALSE)</f>
        <v>0.18</v>
      </c>
      <c r="G201" s="218">
        <v>304</v>
      </c>
      <c r="H201" s="218">
        <v>10</v>
      </c>
      <c r="I201" s="218">
        <v>1</v>
      </c>
      <c r="J201" s="252">
        <v>17604.47</v>
      </c>
      <c r="K201" s="252">
        <v>10917.49</v>
      </c>
      <c r="L201" s="252">
        <v>345.92</v>
      </c>
      <c r="M201" s="252">
        <v>349.76</v>
      </c>
      <c r="N201" s="250">
        <f t="shared" si="15"/>
        <v>17258.550000000003</v>
      </c>
      <c r="O201" s="250">
        <f t="shared" si="16"/>
        <v>10567.73</v>
      </c>
      <c r="P201" s="95">
        <f t="shared" si="17"/>
        <v>0.36566511448157296</v>
      </c>
      <c r="Q201" s="95">
        <f t="shared" si="18"/>
        <v>0.1304461128453677</v>
      </c>
      <c r="R201" s="133">
        <f t="shared" si="19"/>
        <v>1.6331369177675814</v>
      </c>
      <c r="S201" s="221"/>
      <c r="T201" s="85">
        <v>349</v>
      </c>
    </row>
    <row r="202" spans="1:20" s="60" customFormat="1">
      <c r="A202" s="219">
        <v>44748</v>
      </c>
      <c r="B202" s="81" t="str">
        <f>VLOOKUP(C202,'Master List'!A:C,3,FALSE)</f>
        <v>51-141</v>
      </c>
      <c r="C202" s="78">
        <v>328</v>
      </c>
      <c r="D202" s="78" t="s">
        <v>105</v>
      </c>
      <c r="E202" s="81">
        <f>VLOOKUP(C202,'Master List'!A:G,5,FALSE)</f>
        <v>5</v>
      </c>
      <c r="F202" s="43">
        <f>VLOOKUP(C202,'2022-002-bottles_csv'!E:L,8,FALSE)</f>
        <v>0.19</v>
      </c>
      <c r="G202" s="218">
        <v>304</v>
      </c>
      <c r="H202" s="218">
        <v>10</v>
      </c>
      <c r="I202" s="218">
        <v>1</v>
      </c>
      <c r="J202" s="252">
        <v>18251.11</v>
      </c>
      <c r="K202" s="252">
        <v>11848.23</v>
      </c>
      <c r="L202" s="252">
        <v>427.13</v>
      </c>
      <c r="M202" s="252">
        <v>458.5</v>
      </c>
      <c r="N202" s="250">
        <f t="shared" si="15"/>
        <v>17823.98</v>
      </c>
      <c r="O202" s="250">
        <f t="shared" si="16"/>
        <v>11389.73</v>
      </c>
      <c r="P202" s="95">
        <f t="shared" si="17"/>
        <v>0.35164311143522914</v>
      </c>
      <c r="Q202" s="95">
        <f t="shared" si="18"/>
        <v>0.1830576170298695</v>
      </c>
      <c r="R202" s="133">
        <f t="shared" si="19"/>
        <v>1.564916815411779</v>
      </c>
      <c r="S202" s="221"/>
      <c r="T202" s="85">
        <v>46</v>
      </c>
    </row>
    <row r="203" spans="1:20" s="60" customFormat="1">
      <c r="A203" s="219">
        <v>44756</v>
      </c>
      <c r="B203" s="81" t="str">
        <f>VLOOKUP(C203,'Master List'!A:C,3,FALSE)</f>
        <v>51-141</v>
      </c>
      <c r="C203" s="78">
        <v>328</v>
      </c>
      <c r="D203" s="78" t="s">
        <v>106</v>
      </c>
      <c r="E203" s="81">
        <f>VLOOKUP(C203,'Master List'!A:G,5,FALSE)</f>
        <v>5</v>
      </c>
      <c r="F203" s="43">
        <f>VLOOKUP(C203,'2022-002-bottles_csv'!E:L,8,FALSE)</f>
        <v>0.19</v>
      </c>
      <c r="G203" s="218">
        <v>304</v>
      </c>
      <c r="H203" s="218">
        <v>10</v>
      </c>
      <c r="I203" s="218">
        <v>1</v>
      </c>
      <c r="J203" s="252">
        <v>23806.31</v>
      </c>
      <c r="K203" s="252">
        <v>13164.34</v>
      </c>
      <c r="L203" s="252">
        <v>332.16</v>
      </c>
      <c r="M203" s="252">
        <v>344.15</v>
      </c>
      <c r="N203" s="250">
        <f t="shared" si="15"/>
        <v>23474.15</v>
      </c>
      <c r="O203" s="250">
        <f t="shared" si="16"/>
        <v>12820.19</v>
      </c>
      <c r="P203" s="95">
        <f t="shared" si="17"/>
        <v>0.5822577057942222</v>
      </c>
      <c r="Q203" s="95">
        <f t="shared" si="18"/>
        <v>1.9597204906994972E-2</v>
      </c>
      <c r="R203" s="133">
        <f t="shared" si="19"/>
        <v>1.8310298053304983</v>
      </c>
      <c r="S203" s="221"/>
      <c r="T203" s="85">
        <v>255</v>
      </c>
    </row>
    <row r="204" spans="1:20" s="60" customFormat="1">
      <c r="A204" s="219">
        <v>44748</v>
      </c>
      <c r="B204" s="81" t="str">
        <f>VLOOKUP(C204,'Master List'!A:C,3,FALSE)</f>
        <v>52-141</v>
      </c>
      <c r="C204" s="78">
        <v>332</v>
      </c>
      <c r="D204" s="78" t="s">
        <v>105</v>
      </c>
      <c r="E204" s="81">
        <f>VLOOKUP(C204,'Master List'!A:G,5,FALSE)</f>
        <v>150</v>
      </c>
      <c r="F204" s="43">
        <f>VLOOKUP(C204,'2022-002-bottles_csv'!E:L,8,FALSE)</f>
        <v>0.05</v>
      </c>
      <c r="G204" s="218">
        <v>304</v>
      </c>
      <c r="H204" s="218">
        <v>10</v>
      </c>
      <c r="I204" s="218">
        <v>1</v>
      </c>
      <c r="J204" s="252">
        <v>1848.22</v>
      </c>
      <c r="K204" s="252">
        <v>1608.93</v>
      </c>
      <c r="L204" s="252">
        <v>307.91000000000003</v>
      </c>
      <c r="M204" s="252">
        <v>311.38</v>
      </c>
      <c r="N204" s="250">
        <f t="shared" si="15"/>
        <v>1540.31</v>
      </c>
      <c r="O204" s="250">
        <f t="shared" si="16"/>
        <v>1297.5500000000002</v>
      </c>
      <c r="P204" s="95">
        <f t="shared" si="17"/>
        <v>1.3267262187825486E-2</v>
      </c>
      <c r="Q204" s="95">
        <f t="shared" si="18"/>
        <v>4.7647345113654781E-2</v>
      </c>
      <c r="R204" s="133">
        <f t="shared" si="19"/>
        <v>1.1870910562213399</v>
      </c>
      <c r="S204" s="221"/>
      <c r="T204" s="85">
        <v>17</v>
      </c>
    </row>
    <row r="205" spans="1:20" s="60" customFormat="1">
      <c r="A205" s="219">
        <v>44761</v>
      </c>
      <c r="B205" s="81" t="str">
        <f>VLOOKUP(C205,'Master List'!A:C,3,FALSE)</f>
        <v>52-141</v>
      </c>
      <c r="C205" s="78">
        <v>332</v>
      </c>
      <c r="D205" s="78" t="s">
        <v>106</v>
      </c>
      <c r="E205" s="81">
        <f>VLOOKUP(C205,'Master List'!A:G,5,FALSE)</f>
        <v>150</v>
      </c>
      <c r="F205" s="43">
        <f>VLOOKUP(C205,'2022-002-bottles_csv'!E:L,8,FALSE)</f>
        <v>0.05</v>
      </c>
      <c r="G205" s="218">
        <v>304</v>
      </c>
      <c r="H205" s="218">
        <v>10</v>
      </c>
      <c r="I205" s="218">
        <v>1</v>
      </c>
      <c r="J205" s="252">
        <v>2169.7199999999998</v>
      </c>
      <c r="K205" s="252">
        <v>1869.91</v>
      </c>
      <c r="L205" s="252">
        <v>362.04</v>
      </c>
      <c r="M205" s="252">
        <v>363.93</v>
      </c>
      <c r="N205" s="250">
        <f t="shared" ref="N205:N268" si="20">J205-L205</f>
        <v>1807.6799999999998</v>
      </c>
      <c r="O205" s="250">
        <f t="shared" ref="O205:O268" si="21">K205-M205</f>
        <v>1505.98</v>
      </c>
      <c r="P205" s="95">
        <f t="shared" ref="P205:P268" si="22">0.0007677*(1.859/(1.859-1))*(N205-O205)*(H205/G205)*I205</f>
        <v>1.6488437148076084E-2</v>
      </c>
      <c r="Q205" s="95">
        <f t="shared" ref="Q205:Q268" si="23">0.0007677*(1.859/(1.859-1))*((1.859*O205)-N205)*(H205/G205)*I205</f>
        <v>5.4211096822779171E-2</v>
      </c>
      <c r="R205" s="133">
        <f t="shared" ref="R205:R268" si="24">N205/O205</f>
        <v>1.2003346657990144</v>
      </c>
      <c r="S205" s="221"/>
      <c r="T205" s="85">
        <v>374</v>
      </c>
    </row>
    <row r="206" spans="1:20" s="60" customFormat="1">
      <c r="A206" s="219">
        <v>44748</v>
      </c>
      <c r="B206" s="81" t="str">
        <f>VLOOKUP(C206,'Master List'!A:C,3,FALSE)</f>
        <v>52-141</v>
      </c>
      <c r="C206" s="78">
        <v>336</v>
      </c>
      <c r="D206" s="78" t="s">
        <v>105</v>
      </c>
      <c r="E206" s="81">
        <f>VLOOKUP(C206,'Master List'!A:G,5,FALSE)</f>
        <v>100</v>
      </c>
      <c r="F206" s="43">
        <f>VLOOKUP(C206,'2022-002-bottles_csv'!E:L,8,FALSE)</f>
        <v>7.0000000000000007E-2</v>
      </c>
      <c r="G206" s="218">
        <v>304</v>
      </c>
      <c r="H206" s="218">
        <v>10</v>
      </c>
      <c r="I206" s="218">
        <v>1</v>
      </c>
      <c r="J206" s="252">
        <v>7603.36</v>
      </c>
      <c r="K206" s="252">
        <v>5490.53</v>
      </c>
      <c r="L206" s="252">
        <v>427.13</v>
      </c>
      <c r="M206" s="252">
        <v>458.5</v>
      </c>
      <c r="N206" s="250">
        <f t="shared" si="20"/>
        <v>7176.23</v>
      </c>
      <c r="O206" s="250">
        <f t="shared" si="21"/>
        <v>5032.03</v>
      </c>
      <c r="P206" s="95">
        <f t="shared" si="22"/>
        <v>0.11718431200830216</v>
      </c>
      <c r="Q206" s="95">
        <f t="shared" si="23"/>
        <v>0.11904868970975704</v>
      </c>
      <c r="R206" s="133">
        <f t="shared" si="24"/>
        <v>1.4261103371800248</v>
      </c>
      <c r="S206" s="221"/>
      <c r="T206" s="85">
        <v>30</v>
      </c>
    </row>
    <row r="207" spans="1:20" s="60" customFormat="1">
      <c r="A207" s="219">
        <v>44757</v>
      </c>
      <c r="B207" s="81" t="str">
        <f>VLOOKUP(C207,'Master List'!A:C,3,FALSE)</f>
        <v>52-141</v>
      </c>
      <c r="C207" s="78">
        <v>336</v>
      </c>
      <c r="D207" s="78" t="s">
        <v>106</v>
      </c>
      <c r="E207" s="81">
        <f>VLOOKUP(C207,'Master List'!A:G,5,FALSE)</f>
        <v>100</v>
      </c>
      <c r="F207" s="43">
        <f>VLOOKUP(C207,'2022-002-bottles_csv'!E:L,8,FALSE)</f>
        <v>7.0000000000000007E-2</v>
      </c>
      <c r="G207" s="218">
        <v>304</v>
      </c>
      <c r="H207" s="218">
        <v>10</v>
      </c>
      <c r="I207" s="218">
        <v>1</v>
      </c>
      <c r="J207" s="252">
        <v>7060.09</v>
      </c>
      <c r="K207" s="252">
        <v>5125.46</v>
      </c>
      <c r="L207" s="252">
        <v>351.09</v>
      </c>
      <c r="M207" s="252">
        <v>351.83</v>
      </c>
      <c r="N207" s="250">
        <f t="shared" si="20"/>
        <v>6709</v>
      </c>
      <c r="O207" s="250">
        <f t="shared" si="21"/>
        <v>4773.63</v>
      </c>
      <c r="P207" s="95">
        <f t="shared" si="22"/>
        <v>0.10577138416729211</v>
      </c>
      <c r="Q207" s="95">
        <f t="shared" si="23"/>
        <v>0.11833080600076701</v>
      </c>
      <c r="R207" s="133">
        <f t="shared" si="24"/>
        <v>1.4054294111608985</v>
      </c>
      <c r="S207" s="221"/>
      <c r="T207" s="85">
        <v>277</v>
      </c>
    </row>
    <row r="208" spans="1:20" s="60" customFormat="1">
      <c r="A208" s="219">
        <v>44748</v>
      </c>
      <c r="B208" s="81" t="str">
        <f>VLOOKUP(C208,'Master List'!A:C,3,FALSE)</f>
        <v>52-141</v>
      </c>
      <c r="C208" s="78">
        <v>337</v>
      </c>
      <c r="D208" s="78" t="s">
        <v>105</v>
      </c>
      <c r="E208" s="81">
        <f>VLOOKUP(C208,'Master List'!A:G,5,FALSE)</f>
        <v>75</v>
      </c>
      <c r="F208" s="43">
        <f>VLOOKUP(C208,'2022-002-bottles_csv'!E:L,8,FALSE)</f>
        <v>0.1</v>
      </c>
      <c r="G208" s="218">
        <v>304</v>
      </c>
      <c r="H208" s="218">
        <v>10</v>
      </c>
      <c r="I208" s="218">
        <v>1</v>
      </c>
      <c r="J208" s="252">
        <v>10828.01</v>
      </c>
      <c r="K208" s="252">
        <v>7330.02</v>
      </c>
      <c r="L208" s="252">
        <v>427.13</v>
      </c>
      <c r="M208" s="252">
        <v>458.5</v>
      </c>
      <c r="N208" s="250">
        <f t="shared" si="20"/>
        <v>10400.880000000001</v>
      </c>
      <c r="O208" s="250">
        <f t="shared" si="21"/>
        <v>6871.52</v>
      </c>
      <c r="P208" s="95">
        <f t="shared" si="22"/>
        <v>0.19288574919765947</v>
      </c>
      <c r="Q208" s="95">
        <f t="shared" si="23"/>
        <v>0.12970370197128783</v>
      </c>
      <c r="R208" s="133">
        <f t="shared" si="24"/>
        <v>1.5136214403800032</v>
      </c>
      <c r="S208" s="221"/>
      <c r="T208" s="85">
        <v>45</v>
      </c>
    </row>
    <row r="209" spans="1:20" s="60" customFormat="1">
      <c r="A209" s="219">
        <v>44761</v>
      </c>
      <c r="B209" s="81" t="str">
        <f>VLOOKUP(C209,'Master List'!A:C,3,FALSE)</f>
        <v>52-141</v>
      </c>
      <c r="C209" s="78">
        <v>337</v>
      </c>
      <c r="D209" s="78" t="s">
        <v>106</v>
      </c>
      <c r="E209" s="81">
        <f>VLOOKUP(C209,'Master List'!A:G,5,FALSE)</f>
        <v>75</v>
      </c>
      <c r="F209" s="43">
        <f>VLOOKUP(C209,'2022-002-bottles_csv'!E:L,8,FALSE)</f>
        <v>0.1</v>
      </c>
      <c r="G209" s="218">
        <v>304</v>
      </c>
      <c r="H209" s="218">
        <v>10</v>
      </c>
      <c r="I209" s="218">
        <v>1</v>
      </c>
      <c r="J209" s="252">
        <v>10946.57</v>
      </c>
      <c r="K209" s="252">
        <v>9928.99</v>
      </c>
      <c r="L209" s="252">
        <v>345.92</v>
      </c>
      <c r="M209" s="252">
        <v>349.76</v>
      </c>
      <c r="N209" s="250">
        <f t="shared" si="20"/>
        <v>10600.65</v>
      </c>
      <c r="O209" s="250">
        <f t="shared" si="21"/>
        <v>9579.23</v>
      </c>
      <c r="P209" s="95">
        <f t="shared" si="22"/>
        <v>5.5822404613151765E-2</v>
      </c>
      <c r="Q209" s="95">
        <f t="shared" si="23"/>
        <v>0.39388283503122323</v>
      </c>
      <c r="R209" s="133">
        <f t="shared" si="24"/>
        <v>1.1066286121118294</v>
      </c>
      <c r="S209" s="221"/>
      <c r="T209" s="85">
        <v>347</v>
      </c>
    </row>
    <row r="210" spans="1:20" s="60" customFormat="1">
      <c r="A210" s="219">
        <v>44748</v>
      </c>
      <c r="B210" s="81" t="str">
        <f>VLOOKUP(C210,'Master List'!A:C,3,FALSE)</f>
        <v>52-141</v>
      </c>
      <c r="C210" s="78">
        <v>340</v>
      </c>
      <c r="D210" s="78" t="s">
        <v>105</v>
      </c>
      <c r="E210" s="81">
        <f>VLOOKUP(C210,'Master List'!A:G,5,FALSE)</f>
        <v>50</v>
      </c>
      <c r="F210" s="43">
        <f>VLOOKUP(C210,'2022-002-bottles_csv'!E:L,8,FALSE)</f>
        <v>0.1</v>
      </c>
      <c r="G210" s="218">
        <v>304</v>
      </c>
      <c r="H210" s="218">
        <v>10</v>
      </c>
      <c r="I210" s="218">
        <v>1</v>
      </c>
      <c r="J210" s="252">
        <v>11717.55</v>
      </c>
      <c r="K210" s="252">
        <v>7870.02</v>
      </c>
      <c r="L210" s="252">
        <v>307.91000000000003</v>
      </c>
      <c r="M210" s="252">
        <v>311.38</v>
      </c>
      <c r="N210" s="250">
        <f t="shared" si="20"/>
        <v>11409.64</v>
      </c>
      <c r="O210" s="250">
        <f t="shared" si="21"/>
        <v>7558.64</v>
      </c>
      <c r="P210" s="95">
        <f t="shared" si="22"/>
        <v>0.21046394251654302</v>
      </c>
      <c r="Q210" s="95">
        <f t="shared" si="23"/>
        <v>0.14438295150161487</v>
      </c>
      <c r="R210" s="133">
        <f t="shared" si="24"/>
        <v>1.5094831874517107</v>
      </c>
      <c r="S210" s="221"/>
      <c r="T210" s="85">
        <v>18</v>
      </c>
    </row>
    <row r="211" spans="1:20" s="60" customFormat="1">
      <c r="A211" s="219">
        <v>44755</v>
      </c>
      <c r="B211" s="81" t="str">
        <f>VLOOKUP(C211,'Master List'!A:C,3,FALSE)</f>
        <v>52-141</v>
      </c>
      <c r="C211" s="78">
        <v>340</v>
      </c>
      <c r="D211" s="78" t="s">
        <v>106</v>
      </c>
      <c r="E211" s="81">
        <f>VLOOKUP(C211,'Master List'!A:G,5,FALSE)</f>
        <v>50</v>
      </c>
      <c r="F211" s="43">
        <f>VLOOKUP(C211,'2022-002-bottles_csv'!E:L,8,FALSE)</f>
        <v>0.1</v>
      </c>
      <c r="G211" s="218">
        <v>304</v>
      </c>
      <c r="H211" s="218">
        <v>10</v>
      </c>
      <c r="I211" s="218">
        <v>1</v>
      </c>
      <c r="J211" s="252">
        <v>10986.48</v>
      </c>
      <c r="K211" s="252">
        <v>7431.89</v>
      </c>
      <c r="L211" s="252">
        <v>332.42</v>
      </c>
      <c r="M211" s="252">
        <v>348.04</v>
      </c>
      <c r="N211" s="250">
        <f t="shared" si="20"/>
        <v>10654.06</v>
      </c>
      <c r="O211" s="250">
        <f t="shared" si="21"/>
        <v>7083.85</v>
      </c>
      <c r="P211" s="95">
        <f t="shared" si="22"/>
        <v>0.19511827375019139</v>
      </c>
      <c r="Q211" s="95">
        <f t="shared" si="23"/>
        <v>0.13743919296214407</v>
      </c>
      <c r="R211" s="133">
        <f t="shared" si="24"/>
        <v>1.5039928852248423</v>
      </c>
      <c r="S211" s="221"/>
      <c r="T211" s="85">
        <v>226</v>
      </c>
    </row>
    <row r="212" spans="1:20" s="60" customFormat="1">
      <c r="A212" s="219">
        <v>44748</v>
      </c>
      <c r="B212" s="81" t="str">
        <f>VLOOKUP(C212,'Master List'!A:C,3,FALSE)</f>
        <v>52-141</v>
      </c>
      <c r="C212" s="78">
        <v>342</v>
      </c>
      <c r="D212" s="78" t="s">
        <v>105</v>
      </c>
      <c r="E212" s="81">
        <f>VLOOKUP(C212,'Master List'!A:G,5,FALSE)</f>
        <v>25</v>
      </c>
      <c r="F212" s="43">
        <f>VLOOKUP(C212,'2022-002-bottles_csv'!E:L,8,FALSE)</f>
        <v>0.17</v>
      </c>
      <c r="G212" s="218">
        <v>304</v>
      </c>
      <c r="H212" s="218">
        <v>10</v>
      </c>
      <c r="I212" s="218">
        <v>1</v>
      </c>
      <c r="J212" s="252">
        <v>18696.689999999999</v>
      </c>
      <c r="K212" s="252">
        <v>11467.05</v>
      </c>
      <c r="L212" s="252">
        <v>307.91000000000003</v>
      </c>
      <c r="M212" s="252">
        <v>311.38</v>
      </c>
      <c r="N212" s="250">
        <f t="shared" si="20"/>
        <v>18388.78</v>
      </c>
      <c r="O212" s="250">
        <f t="shared" si="21"/>
        <v>11155.67</v>
      </c>
      <c r="P212" s="95">
        <f t="shared" si="22"/>
        <v>0.39530221948995914</v>
      </c>
      <c r="Q212" s="95">
        <f t="shared" si="23"/>
        <v>0.12841035978244214</v>
      </c>
      <c r="R212" s="133">
        <f t="shared" si="24"/>
        <v>1.64837970287755</v>
      </c>
      <c r="S212" s="221"/>
      <c r="T212" s="85">
        <v>22</v>
      </c>
    </row>
    <row r="213" spans="1:20" s="60" customFormat="1">
      <c r="A213" s="219">
        <v>44756</v>
      </c>
      <c r="B213" s="81" t="str">
        <f>VLOOKUP(C213,'Master List'!A:C,3,FALSE)</f>
        <v>52-141</v>
      </c>
      <c r="C213" s="78">
        <v>342</v>
      </c>
      <c r="D213" s="78" t="s">
        <v>106</v>
      </c>
      <c r="E213" s="81">
        <f>VLOOKUP(C213,'Master List'!A:G,5,FALSE)</f>
        <v>25</v>
      </c>
      <c r="F213" s="43">
        <f>VLOOKUP(C213,'2022-002-bottles_csv'!E:L,8,FALSE)</f>
        <v>0.17</v>
      </c>
      <c r="G213" s="218">
        <v>304</v>
      </c>
      <c r="H213" s="218">
        <v>10</v>
      </c>
      <c r="I213" s="218">
        <v>1</v>
      </c>
      <c r="J213" s="252">
        <v>18698.240000000002</v>
      </c>
      <c r="K213" s="252">
        <v>11621.14</v>
      </c>
      <c r="L213" s="252">
        <v>332.16</v>
      </c>
      <c r="M213" s="252">
        <v>344.15</v>
      </c>
      <c r="N213" s="250">
        <f t="shared" si="20"/>
        <v>18366.080000000002</v>
      </c>
      <c r="O213" s="250">
        <f t="shared" si="21"/>
        <v>11276.99</v>
      </c>
      <c r="P213" s="95">
        <f t="shared" si="22"/>
        <v>0.38743127246289294</v>
      </c>
      <c r="Q213" s="95">
        <f t="shared" si="23"/>
        <v>0.14197677916727142</v>
      </c>
      <c r="R213" s="133">
        <f t="shared" si="24"/>
        <v>1.6286331725043652</v>
      </c>
      <c r="S213" s="221"/>
      <c r="T213" s="85">
        <v>249</v>
      </c>
    </row>
    <row r="214" spans="1:20" s="60" customFormat="1">
      <c r="A214" s="219">
        <v>44749</v>
      </c>
      <c r="B214" s="81" t="str">
        <f>VLOOKUP(C214,'Master List'!A:C,3,FALSE)</f>
        <v>52-141</v>
      </c>
      <c r="C214" s="78">
        <v>348</v>
      </c>
      <c r="D214" s="78" t="s">
        <v>105</v>
      </c>
      <c r="E214" s="81">
        <f>VLOOKUP(C214,'Master List'!A:G,5,FALSE)</f>
        <v>5</v>
      </c>
      <c r="F214" s="43">
        <f>VLOOKUP(C214,'2022-002-bottles_csv'!E:L,8,FALSE)</f>
        <v>0.17</v>
      </c>
      <c r="G214" s="218">
        <v>304</v>
      </c>
      <c r="H214" s="218">
        <v>10</v>
      </c>
      <c r="I214" s="218">
        <v>1</v>
      </c>
      <c r="J214" s="252">
        <v>21153.75</v>
      </c>
      <c r="K214" s="252">
        <v>13453.32</v>
      </c>
      <c r="L214" s="252">
        <v>347.66</v>
      </c>
      <c r="M214" s="252">
        <v>357.34</v>
      </c>
      <c r="N214" s="250">
        <f t="shared" si="20"/>
        <v>20806.09</v>
      </c>
      <c r="O214" s="250">
        <f t="shared" si="21"/>
        <v>13095.98</v>
      </c>
      <c r="P214" s="95">
        <f t="shared" si="22"/>
        <v>0.42137111083776269</v>
      </c>
      <c r="Q214" s="95">
        <f t="shared" si="23"/>
        <v>0.19343100000809255</v>
      </c>
      <c r="R214" s="133">
        <f t="shared" si="24"/>
        <v>1.5887386816412365</v>
      </c>
      <c r="S214" s="221"/>
      <c r="T214" s="85">
        <v>70</v>
      </c>
    </row>
    <row r="215" spans="1:20" s="60" customFormat="1">
      <c r="A215" s="219">
        <v>44757</v>
      </c>
      <c r="B215" s="81" t="str">
        <f>VLOOKUP(C215,'Master List'!A:C,3,FALSE)</f>
        <v>52-141</v>
      </c>
      <c r="C215" s="78">
        <v>348</v>
      </c>
      <c r="D215" s="78" t="s">
        <v>106</v>
      </c>
      <c r="E215" s="81">
        <f>VLOOKUP(C215,'Master List'!A:G,5,FALSE)</f>
        <v>5</v>
      </c>
      <c r="F215" s="43">
        <f>VLOOKUP(C215,'2022-002-bottles_csv'!E:L,8,FALSE)</f>
        <v>0.17</v>
      </c>
      <c r="G215" s="218">
        <v>304</v>
      </c>
      <c r="H215" s="218">
        <v>10</v>
      </c>
      <c r="I215" s="218">
        <v>1</v>
      </c>
      <c r="J215" s="252">
        <v>18332.78</v>
      </c>
      <c r="K215" s="252">
        <v>11663.98</v>
      </c>
      <c r="L215" s="252">
        <v>305.45999999999998</v>
      </c>
      <c r="M215" s="252">
        <v>318.69</v>
      </c>
      <c r="N215" s="250">
        <f t="shared" si="20"/>
        <v>18027.32</v>
      </c>
      <c r="O215" s="250">
        <f t="shared" si="21"/>
        <v>11345.289999999999</v>
      </c>
      <c r="P215" s="95">
        <f t="shared" si="22"/>
        <v>0.36518472547749059</v>
      </c>
      <c r="Q215" s="95">
        <f t="shared" si="23"/>
        <v>0.16742972874116049</v>
      </c>
      <c r="R215" s="133">
        <f t="shared" si="24"/>
        <v>1.5889695195098583</v>
      </c>
      <c r="S215" s="221"/>
      <c r="T215" s="85">
        <v>305</v>
      </c>
    </row>
    <row r="216" spans="1:20" s="60" customFormat="1">
      <c r="A216" s="219">
        <v>44749</v>
      </c>
      <c r="B216" s="81" t="str">
        <f>VLOOKUP(C216,'Master List'!A:C,3,FALSE)</f>
        <v>53-141</v>
      </c>
      <c r="C216" s="78">
        <v>352</v>
      </c>
      <c r="D216" s="78" t="s">
        <v>105</v>
      </c>
      <c r="E216" s="81">
        <f>VLOOKUP(C216,'Master List'!A:G,5,FALSE)</f>
        <v>150</v>
      </c>
      <c r="F216" s="43">
        <f>VLOOKUP(C216,'2022-002-bottles_csv'!E:L,8,FALSE)</f>
        <v>0.05</v>
      </c>
      <c r="G216" s="218">
        <v>304</v>
      </c>
      <c r="H216" s="218">
        <v>10</v>
      </c>
      <c r="I216" s="218">
        <v>1</v>
      </c>
      <c r="J216" s="252">
        <v>1966.76</v>
      </c>
      <c r="K216" s="252">
        <v>1686.32</v>
      </c>
      <c r="L216" s="252">
        <v>347.66</v>
      </c>
      <c r="M216" s="252">
        <v>357.34</v>
      </c>
      <c r="N216" s="250">
        <f t="shared" si="20"/>
        <v>1619.1</v>
      </c>
      <c r="O216" s="250">
        <f t="shared" si="21"/>
        <v>1328.98</v>
      </c>
      <c r="P216" s="95">
        <f t="shared" si="22"/>
        <v>1.5855569722902998E-2</v>
      </c>
      <c r="Q216" s="95">
        <f t="shared" si="23"/>
        <v>4.6534546119662783E-2</v>
      </c>
      <c r="R216" s="133">
        <f t="shared" si="24"/>
        <v>1.2183027585065238</v>
      </c>
      <c r="S216" s="221"/>
      <c r="T216" s="85">
        <v>66</v>
      </c>
    </row>
    <row r="217" spans="1:20" s="60" customFormat="1">
      <c r="A217" s="219">
        <v>44761</v>
      </c>
      <c r="B217" s="81" t="str">
        <f>VLOOKUP(C217,'Master List'!A:C,3,FALSE)</f>
        <v>53-141</v>
      </c>
      <c r="C217" s="78">
        <v>352</v>
      </c>
      <c r="D217" s="78" t="s">
        <v>106</v>
      </c>
      <c r="E217" s="81">
        <f>VLOOKUP(C217,'Master List'!A:G,5,FALSE)</f>
        <v>150</v>
      </c>
      <c r="F217" s="43">
        <f>VLOOKUP(C217,'2022-002-bottles_csv'!E:L,8,FALSE)</f>
        <v>0.05</v>
      </c>
      <c r="G217" s="218">
        <v>304</v>
      </c>
      <c r="H217" s="218">
        <v>10</v>
      </c>
      <c r="I217" s="218">
        <v>1</v>
      </c>
      <c r="J217" s="252">
        <v>1847.71</v>
      </c>
      <c r="K217" s="252">
        <v>1565.8</v>
      </c>
      <c r="L217" s="252">
        <v>334.87</v>
      </c>
      <c r="M217" s="252">
        <v>333.82</v>
      </c>
      <c r="N217" s="250">
        <f t="shared" si="20"/>
        <v>1512.8400000000001</v>
      </c>
      <c r="O217" s="250">
        <f t="shared" si="21"/>
        <v>1231.98</v>
      </c>
      <c r="P217" s="95">
        <f t="shared" si="22"/>
        <v>1.5349494389819869E-2</v>
      </c>
      <c r="Q217" s="95">
        <f t="shared" si="23"/>
        <v>4.2486872534982768E-2</v>
      </c>
      <c r="R217" s="133">
        <f t="shared" si="24"/>
        <v>1.2279744801051966</v>
      </c>
      <c r="S217" s="221"/>
      <c r="T217" s="85">
        <v>413</v>
      </c>
    </row>
    <row r="218" spans="1:20" s="60" customFormat="1">
      <c r="A218" s="219">
        <v>44749</v>
      </c>
      <c r="B218" s="81" t="str">
        <f>VLOOKUP(C218,'Master List'!A:C,3,FALSE)</f>
        <v>53-141</v>
      </c>
      <c r="C218" s="78">
        <v>356</v>
      </c>
      <c r="D218" s="78" t="s">
        <v>105</v>
      </c>
      <c r="E218" s="81">
        <f>VLOOKUP(C218,'Master List'!A:G,5,FALSE)</f>
        <v>100</v>
      </c>
      <c r="F218" s="43">
        <f>VLOOKUP(C218,'2022-002-bottles_csv'!E:L,8,FALSE)</f>
        <v>0.08</v>
      </c>
      <c r="G218" s="218">
        <v>304</v>
      </c>
      <c r="H218" s="218">
        <v>10</v>
      </c>
      <c r="I218" s="218">
        <v>1</v>
      </c>
      <c r="J218" s="252">
        <v>9796.44</v>
      </c>
      <c r="K218" s="252">
        <v>7055.93</v>
      </c>
      <c r="L218" s="252">
        <v>347.66</v>
      </c>
      <c r="M218" s="252">
        <v>357.34</v>
      </c>
      <c r="N218" s="250">
        <f t="shared" si="20"/>
        <v>9448.7800000000007</v>
      </c>
      <c r="O218" s="250">
        <f t="shared" si="21"/>
        <v>6698.59</v>
      </c>
      <c r="P218" s="95">
        <f t="shared" si="22"/>
        <v>0.15030273437277894</v>
      </c>
      <c r="Q218" s="95">
        <f t="shared" si="23"/>
        <v>0.16416836833896439</v>
      </c>
      <c r="R218" s="133">
        <f t="shared" si="24"/>
        <v>1.4105625213664368</v>
      </c>
      <c r="S218" s="221"/>
      <c r="T218" s="85">
        <v>59</v>
      </c>
    </row>
    <row r="219" spans="1:20" s="60" customFormat="1">
      <c r="A219" s="219">
        <v>44761</v>
      </c>
      <c r="B219" s="81" t="str">
        <f>VLOOKUP(C219,'Master List'!A:C,3,FALSE)</f>
        <v>53-141</v>
      </c>
      <c r="C219" s="78">
        <v>356</v>
      </c>
      <c r="D219" s="78" t="s">
        <v>106</v>
      </c>
      <c r="E219" s="81">
        <f>VLOOKUP(C219,'Master List'!A:G,5,FALSE)</f>
        <v>100</v>
      </c>
      <c r="F219" s="43">
        <f>VLOOKUP(C219,'2022-002-bottles_csv'!E:L,8,FALSE)</f>
        <v>0.08</v>
      </c>
      <c r="G219" s="218">
        <v>304</v>
      </c>
      <c r="H219" s="218">
        <v>10</v>
      </c>
      <c r="I219" s="218">
        <v>1</v>
      </c>
      <c r="J219" s="252">
        <v>8618.3799999999992</v>
      </c>
      <c r="K219" s="252">
        <v>6182.84</v>
      </c>
      <c r="L219" s="252">
        <v>334.87</v>
      </c>
      <c r="M219" s="252">
        <v>333.82</v>
      </c>
      <c r="N219" s="250">
        <f t="shared" si="20"/>
        <v>8283.5099999999984</v>
      </c>
      <c r="O219" s="250">
        <f t="shared" si="21"/>
        <v>5849.02</v>
      </c>
      <c r="P219" s="95">
        <f t="shared" si="22"/>
        <v>0.13304917253105647</v>
      </c>
      <c r="Q219" s="95">
        <f t="shared" si="23"/>
        <v>0.14153813154085138</v>
      </c>
      <c r="R219" s="133">
        <f t="shared" si="24"/>
        <v>1.4162218628077863</v>
      </c>
      <c r="S219" s="221"/>
      <c r="T219" s="85">
        <v>414</v>
      </c>
    </row>
    <row r="220" spans="1:20" s="60" customFormat="1">
      <c r="A220" s="219">
        <v>44749</v>
      </c>
      <c r="B220" s="81" t="str">
        <f>VLOOKUP(C220,'Master List'!A:C,3,FALSE)</f>
        <v>53-141</v>
      </c>
      <c r="C220" s="78">
        <v>357</v>
      </c>
      <c r="D220" s="78" t="s">
        <v>105</v>
      </c>
      <c r="E220" s="81">
        <f>VLOOKUP(C220,'Master List'!A:G,5,FALSE)</f>
        <v>75</v>
      </c>
      <c r="F220" s="43">
        <f>VLOOKUP(C220,'2022-002-bottles_csv'!E:L,8,FALSE)</f>
        <v>0.13</v>
      </c>
      <c r="G220" s="218">
        <v>304</v>
      </c>
      <c r="H220" s="218">
        <v>10</v>
      </c>
      <c r="I220" s="218">
        <v>1</v>
      </c>
      <c r="J220" s="252">
        <v>16668.32</v>
      </c>
      <c r="K220" s="252">
        <v>10755.47</v>
      </c>
      <c r="L220" s="252">
        <v>347.66</v>
      </c>
      <c r="M220" s="252">
        <v>357.34</v>
      </c>
      <c r="N220" s="250">
        <f t="shared" si="20"/>
        <v>16320.66</v>
      </c>
      <c r="O220" s="250">
        <f t="shared" si="21"/>
        <v>10398.129999999999</v>
      </c>
      <c r="P220" s="95">
        <f t="shared" si="22"/>
        <v>0.32367671084718308</v>
      </c>
      <c r="Q220" s="95">
        <f t="shared" si="23"/>
        <v>0.16447249775344175</v>
      </c>
      <c r="R220" s="133">
        <f t="shared" si="24"/>
        <v>1.5695764526890894</v>
      </c>
      <c r="S220" s="221"/>
      <c r="T220" s="85">
        <v>68</v>
      </c>
    </row>
    <row r="221" spans="1:20" s="60" customFormat="1">
      <c r="A221" s="219">
        <v>44755</v>
      </c>
      <c r="B221" s="81" t="str">
        <f>VLOOKUP(C221,'Master List'!A:C,3,FALSE)</f>
        <v>53-141</v>
      </c>
      <c r="C221" s="78">
        <v>357</v>
      </c>
      <c r="D221" s="78" t="s">
        <v>106</v>
      </c>
      <c r="E221" s="81">
        <f>VLOOKUP(C221,'Master List'!A:G,5,FALSE)</f>
        <v>75</v>
      </c>
      <c r="F221" s="43">
        <f>VLOOKUP(C221,'2022-002-bottles_csv'!E:L,8,FALSE)</f>
        <v>0.13</v>
      </c>
      <c r="G221" s="218">
        <v>304</v>
      </c>
      <c r="H221" s="218">
        <v>10</v>
      </c>
      <c r="I221" s="218">
        <v>1</v>
      </c>
      <c r="J221" s="252">
        <v>14997.83</v>
      </c>
      <c r="K221" s="252">
        <v>9689.0499999999993</v>
      </c>
      <c r="L221" s="252">
        <v>311.39</v>
      </c>
      <c r="M221" s="252">
        <v>298.52999999999997</v>
      </c>
      <c r="N221" s="250">
        <f t="shared" si="20"/>
        <v>14686.44</v>
      </c>
      <c r="O221" s="250">
        <f t="shared" si="21"/>
        <v>9390.5199999999986</v>
      </c>
      <c r="P221" s="95">
        <f t="shared" si="22"/>
        <v>0.28943136911249318</v>
      </c>
      <c r="Q221" s="95">
        <f t="shared" si="23"/>
        <v>0.15141471632290138</v>
      </c>
      <c r="R221" s="133">
        <f t="shared" si="24"/>
        <v>1.563964508887687</v>
      </c>
      <c r="S221" s="221"/>
      <c r="T221" s="85">
        <v>212</v>
      </c>
    </row>
    <row r="222" spans="1:20" s="60" customFormat="1">
      <c r="A222" s="219">
        <v>44749</v>
      </c>
      <c r="B222" s="81" t="str">
        <f>VLOOKUP(C222,'Master List'!A:C,3,FALSE)</f>
        <v>53-141</v>
      </c>
      <c r="C222" s="78">
        <v>360</v>
      </c>
      <c r="D222" s="78" t="s">
        <v>105</v>
      </c>
      <c r="E222" s="81">
        <f>VLOOKUP(C222,'Master List'!A:G,5,FALSE)</f>
        <v>50</v>
      </c>
      <c r="F222" s="43">
        <f>VLOOKUP(C222,'2022-002-bottles_csv'!E:L,8,FALSE)</f>
        <v>0.14000000000000001</v>
      </c>
      <c r="G222" s="218">
        <v>304</v>
      </c>
      <c r="H222" s="218">
        <v>10</v>
      </c>
      <c r="I222" s="218">
        <v>1</v>
      </c>
      <c r="J222" s="252">
        <v>18177.650000000001</v>
      </c>
      <c r="K222" s="252">
        <v>12486.19</v>
      </c>
      <c r="L222" s="252">
        <v>347.66</v>
      </c>
      <c r="M222" s="252">
        <v>357.34</v>
      </c>
      <c r="N222" s="250">
        <f t="shared" si="20"/>
        <v>17829.990000000002</v>
      </c>
      <c r="O222" s="250">
        <f t="shared" si="21"/>
        <v>12128.85</v>
      </c>
      <c r="P222" s="95">
        <f t="shared" si="22"/>
        <v>0.31157735685244475</v>
      </c>
      <c r="Q222" s="95">
        <f t="shared" si="23"/>
        <v>0.25782199944870643</v>
      </c>
      <c r="R222" s="133">
        <f t="shared" si="24"/>
        <v>1.4700478610915297</v>
      </c>
      <c r="S222" s="221"/>
      <c r="T222" s="85">
        <v>57</v>
      </c>
    </row>
    <row r="223" spans="1:20" s="60" customFormat="1">
      <c r="A223" s="219">
        <v>44761</v>
      </c>
      <c r="B223" s="81" t="str">
        <f>VLOOKUP(C223,'Master List'!A:C,3,FALSE)</f>
        <v>53-141</v>
      </c>
      <c r="C223" s="78">
        <v>360</v>
      </c>
      <c r="D223" s="78" t="s">
        <v>106</v>
      </c>
      <c r="E223" s="81">
        <f>VLOOKUP(C223,'Master List'!A:G,5,FALSE)</f>
        <v>50</v>
      </c>
      <c r="F223" s="43">
        <f>VLOOKUP(C223,'2022-002-bottles_csv'!E:L,8,FALSE)</f>
        <v>0.14000000000000001</v>
      </c>
      <c r="G223" s="218">
        <v>304</v>
      </c>
      <c r="H223" s="218">
        <v>10</v>
      </c>
      <c r="I223" s="218">
        <v>1</v>
      </c>
      <c r="J223" s="252">
        <v>15940.22</v>
      </c>
      <c r="K223" s="252">
        <v>10487.61</v>
      </c>
      <c r="L223" s="252">
        <v>362.04</v>
      </c>
      <c r="M223" s="252">
        <v>363.93</v>
      </c>
      <c r="N223" s="250">
        <f t="shared" si="20"/>
        <v>15578.179999999998</v>
      </c>
      <c r="O223" s="250">
        <f t="shared" si="21"/>
        <v>10123.68</v>
      </c>
      <c r="P223" s="95">
        <f t="shared" si="22"/>
        <v>0.2980980458209514</v>
      </c>
      <c r="Q223" s="95">
        <f t="shared" si="23"/>
        <v>0.17716687009431162</v>
      </c>
      <c r="R223" s="133">
        <f t="shared" si="24"/>
        <v>1.5387862911510437</v>
      </c>
      <c r="S223" s="221"/>
      <c r="T223" s="85">
        <v>390</v>
      </c>
    </row>
    <row r="224" spans="1:20" s="60" customFormat="1">
      <c r="A224" s="219">
        <v>44749</v>
      </c>
      <c r="B224" s="81" t="str">
        <f>VLOOKUP(C224,'Master List'!A:C,3,FALSE)</f>
        <v>53-141</v>
      </c>
      <c r="C224" s="78">
        <v>362</v>
      </c>
      <c r="D224" s="78" t="s">
        <v>105</v>
      </c>
      <c r="E224" s="81">
        <f>VLOOKUP(C224,'Master List'!A:G,5,FALSE)</f>
        <v>25</v>
      </c>
      <c r="F224" s="43">
        <f>VLOOKUP(C224,'2022-002-bottles_csv'!E:L,8,FALSE)</f>
        <v>0.15</v>
      </c>
      <c r="G224" s="218">
        <v>304</v>
      </c>
      <c r="H224" s="218">
        <v>10</v>
      </c>
      <c r="I224" s="218">
        <v>1</v>
      </c>
      <c r="J224" s="252">
        <v>20024.53</v>
      </c>
      <c r="K224" s="252">
        <v>13728.09</v>
      </c>
      <c r="L224" s="252">
        <v>347.66</v>
      </c>
      <c r="M224" s="252">
        <v>357.34</v>
      </c>
      <c r="N224" s="250">
        <f t="shared" si="20"/>
        <v>19676.87</v>
      </c>
      <c r="O224" s="250">
        <f t="shared" si="21"/>
        <v>13370.75</v>
      </c>
      <c r="P224" s="95">
        <f t="shared" si="22"/>
        <v>0.34464058093545114</v>
      </c>
      <c r="Q224" s="95">
        <f t="shared" si="23"/>
        <v>0.28306084527260794</v>
      </c>
      <c r="R224" s="133">
        <f t="shared" si="24"/>
        <v>1.4716354729540226</v>
      </c>
      <c r="S224" s="221"/>
      <c r="T224" s="85">
        <v>61</v>
      </c>
    </row>
    <row r="225" spans="1:20" s="60" customFormat="1">
      <c r="A225" s="219">
        <v>44761</v>
      </c>
      <c r="B225" s="81" t="str">
        <f>VLOOKUP(C225,'Master List'!A:C,3,FALSE)</f>
        <v>53-141</v>
      </c>
      <c r="C225" s="78">
        <v>362</v>
      </c>
      <c r="D225" s="78" t="s">
        <v>106</v>
      </c>
      <c r="E225" s="81">
        <f>VLOOKUP(C225,'Master List'!A:G,5,FALSE)</f>
        <v>25</v>
      </c>
      <c r="F225" s="43">
        <f>VLOOKUP(C225,'2022-002-bottles_csv'!E:L,8,FALSE)</f>
        <v>0.15</v>
      </c>
      <c r="G225" s="218">
        <v>304</v>
      </c>
      <c r="H225" s="218">
        <v>10</v>
      </c>
      <c r="I225" s="218">
        <v>1</v>
      </c>
      <c r="J225" s="252">
        <v>16830.86</v>
      </c>
      <c r="K225" s="252">
        <v>11238.79</v>
      </c>
      <c r="L225" s="252">
        <v>362.04</v>
      </c>
      <c r="M225" s="252">
        <v>363.93</v>
      </c>
      <c r="N225" s="250">
        <f t="shared" si="20"/>
        <v>16468.82</v>
      </c>
      <c r="O225" s="250">
        <f t="shared" si="21"/>
        <v>10874.86</v>
      </c>
      <c r="P225" s="95">
        <f t="shared" si="22"/>
        <v>0.30571978080494444</v>
      </c>
      <c r="Q225" s="95">
        <f t="shared" si="23"/>
        <v>0.20480993007985809</v>
      </c>
      <c r="R225" s="133">
        <f t="shared" si="24"/>
        <v>1.5143937485172221</v>
      </c>
      <c r="S225" s="221"/>
      <c r="T225" s="85">
        <v>380</v>
      </c>
    </row>
    <row r="226" spans="1:20" s="60" customFormat="1">
      <c r="A226" s="219">
        <v>44749</v>
      </c>
      <c r="B226" s="81" t="str">
        <f>VLOOKUP(C226,'Master List'!A:C,3,FALSE)</f>
        <v>53-141</v>
      </c>
      <c r="C226" s="78">
        <v>368</v>
      </c>
      <c r="D226" s="78" t="s">
        <v>105</v>
      </c>
      <c r="E226" s="81">
        <f>VLOOKUP(C226,'Master List'!A:G,5,FALSE)</f>
        <v>5</v>
      </c>
      <c r="F226" s="43">
        <f>VLOOKUP(C226,'2022-002-bottles_csv'!E:L,8,FALSE)</f>
        <v>0.16</v>
      </c>
      <c r="G226" s="218">
        <v>304</v>
      </c>
      <c r="H226" s="218">
        <v>10</v>
      </c>
      <c r="I226" s="218">
        <v>1</v>
      </c>
      <c r="J226" s="252">
        <v>18423.560000000001</v>
      </c>
      <c r="K226" s="252">
        <v>11971.29</v>
      </c>
      <c r="L226" s="252">
        <v>347.66</v>
      </c>
      <c r="M226" s="252">
        <v>357.34</v>
      </c>
      <c r="N226" s="250">
        <f t="shared" si="20"/>
        <v>18075.900000000001</v>
      </c>
      <c r="O226" s="250">
        <f t="shared" si="21"/>
        <v>11613.95</v>
      </c>
      <c r="P226" s="95">
        <f t="shared" si="22"/>
        <v>0.35315696529337204</v>
      </c>
      <c r="Q226" s="95">
        <f t="shared" si="23"/>
        <v>0.19206996505152923</v>
      </c>
      <c r="R226" s="133">
        <f t="shared" si="24"/>
        <v>1.5563955415685446</v>
      </c>
      <c r="S226" s="221"/>
      <c r="T226" s="85">
        <v>72</v>
      </c>
    </row>
    <row r="227" spans="1:20" s="60" customFormat="1">
      <c r="A227" s="219">
        <v>44761</v>
      </c>
      <c r="B227" s="81" t="str">
        <f>VLOOKUP(C227,'Master List'!A:C,3,FALSE)</f>
        <v>53-141</v>
      </c>
      <c r="C227" s="78">
        <v>368</v>
      </c>
      <c r="D227" s="78" t="s">
        <v>106</v>
      </c>
      <c r="E227" s="81">
        <f>VLOOKUP(C227,'Master List'!A:G,5,FALSE)</f>
        <v>5</v>
      </c>
      <c r="F227" s="43">
        <f>VLOOKUP(C227,'2022-002-bottles_csv'!E:L,8,FALSE)</f>
        <v>0.16</v>
      </c>
      <c r="G227" s="218">
        <v>304</v>
      </c>
      <c r="H227" s="218">
        <v>10</v>
      </c>
      <c r="I227" s="218">
        <v>1</v>
      </c>
      <c r="J227" s="252">
        <v>16477.669999999998</v>
      </c>
      <c r="K227" s="252">
        <v>10455.68</v>
      </c>
      <c r="L227" s="252">
        <v>345.92</v>
      </c>
      <c r="M227" s="252">
        <v>349.76</v>
      </c>
      <c r="N227" s="250">
        <f t="shared" si="20"/>
        <v>16131.749999999998</v>
      </c>
      <c r="O227" s="250">
        <f t="shared" si="21"/>
        <v>10105.92</v>
      </c>
      <c r="P227" s="95">
        <f t="shared" si="22"/>
        <v>0.3293222380510154</v>
      </c>
      <c r="Q227" s="95">
        <f t="shared" si="23"/>
        <v>0.14510891929951078</v>
      </c>
      <c r="R227" s="133">
        <f t="shared" si="24"/>
        <v>1.5962673363731354</v>
      </c>
      <c r="S227" s="221"/>
      <c r="T227" s="85">
        <v>348</v>
      </c>
    </row>
    <row r="228" spans="1:20" s="60" customFormat="1">
      <c r="A228" s="219">
        <v>44749</v>
      </c>
      <c r="B228" s="81" t="str">
        <f>VLOOKUP(C228,'Master List'!A:C,3,FALSE)</f>
        <v>53-138</v>
      </c>
      <c r="C228" s="78">
        <v>372</v>
      </c>
      <c r="D228" s="78" t="s">
        <v>105</v>
      </c>
      <c r="E228" s="81">
        <f>VLOOKUP(C228,'Master List'!A:G,5,FALSE)</f>
        <v>150</v>
      </c>
      <c r="F228" s="43">
        <f>VLOOKUP(C228,'2022-002-bottles_csv'!E:L,8,FALSE)</f>
        <v>0.05</v>
      </c>
      <c r="G228" s="218">
        <v>304</v>
      </c>
      <c r="H228" s="218">
        <v>10</v>
      </c>
      <c r="I228" s="218">
        <v>1</v>
      </c>
      <c r="J228" s="252">
        <v>1704.75</v>
      </c>
      <c r="K228" s="252">
        <v>1519</v>
      </c>
      <c r="L228" s="252">
        <v>286.18</v>
      </c>
      <c r="M228" s="252">
        <v>286.97000000000003</v>
      </c>
      <c r="N228" s="250">
        <f t="shared" si="20"/>
        <v>1418.57</v>
      </c>
      <c r="O228" s="250">
        <f t="shared" si="21"/>
        <v>1232.03</v>
      </c>
      <c r="P228" s="95">
        <f t="shared" si="22"/>
        <v>1.0194740025197595E-2</v>
      </c>
      <c r="Q228" s="95">
        <f t="shared" si="23"/>
        <v>4.76439741928616E-2</v>
      </c>
      <c r="R228" s="133">
        <f t="shared" si="24"/>
        <v>1.1514086507633743</v>
      </c>
      <c r="S228" s="221"/>
      <c r="T228" s="85">
        <v>79</v>
      </c>
    </row>
    <row r="229" spans="1:20" s="60" customFormat="1">
      <c r="A229" s="219">
        <v>44757</v>
      </c>
      <c r="B229" s="81" t="str">
        <f>VLOOKUP(C229,'Master List'!A:C,3,FALSE)</f>
        <v>53-138</v>
      </c>
      <c r="C229" s="78">
        <v>372</v>
      </c>
      <c r="D229" s="78" t="s">
        <v>106</v>
      </c>
      <c r="E229" s="81">
        <f>VLOOKUP(C229,'Master List'!A:G,5,FALSE)</f>
        <v>150</v>
      </c>
      <c r="F229" s="43">
        <f>VLOOKUP(C229,'2022-002-bottles_csv'!E:L,8,FALSE)</f>
        <v>0.05</v>
      </c>
      <c r="G229" s="218">
        <v>304</v>
      </c>
      <c r="H229" s="218">
        <v>10</v>
      </c>
      <c r="I229" s="218">
        <v>1</v>
      </c>
      <c r="J229" s="252">
        <v>1571.21</v>
      </c>
      <c r="K229" s="252">
        <v>1410</v>
      </c>
      <c r="L229" s="252">
        <v>305.45999999999998</v>
      </c>
      <c r="M229" s="252">
        <v>318.69</v>
      </c>
      <c r="N229" s="250">
        <f t="shared" si="20"/>
        <v>1265.75</v>
      </c>
      <c r="O229" s="250">
        <f t="shared" si="21"/>
        <v>1091.31</v>
      </c>
      <c r="P229" s="95">
        <f t="shared" si="22"/>
        <v>9.5334536828319359E-3</v>
      </c>
      <c r="Q229" s="95">
        <f t="shared" si="23"/>
        <v>4.1699038393911474E-2</v>
      </c>
      <c r="R229" s="133">
        <f t="shared" si="24"/>
        <v>1.1598445904463444</v>
      </c>
      <c r="S229" s="221"/>
      <c r="T229" s="85">
        <v>293</v>
      </c>
    </row>
    <row r="230" spans="1:20" s="60" customFormat="1">
      <c r="A230" s="219">
        <v>44749</v>
      </c>
      <c r="B230" s="81" t="str">
        <f>VLOOKUP(C230,'Master List'!A:C,3,FALSE)</f>
        <v>53-138</v>
      </c>
      <c r="C230" s="78">
        <v>376</v>
      </c>
      <c r="D230" s="78" t="s">
        <v>105</v>
      </c>
      <c r="E230" s="81">
        <f>VLOOKUP(C230,'Master List'!A:G,5,FALSE)</f>
        <v>100</v>
      </c>
      <c r="F230" s="43">
        <f>VLOOKUP(C230,'2022-002-bottles_csv'!E:L,8,FALSE)</f>
        <v>0.06</v>
      </c>
      <c r="G230" s="218">
        <v>304</v>
      </c>
      <c r="H230" s="218">
        <v>10</v>
      </c>
      <c r="I230" s="218">
        <v>1</v>
      </c>
      <c r="J230" s="252">
        <v>3824.94</v>
      </c>
      <c r="K230" s="252">
        <v>2909.88</v>
      </c>
      <c r="L230" s="252">
        <v>286.18</v>
      </c>
      <c r="M230" s="252">
        <v>286.97000000000003</v>
      </c>
      <c r="N230" s="250">
        <f t="shared" si="20"/>
        <v>3538.76</v>
      </c>
      <c r="O230" s="250">
        <f t="shared" si="21"/>
        <v>2622.91</v>
      </c>
      <c r="P230" s="95">
        <f t="shared" si="22"/>
        <v>5.0052817905420939E-2</v>
      </c>
      <c r="Q230" s="95">
        <f t="shared" si="23"/>
        <v>7.3081961206848747E-2</v>
      </c>
      <c r="R230" s="133">
        <f t="shared" si="24"/>
        <v>1.349173246508649</v>
      </c>
      <c r="S230" s="221"/>
      <c r="T230" s="85">
        <v>84</v>
      </c>
    </row>
    <row r="231" spans="1:20" s="60" customFormat="1">
      <c r="A231" s="219">
        <v>44761</v>
      </c>
      <c r="B231" s="81" t="str">
        <f>VLOOKUP(C231,'Master List'!A:C,3,FALSE)</f>
        <v>53-138</v>
      </c>
      <c r="C231" s="78">
        <v>376</v>
      </c>
      <c r="D231" s="78" t="s">
        <v>106</v>
      </c>
      <c r="E231" s="81">
        <f>VLOOKUP(C231,'Master List'!A:G,5,FALSE)</f>
        <v>100</v>
      </c>
      <c r="F231" s="43">
        <f>VLOOKUP(C231,'2022-002-bottles_csv'!E:L,8,FALSE)</f>
        <v>0.06</v>
      </c>
      <c r="G231" s="218">
        <v>304</v>
      </c>
      <c r="H231" s="218">
        <v>10</v>
      </c>
      <c r="I231" s="218">
        <v>1</v>
      </c>
      <c r="J231" s="252">
        <v>3358.93</v>
      </c>
      <c r="K231" s="252">
        <v>2585.4699999999998</v>
      </c>
      <c r="L231" s="252">
        <v>345.92</v>
      </c>
      <c r="M231" s="252">
        <v>349.76</v>
      </c>
      <c r="N231" s="250">
        <f t="shared" si="20"/>
        <v>3013.0099999999998</v>
      </c>
      <c r="O231" s="250">
        <f t="shared" si="21"/>
        <v>2235.71</v>
      </c>
      <c r="P231" s="95">
        <f t="shared" si="22"/>
        <v>4.2480816026514899E-2</v>
      </c>
      <c r="Q231" s="95">
        <f t="shared" si="23"/>
        <v>6.2476524106807478E-2</v>
      </c>
      <c r="R231" s="133">
        <f t="shared" si="24"/>
        <v>1.3476747878749926</v>
      </c>
      <c r="S231" s="221"/>
      <c r="T231" s="85">
        <v>341</v>
      </c>
    </row>
    <row r="232" spans="1:20" s="60" customFormat="1">
      <c r="A232" s="219">
        <v>44749</v>
      </c>
      <c r="B232" s="81" t="str">
        <f>VLOOKUP(C232,'Master List'!A:C,3,FALSE)</f>
        <v>53-138</v>
      </c>
      <c r="C232" s="78">
        <v>377</v>
      </c>
      <c r="D232" s="78" t="s">
        <v>105</v>
      </c>
      <c r="E232" s="81">
        <f>VLOOKUP(C232,'Master List'!A:G,5,FALSE)</f>
        <v>75</v>
      </c>
      <c r="F232" s="43">
        <f>VLOOKUP(C232,'2022-002-bottles_csv'!E:L,8,FALSE)</f>
        <v>0.14000000000000001</v>
      </c>
      <c r="G232" s="218">
        <v>304</v>
      </c>
      <c r="H232" s="218">
        <v>10</v>
      </c>
      <c r="I232" s="218">
        <v>1</v>
      </c>
      <c r="J232" s="252">
        <v>17437.439999999999</v>
      </c>
      <c r="K232" s="252">
        <v>11363.08</v>
      </c>
      <c r="L232" s="252">
        <v>286.18</v>
      </c>
      <c r="M232" s="252">
        <v>286.97000000000003</v>
      </c>
      <c r="N232" s="250">
        <f t="shared" si="20"/>
        <v>17151.259999999998</v>
      </c>
      <c r="O232" s="250">
        <f t="shared" si="21"/>
        <v>11076.11</v>
      </c>
      <c r="P232" s="95">
        <f t="shared" si="22"/>
        <v>0.33201766304320335</v>
      </c>
      <c r="Q232" s="95">
        <f t="shared" si="23"/>
        <v>0.18795990319932937</v>
      </c>
      <c r="R232" s="133">
        <f t="shared" si="24"/>
        <v>1.5484913024518534</v>
      </c>
      <c r="S232" s="221"/>
      <c r="T232" s="85">
        <v>75</v>
      </c>
    </row>
    <row r="233" spans="1:20" s="60" customFormat="1">
      <c r="A233" s="219">
        <v>44757</v>
      </c>
      <c r="B233" s="81" t="str">
        <f>VLOOKUP(C233,'Master List'!A:C,3,FALSE)</f>
        <v>53-138</v>
      </c>
      <c r="C233" s="78">
        <v>377</v>
      </c>
      <c r="D233" s="78" t="s">
        <v>106</v>
      </c>
      <c r="E233" s="81">
        <f>VLOOKUP(C233,'Master List'!A:G,5,FALSE)</f>
        <v>75</v>
      </c>
      <c r="F233" s="43">
        <f>VLOOKUP(C233,'2022-002-bottles_csv'!E:L,8,FALSE)</f>
        <v>0.14000000000000001</v>
      </c>
      <c r="G233" s="218">
        <v>304</v>
      </c>
      <c r="H233" s="218">
        <v>10</v>
      </c>
      <c r="I233" s="218">
        <v>1</v>
      </c>
      <c r="J233" s="252">
        <v>15860.09</v>
      </c>
      <c r="K233" s="252">
        <v>10523.47</v>
      </c>
      <c r="L233" s="252">
        <v>338.28</v>
      </c>
      <c r="M233" s="252">
        <v>338.2</v>
      </c>
      <c r="N233" s="250">
        <f t="shared" si="20"/>
        <v>15521.81</v>
      </c>
      <c r="O233" s="250">
        <f t="shared" si="21"/>
        <v>10185.269999999999</v>
      </c>
      <c r="P233" s="95">
        <f t="shared" si="22"/>
        <v>0.29165132375934377</v>
      </c>
      <c r="Q233" s="95">
        <f t="shared" si="23"/>
        <v>0.18650498798937307</v>
      </c>
      <c r="R233" s="133">
        <f t="shared" si="24"/>
        <v>1.5239468369517943</v>
      </c>
      <c r="S233" s="221"/>
      <c r="T233" s="85">
        <v>313</v>
      </c>
    </row>
    <row r="234" spans="1:20" s="60" customFormat="1">
      <c r="A234" s="219">
        <v>44749</v>
      </c>
      <c r="B234" s="81" t="str">
        <f>VLOOKUP(C234,'Master List'!A:C,3,FALSE)</f>
        <v>53-138</v>
      </c>
      <c r="C234" s="78">
        <v>380</v>
      </c>
      <c r="D234" s="78" t="s">
        <v>105</v>
      </c>
      <c r="E234" s="81">
        <f>VLOOKUP(C234,'Master List'!A:G,5,FALSE)</f>
        <v>50</v>
      </c>
      <c r="F234" s="43">
        <f>VLOOKUP(C234,'2022-002-bottles_csv'!E:L,8,FALSE)</f>
        <v>0.14000000000000001</v>
      </c>
      <c r="G234" s="218">
        <v>304</v>
      </c>
      <c r="H234" s="218">
        <v>10</v>
      </c>
      <c r="I234" s="218">
        <v>1</v>
      </c>
      <c r="J234" s="252">
        <v>19942.98</v>
      </c>
      <c r="K234" s="252">
        <v>13408.19</v>
      </c>
      <c r="L234" s="252">
        <v>347.66</v>
      </c>
      <c r="M234" s="252">
        <v>357.34</v>
      </c>
      <c r="N234" s="250">
        <f t="shared" si="20"/>
        <v>19595.32</v>
      </c>
      <c r="O234" s="250">
        <f t="shared" si="21"/>
        <v>13050.85</v>
      </c>
      <c r="P234" s="95">
        <f t="shared" si="22"/>
        <v>0.35766682884477813</v>
      </c>
      <c r="Q234" s="95">
        <f t="shared" si="23"/>
        <v>0.2550166151076888</v>
      </c>
      <c r="R234" s="133">
        <f t="shared" si="24"/>
        <v>1.5014592919235146</v>
      </c>
      <c r="S234" s="221"/>
      <c r="T234" s="85">
        <v>67</v>
      </c>
    </row>
    <row r="235" spans="1:20" s="60" customFormat="1">
      <c r="A235" s="219">
        <v>44757</v>
      </c>
      <c r="B235" s="81" t="str">
        <f>VLOOKUP(C235,'Master List'!A:C,3,FALSE)</f>
        <v>53-138</v>
      </c>
      <c r="C235" s="78">
        <v>380</v>
      </c>
      <c r="D235" s="78" t="s">
        <v>106</v>
      </c>
      <c r="E235" s="81">
        <f>VLOOKUP(C235,'Master List'!A:G,5,FALSE)</f>
        <v>50</v>
      </c>
      <c r="F235" s="43">
        <f>VLOOKUP(C235,'2022-002-bottles_csv'!E:L,8,FALSE)</f>
        <v>0.14000000000000001</v>
      </c>
      <c r="G235" s="218">
        <v>304</v>
      </c>
      <c r="H235" s="218">
        <v>10</v>
      </c>
      <c r="I235" s="218">
        <v>1</v>
      </c>
      <c r="J235" s="252">
        <v>16234.35</v>
      </c>
      <c r="K235" s="252">
        <v>10522.81</v>
      </c>
      <c r="L235" s="252">
        <v>351.09</v>
      </c>
      <c r="M235" s="252">
        <v>351.83</v>
      </c>
      <c r="N235" s="250">
        <f t="shared" si="20"/>
        <v>15883.26</v>
      </c>
      <c r="O235" s="250">
        <f t="shared" si="21"/>
        <v>10170.98</v>
      </c>
      <c r="P235" s="95">
        <f t="shared" si="22"/>
        <v>0.31218617750153171</v>
      </c>
      <c r="Q235" s="95">
        <f t="shared" si="23"/>
        <v>0.16529927783445503</v>
      </c>
      <c r="R235" s="133">
        <f t="shared" si="24"/>
        <v>1.5616253301058503</v>
      </c>
      <c r="S235" s="221"/>
      <c r="T235" s="85">
        <v>265</v>
      </c>
    </row>
    <row r="236" spans="1:20" s="60" customFormat="1">
      <c r="A236" s="219">
        <v>44749</v>
      </c>
      <c r="B236" s="81" t="str">
        <f>VLOOKUP(C236,'Master List'!A:C,3,FALSE)</f>
        <v>53-138</v>
      </c>
      <c r="C236" s="78">
        <v>382</v>
      </c>
      <c r="D236" s="78" t="s">
        <v>105</v>
      </c>
      <c r="E236" s="81">
        <f>VLOOKUP(C236,'Master List'!A:G,5,FALSE)</f>
        <v>25</v>
      </c>
      <c r="F236" s="43">
        <f>VLOOKUP(C236,'2022-002-bottles_csv'!E:L,8,FALSE)</f>
        <v>0.13</v>
      </c>
      <c r="G236" s="218">
        <v>304</v>
      </c>
      <c r="H236" s="218">
        <v>10</v>
      </c>
      <c r="I236" s="218">
        <v>1</v>
      </c>
      <c r="J236" s="252">
        <v>21093.73</v>
      </c>
      <c r="K236" s="252">
        <v>14098.33</v>
      </c>
      <c r="L236" s="252">
        <v>347.66</v>
      </c>
      <c r="M236" s="252">
        <v>357.34</v>
      </c>
      <c r="N236" s="250">
        <f t="shared" si="20"/>
        <v>20746.07</v>
      </c>
      <c r="O236" s="250">
        <f t="shared" si="21"/>
        <v>13740.99</v>
      </c>
      <c r="P236" s="95">
        <f t="shared" si="22"/>
        <v>0.38283997778337719</v>
      </c>
      <c r="Q236" s="95">
        <f t="shared" si="23"/>
        <v>0.26224268553099778</v>
      </c>
      <c r="R236" s="133">
        <f t="shared" si="24"/>
        <v>1.5097944180150047</v>
      </c>
      <c r="S236" s="221"/>
      <c r="T236" s="85">
        <v>69</v>
      </c>
    </row>
    <row r="237" spans="1:20" s="60" customFormat="1">
      <c r="A237" s="219">
        <v>44757</v>
      </c>
      <c r="B237" s="81" t="str">
        <f>VLOOKUP(C237,'Master List'!A:C,3,FALSE)</f>
        <v>53-138</v>
      </c>
      <c r="C237" s="78">
        <v>382</v>
      </c>
      <c r="D237" s="78" t="s">
        <v>106</v>
      </c>
      <c r="E237" s="81">
        <f>VLOOKUP(C237,'Master List'!A:G,5,FALSE)</f>
        <v>25</v>
      </c>
      <c r="F237" s="43">
        <f>VLOOKUP(C237,'2022-002-bottles_csv'!E:L,8,FALSE)</f>
        <v>0.13</v>
      </c>
      <c r="G237" s="218">
        <v>304</v>
      </c>
      <c r="H237" s="218">
        <v>10</v>
      </c>
      <c r="I237" s="218">
        <v>1</v>
      </c>
      <c r="J237" s="252">
        <v>18162.150000000001</v>
      </c>
      <c r="K237" s="252">
        <v>12015.86</v>
      </c>
      <c r="L237" s="252">
        <v>305.45999999999998</v>
      </c>
      <c r="M237" s="252">
        <v>318.69</v>
      </c>
      <c r="N237" s="250">
        <f t="shared" si="20"/>
        <v>17856.690000000002</v>
      </c>
      <c r="O237" s="250">
        <f t="shared" si="21"/>
        <v>11697.17</v>
      </c>
      <c r="P237" s="95">
        <f t="shared" si="22"/>
        <v>0.33662863235769874</v>
      </c>
      <c r="Q237" s="95">
        <f t="shared" si="23"/>
        <v>0.21250513288345246</v>
      </c>
      <c r="R237" s="133">
        <f t="shared" si="24"/>
        <v>1.5265820707059914</v>
      </c>
      <c r="S237" s="221"/>
      <c r="T237" s="85">
        <v>299</v>
      </c>
    </row>
    <row r="238" spans="1:20" s="60" customFormat="1">
      <c r="A238" s="219">
        <v>44749</v>
      </c>
      <c r="B238" s="81" t="str">
        <f>VLOOKUP(C238,'Master List'!A:C,3,FALSE)</f>
        <v>53-138</v>
      </c>
      <c r="C238" s="78">
        <v>388</v>
      </c>
      <c r="D238" s="78" t="s">
        <v>105</v>
      </c>
      <c r="E238" s="81">
        <f>VLOOKUP(C238,'Master List'!A:G,5,FALSE)</f>
        <v>5</v>
      </c>
      <c r="F238" s="43">
        <f>VLOOKUP(C238,'2022-002-bottles_csv'!E:L,8,FALSE)</f>
        <v>0.14000000000000001</v>
      </c>
      <c r="G238" s="218">
        <v>304</v>
      </c>
      <c r="H238" s="218">
        <v>10</v>
      </c>
      <c r="I238" s="218">
        <v>1</v>
      </c>
      <c r="J238" s="252">
        <v>21576.81</v>
      </c>
      <c r="K238" s="252">
        <v>14301.32</v>
      </c>
      <c r="L238" s="252">
        <v>347.66</v>
      </c>
      <c r="M238" s="252">
        <v>357.34</v>
      </c>
      <c r="N238" s="250">
        <f t="shared" si="20"/>
        <v>21229.15</v>
      </c>
      <c r="O238" s="250">
        <f t="shared" si="21"/>
        <v>13943.98</v>
      </c>
      <c r="P238" s="95">
        <f t="shared" si="22"/>
        <v>0.39814739031504659</v>
      </c>
      <c r="Q238" s="95">
        <f t="shared" si="23"/>
        <v>0.25646481416238742</v>
      </c>
      <c r="R238" s="133">
        <f t="shared" si="24"/>
        <v>1.5224598715718183</v>
      </c>
      <c r="S238" s="221"/>
      <c r="T238" s="85">
        <v>71</v>
      </c>
    </row>
    <row r="239" spans="1:20" s="60" customFormat="1">
      <c r="A239" s="219">
        <v>44757</v>
      </c>
      <c r="B239" s="81" t="str">
        <f>VLOOKUP(C239,'Master List'!A:C,3,FALSE)</f>
        <v>53-138</v>
      </c>
      <c r="C239" s="78">
        <v>388</v>
      </c>
      <c r="D239" s="78" t="s">
        <v>106</v>
      </c>
      <c r="E239" s="81">
        <f>VLOOKUP(C239,'Master List'!A:G,5,FALSE)</f>
        <v>5</v>
      </c>
      <c r="F239" s="43">
        <f>VLOOKUP(C239,'2022-002-bottles_csv'!E:L,8,FALSE)</f>
        <v>0.14000000000000001</v>
      </c>
      <c r="G239" s="218">
        <v>304</v>
      </c>
      <c r="H239" s="218">
        <v>10</v>
      </c>
      <c r="I239" s="218">
        <v>1</v>
      </c>
      <c r="J239" s="252">
        <v>18687.41</v>
      </c>
      <c r="K239" s="252">
        <v>12371.53</v>
      </c>
      <c r="L239" s="252">
        <v>305.45999999999998</v>
      </c>
      <c r="M239" s="252">
        <v>318.69</v>
      </c>
      <c r="N239" s="250">
        <f t="shared" si="20"/>
        <v>18381.95</v>
      </c>
      <c r="O239" s="250">
        <f t="shared" si="21"/>
        <v>12052.84</v>
      </c>
      <c r="P239" s="95">
        <f t="shared" si="22"/>
        <v>0.34589702498594599</v>
      </c>
      <c r="Q239" s="95">
        <f t="shared" si="23"/>
        <v>0.21993397610655391</v>
      </c>
      <c r="R239" s="133">
        <f t="shared" si="24"/>
        <v>1.5251135831886924</v>
      </c>
      <c r="S239" s="221"/>
      <c r="T239" s="85">
        <v>291</v>
      </c>
    </row>
    <row r="240" spans="1:20" s="60" customFormat="1">
      <c r="A240" s="219">
        <v>44749</v>
      </c>
      <c r="B240" s="81" t="str">
        <f>VLOOKUP(C240,'Master List'!A:C,3,FALSE)</f>
        <v>52-138</v>
      </c>
      <c r="C240" s="78">
        <v>392</v>
      </c>
      <c r="D240" s="78" t="s">
        <v>105</v>
      </c>
      <c r="E240" s="81">
        <f>VLOOKUP(C240,'Master List'!A:G,5,FALSE)</f>
        <v>150</v>
      </c>
      <c r="F240" s="43">
        <f>VLOOKUP(C240,'2022-002-bottles_csv'!E:L,8,FALSE)</f>
        <v>0.05</v>
      </c>
      <c r="G240" s="218">
        <v>304</v>
      </c>
      <c r="H240" s="218">
        <v>10</v>
      </c>
      <c r="I240" s="218">
        <v>1</v>
      </c>
      <c r="J240" s="252">
        <v>1887.9</v>
      </c>
      <c r="K240" s="252">
        <v>1700.67</v>
      </c>
      <c r="L240" s="252">
        <v>347.66</v>
      </c>
      <c r="M240" s="252">
        <v>357.34</v>
      </c>
      <c r="N240" s="250">
        <f t="shared" si="20"/>
        <v>1540.24</v>
      </c>
      <c r="O240" s="250">
        <f t="shared" si="21"/>
        <v>1343.3300000000002</v>
      </c>
      <c r="P240" s="95">
        <f t="shared" si="22"/>
        <v>1.0761478816134111E-2</v>
      </c>
      <c r="Q240" s="95">
        <f t="shared" si="23"/>
        <v>5.2302310191069838E-2</v>
      </c>
      <c r="R240" s="133">
        <f t="shared" si="24"/>
        <v>1.1465834902816134</v>
      </c>
      <c r="S240" s="221"/>
      <c r="T240" s="85">
        <v>64</v>
      </c>
    </row>
    <row r="241" spans="1:20" s="60" customFormat="1">
      <c r="A241" s="219">
        <v>44757</v>
      </c>
      <c r="B241" s="81" t="str">
        <f>VLOOKUP(C241,'Master List'!A:C,3,FALSE)</f>
        <v>52-138</v>
      </c>
      <c r="C241" s="78">
        <v>392</v>
      </c>
      <c r="D241" s="78" t="s">
        <v>106</v>
      </c>
      <c r="E241" s="81">
        <f>VLOOKUP(C241,'Master List'!A:G,5,FALSE)</f>
        <v>150</v>
      </c>
      <c r="F241" s="43">
        <f>VLOOKUP(C241,'2022-002-bottles_csv'!E:L,8,FALSE)</f>
        <v>0.05</v>
      </c>
      <c r="G241" s="218">
        <v>304</v>
      </c>
      <c r="H241" s="218">
        <v>10</v>
      </c>
      <c r="I241" s="218">
        <v>1</v>
      </c>
      <c r="J241" s="252">
        <v>1989.42</v>
      </c>
      <c r="K241" s="252">
        <v>1784.87</v>
      </c>
      <c r="L241" s="252">
        <v>305.45999999999998</v>
      </c>
      <c r="M241" s="252">
        <v>318.69</v>
      </c>
      <c r="N241" s="250">
        <f t="shared" si="20"/>
        <v>1683.96</v>
      </c>
      <c r="O241" s="250">
        <f t="shared" si="21"/>
        <v>1466.1799999999998</v>
      </c>
      <c r="P241" s="95">
        <f t="shared" si="22"/>
        <v>1.1902061127305321E-2</v>
      </c>
      <c r="Q241" s="95">
        <f t="shared" si="23"/>
        <v>5.6929027411313067E-2</v>
      </c>
      <c r="R241" s="133">
        <f t="shared" si="24"/>
        <v>1.1485356504658366</v>
      </c>
      <c r="S241" s="221"/>
      <c r="T241" s="85">
        <v>294</v>
      </c>
    </row>
    <row r="242" spans="1:20" s="60" customFormat="1">
      <c r="A242" s="219">
        <v>44749</v>
      </c>
      <c r="B242" s="81" t="str">
        <f>VLOOKUP(C242,'Master List'!A:C,3,FALSE)</f>
        <v>52-138</v>
      </c>
      <c r="C242" s="78">
        <v>396</v>
      </c>
      <c r="D242" s="78" t="s">
        <v>105</v>
      </c>
      <c r="E242" s="81">
        <f>VLOOKUP(C242,'Master List'!A:G,5,FALSE)</f>
        <v>75</v>
      </c>
      <c r="F242" s="43">
        <f>VLOOKUP(C242,'2022-002-bottles_csv'!E:L,8,FALSE)</f>
        <v>0.05</v>
      </c>
      <c r="G242" s="218">
        <v>304</v>
      </c>
      <c r="H242" s="218">
        <v>10</v>
      </c>
      <c r="I242" s="218">
        <v>1</v>
      </c>
      <c r="J242" s="252">
        <v>3049.38</v>
      </c>
      <c r="K242" s="252">
        <v>2432</v>
      </c>
      <c r="L242" s="252">
        <v>286.18</v>
      </c>
      <c r="M242" s="252">
        <v>286.97000000000003</v>
      </c>
      <c r="N242" s="250">
        <f t="shared" si="20"/>
        <v>2763.2000000000003</v>
      </c>
      <c r="O242" s="250">
        <f t="shared" si="21"/>
        <v>2145.0299999999997</v>
      </c>
      <c r="P242" s="95">
        <f t="shared" si="22"/>
        <v>3.3784080847948983E-2</v>
      </c>
      <c r="Q242" s="95">
        <f t="shared" si="23"/>
        <v>6.6916208235241761E-2</v>
      </c>
      <c r="R242" s="133">
        <f t="shared" si="24"/>
        <v>1.288187111602169</v>
      </c>
      <c r="S242" s="221"/>
      <c r="T242" s="85">
        <v>80</v>
      </c>
    </row>
    <row r="243" spans="1:20" s="60" customFormat="1">
      <c r="A243" s="219">
        <v>44757</v>
      </c>
      <c r="B243" s="81" t="str">
        <f>VLOOKUP(C243,'Master List'!A:C,3,FALSE)</f>
        <v>52-138</v>
      </c>
      <c r="C243" s="78">
        <v>396</v>
      </c>
      <c r="D243" s="78" t="s">
        <v>106</v>
      </c>
      <c r="E243" s="81">
        <f>VLOOKUP(C243,'Master List'!A:G,5,FALSE)</f>
        <v>75</v>
      </c>
      <c r="F243" s="43">
        <f>VLOOKUP(C243,'2022-002-bottles_csv'!E:L,8,FALSE)</f>
        <v>0.05</v>
      </c>
      <c r="G243" s="218">
        <v>304</v>
      </c>
      <c r="H243" s="218">
        <v>10</v>
      </c>
      <c r="I243" s="218">
        <v>1</v>
      </c>
      <c r="J243" s="252">
        <v>3366.28</v>
      </c>
      <c r="K243" s="252">
        <v>2846.7</v>
      </c>
      <c r="L243" s="252">
        <v>338.28</v>
      </c>
      <c r="M243" s="252">
        <v>338.2</v>
      </c>
      <c r="N243" s="250">
        <f t="shared" si="20"/>
        <v>3028</v>
      </c>
      <c r="O243" s="250">
        <f t="shared" si="21"/>
        <v>2508.5</v>
      </c>
      <c r="P243" s="95">
        <f t="shared" si="22"/>
        <v>2.8391591310658042E-2</v>
      </c>
      <c r="Q243" s="95">
        <f t="shared" si="23"/>
        <v>8.9372111371907703E-2</v>
      </c>
      <c r="R243" s="133">
        <f t="shared" si="24"/>
        <v>1.2070958740283038</v>
      </c>
      <c r="S243" s="221"/>
      <c r="T243" s="85">
        <v>326</v>
      </c>
    </row>
    <row r="244" spans="1:20" s="60" customFormat="1">
      <c r="A244" s="219">
        <v>44749</v>
      </c>
      <c r="B244" s="81" t="str">
        <f>VLOOKUP(C244,'Master List'!A:C,3,FALSE)</f>
        <v>52-138</v>
      </c>
      <c r="C244" s="78">
        <v>397</v>
      </c>
      <c r="D244" s="78" t="s">
        <v>105</v>
      </c>
      <c r="E244" s="81">
        <f>VLOOKUP(C244,'Master List'!A:G,5,FALSE)</f>
        <v>50</v>
      </c>
      <c r="F244" s="43">
        <f>VLOOKUP(C244,'2022-002-bottles_csv'!E:L,8,FALSE)</f>
        <v>0.08</v>
      </c>
      <c r="G244" s="218">
        <v>304</v>
      </c>
      <c r="H244" s="218">
        <v>10</v>
      </c>
      <c r="I244" s="218">
        <v>1</v>
      </c>
      <c r="J244" s="252">
        <v>18845.080000000002</v>
      </c>
      <c r="K244" s="252">
        <v>13940.07</v>
      </c>
      <c r="L244" s="252">
        <v>286.18</v>
      </c>
      <c r="M244" s="252">
        <v>286.97000000000003</v>
      </c>
      <c r="N244" s="250">
        <f t="shared" si="20"/>
        <v>18558.900000000001</v>
      </c>
      <c r="O244" s="250">
        <f t="shared" si="21"/>
        <v>13653.1</v>
      </c>
      <c r="P244" s="95">
        <f t="shared" si="22"/>
        <v>0.26811062300640282</v>
      </c>
      <c r="Q244" s="95">
        <f t="shared" si="23"/>
        <v>0.37284596822155758</v>
      </c>
      <c r="R244" s="133">
        <f t="shared" si="24"/>
        <v>1.3593176641202365</v>
      </c>
      <c r="S244" s="221"/>
      <c r="T244" s="85">
        <v>86</v>
      </c>
    </row>
    <row r="245" spans="1:20" s="60" customFormat="1">
      <c r="A245" s="219">
        <v>44757</v>
      </c>
      <c r="B245" s="81" t="str">
        <f>VLOOKUP(C245,'Master List'!A:C,3,FALSE)</f>
        <v>52-138</v>
      </c>
      <c r="C245" s="78">
        <v>397</v>
      </c>
      <c r="D245" s="78" t="s">
        <v>106</v>
      </c>
      <c r="E245" s="81">
        <f>VLOOKUP(C245,'Master List'!A:G,5,FALSE)</f>
        <v>50</v>
      </c>
      <c r="F245" s="43">
        <f>VLOOKUP(C245,'2022-002-bottles_csv'!E:L,8,FALSE)</f>
        <v>0.08</v>
      </c>
      <c r="G245" s="218">
        <v>304</v>
      </c>
      <c r="H245" s="218">
        <v>10</v>
      </c>
      <c r="I245" s="218">
        <v>1</v>
      </c>
      <c r="J245" s="252">
        <v>14283.71</v>
      </c>
      <c r="K245" s="252">
        <v>10405.950000000001</v>
      </c>
      <c r="L245" s="252">
        <v>305.45999999999998</v>
      </c>
      <c r="M245" s="252">
        <v>318.69</v>
      </c>
      <c r="N245" s="250">
        <f t="shared" si="20"/>
        <v>13978.25</v>
      </c>
      <c r="O245" s="250">
        <f t="shared" si="21"/>
        <v>10087.26</v>
      </c>
      <c r="P245" s="95">
        <f t="shared" si="22"/>
        <v>0.21264946655217964</v>
      </c>
      <c r="Q245" s="95">
        <f t="shared" si="23"/>
        <v>0.26090568095499128</v>
      </c>
      <c r="R245" s="133">
        <f t="shared" si="24"/>
        <v>1.3857330930302183</v>
      </c>
      <c r="S245" s="221"/>
      <c r="T245" s="85">
        <v>301</v>
      </c>
    </row>
    <row r="246" spans="1:20" s="60" customFormat="1">
      <c r="A246" s="219">
        <v>44749</v>
      </c>
      <c r="B246" s="81" t="str">
        <f>VLOOKUP(C246,'Master List'!A:C,3,FALSE)</f>
        <v>52-138</v>
      </c>
      <c r="C246" s="78">
        <v>400</v>
      </c>
      <c r="D246" s="78" t="s">
        <v>105</v>
      </c>
      <c r="E246" s="81">
        <f>VLOOKUP(C246,'Master List'!A:G,5,FALSE)</f>
        <v>25</v>
      </c>
      <c r="F246" s="43">
        <f>VLOOKUP(C246,'2022-002-bottles_csv'!E:L,8,FALSE)</f>
        <v>0.11</v>
      </c>
      <c r="G246" s="218">
        <v>304</v>
      </c>
      <c r="H246" s="218">
        <v>10</v>
      </c>
      <c r="I246" s="218">
        <v>1</v>
      </c>
      <c r="J246" s="252">
        <v>31851.91</v>
      </c>
      <c r="K246" s="252">
        <v>20976.68</v>
      </c>
      <c r="L246" s="252">
        <v>286.18</v>
      </c>
      <c r="M246" s="252">
        <v>286.97000000000003</v>
      </c>
      <c r="N246" s="250">
        <f t="shared" si="20"/>
        <v>31565.73</v>
      </c>
      <c r="O246" s="250">
        <f t="shared" si="21"/>
        <v>20689.71</v>
      </c>
      <c r="P246" s="95">
        <f t="shared" si="22"/>
        <v>0.59439367647072783</v>
      </c>
      <c r="Q246" s="95">
        <f t="shared" si="23"/>
        <v>0.37690265880075241</v>
      </c>
      <c r="R246" s="133">
        <f t="shared" si="24"/>
        <v>1.5256729069667965</v>
      </c>
      <c r="S246" s="221"/>
      <c r="T246" s="85">
        <v>73</v>
      </c>
    </row>
    <row r="247" spans="1:20" s="60" customFormat="1">
      <c r="A247" s="219">
        <v>44757</v>
      </c>
      <c r="B247" s="81" t="str">
        <f>VLOOKUP(C247,'Master List'!A:C,3,FALSE)</f>
        <v>52-138</v>
      </c>
      <c r="C247" s="78">
        <v>400</v>
      </c>
      <c r="D247" s="78" t="s">
        <v>106</v>
      </c>
      <c r="E247" s="81">
        <f>VLOOKUP(C247,'Master List'!A:G,5,FALSE)</f>
        <v>25</v>
      </c>
      <c r="F247" s="43">
        <f>VLOOKUP(C247,'2022-002-bottles_csv'!E:L,8,FALSE)</f>
        <v>0.11</v>
      </c>
      <c r="G247" s="218">
        <v>304</v>
      </c>
      <c r="H247" s="218">
        <v>10</v>
      </c>
      <c r="I247" s="218">
        <v>1</v>
      </c>
      <c r="J247" s="252">
        <v>28506.5</v>
      </c>
      <c r="K247" s="252">
        <v>19356.400000000001</v>
      </c>
      <c r="L247" s="252">
        <v>338.28</v>
      </c>
      <c r="M247" s="252">
        <v>338.2</v>
      </c>
      <c r="N247" s="250">
        <f t="shared" si="20"/>
        <v>28168.22</v>
      </c>
      <c r="O247" s="250">
        <f t="shared" si="21"/>
        <v>19018.2</v>
      </c>
      <c r="P247" s="95">
        <f t="shared" si="22"/>
        <v>0.50006473209691493</v>
      </c>
      <c r="Q247" s="95">
        <f t="shared" si="23"/>
        <v>0.39276112014847964</v>
      </c>
      <c r="R247" s="133">
        <f t="shared" si="24"/>
        <v>1.4811191385094278</v>
      </c>
      <c r="S247" s="221"/>
      <c r="T247" s="85">
        <v>317</v>
      </c>
    </row>
    <row r="248" spans="1:20" s="60" customFormat="1">
      <c r="A248" s="219">
        <v>44749</v>
      </c>
      <c r="B248" s="81" t="str">
        <f>VLOOKUP(C248,'Master List'!A:C,3,FALSE)</f>
        <v>52-138</v>
      </c>
      <c r="C248" s="78">
        <v>402</v>
      </c>
      <c r="D248" s="78" t="s">
        <v>105</v>
      </c>
      <c r="E248" s="81">
        <f>VLOOKUP(C248,'Master List'!A:G,5,FALSE)</f>
        <v>25</v>
      </c>
      <c r="F248" s="43">
        <f>VLOOKUP(C248,'2022-002-bottles_csv'!E:L,8,FALSE)</f>
        <v>0.12</v>
      </c>
      <c r="G248" s="218">
        <v>304</v>
      </c>
      <c r="H248" s="218">
        <v>10</v>
      </c>
      <c r="I248" s="218">
        <v>1</v>
      </c>
      <c r="J248" s="252">
        <v>33202.559999999998</v>
      </c>
      <c r="K248" s="252">
        <v>22615.65</v>
      </c>
      <c r="L248" s="252">
        <v>286.18</v>
      </c>
      <c r="M248" s="252">
        <v>286.97000000000003</v>
      </c>
      <c r="N248" s="250">
        <f t="shared" si="20"/>
        <v>32916.379999999997</v>
      </c>
      <c r="O248" s="250">
        <f t="shared" si="21"/>
        <v>22328.68</v>
      </c>
      <c r="P248" s="95">
        <f t="shared" si="22"/>
        <v>0.57863647992272194</v>
      </c>
      <c r="Q248" s="95">
        <f t="shared" si="23"/>
        <v>0.46960271992346203</v>
      </c>
      <c r="R248" s="133">
        <f t="shared" si="24"/>
        <v>1.4741749176395558</v>
      </c>
      <c r="S248" s="221"/>
      <c r="T248" s="85">
        <v>81</v>
      </c>
    </row>
    <row r="249" spans="1:20" s="60" customFormat="1">
      <c r="A249" s="219">
        <v>44757</v>
      </c>
      <c r="B249" s="81" t="str">
        <f>VLOOKUP(C249,'Master List'!A:C,3,FALSE)</f>
        <v>52-138</v>
      </c>
      <c r="C249" s="78">
        <v>402</v>
      </c>
      <c r="D249" s="78" t="s">
        <v>106</v>
      </c>
      <c r="E249" s="81">
        <f>VLOOKUP(C249,'Master List'!A:G,5,FALSE)</f>
        <v>25</v>
      </c>
      <c r="F249" s="43">
        <f>VLOOKUP(C249,'2022-002-bottles_csv'!E:L,8,FALSE)</f>
        <v>0.12</v>
      </c>
      <c r="G249" s="218">
        <v>304</v>
      </c>
      <c r="H249" s="218">
        <v>20</v>
      </c>
      <c r="I249" s="218">
        <v>1</v>
      </c>
      <c r="J249" s="252">
        <v>15236.65</v>
      </c>
      <c r="K249" s="252">
        <v>10339.31</v>
      </c>
      <c r="L249" s="252">
        <v>351.09</v>
      </c>
      <c r="M249" s="252">
        <v>351.83</v>
      </c>
      <c r="N249" s="250">
        <f t="shared" si="20"/>
        <v>14885.56</v>
      </c>
      <c r="O249" s="250">
        <f t="shared" si="21"/>
        <v>9987.48</v>
      </c>
      <c r="P249" s="95">
        <f t="shared" si="22"/>
        <v>0.53537742277924139</v>
      </c>
      <c r="Q249" s="95">
        <f t="shared" si="23"/>
        <v>0.40236435538944249</v>
      </c>
      <c r="R249" s="133">
        <f t="shared" si="24"/>
        <v>1.4904220083544597</v>
      </c>
      <c r="S249" s="221"/>
      <c r="T249" s="85">
        <v>279</v>
      </c>
    </row>
    <row r="250" spans="1:20" s="60" customFormat="1">
      <c r="A250" s="219">
        <v>44749</v>
      </c>
      <c r="B250" s="81" t="str">
        <f>VLOOKUP(C250,'Master List'!A:C,3,FALSE)</f>
        <v>52-138</v>
      </c>
      <c r="C250" s="78">
        <v>408</v>
      </c>
      <c r="D250" s="78" t="s">
        <v>105</v>
      </c>
      <c r="E250" s="81">
        <f>VLOOKUP(C250,'Master List'!A:G,5,FALSE)</f>
        <v>5</v>
      </c>
      <c r="F250" s="43">
        <f>VLOOKUP(C250,'2022-002-bottles_csv'!E:L,8,FALSE)</f>
        <v>0.13</v>
      </c>
      <c r="G250" s="218">
        <v>304</v>
      </c>
      <c r="H250" s="218">
        <v>10</v>
      </c>
      <c r="I250" s="218">
        <v>1</v>
      </c>
      <c r="J250" s="252">
        <v>34298.61</v>
      </c>
      <c r="K250" s="252">
        <v>22362.46</v>
      </c>
      <c r="L250" s="252">
        <v>286.18</v>
      </c>
      <c r="M250" s="252">
        <v>286.97000000000003</v>
      </c>
      <c r="N250" s="250">
        <f t="shared" si="20"/>
        <v>34012.43</v>
      </c>
      <c r="O250" s="250">
        <f t="shared" si="21"/>
        <v>22075.489999999998</v>
      </c>
      <c r="P250" s="95">
        <f t="shared" si="22"/>
        <v>0.65237482575523864</v>
      </c>
      <c r="Q250" s="95">
        <f t="shared" si="23"/>
        <v>0.38397815049828066</v>
      </c>
      <c r="R250" s="133">
        <f t="shared" si="24"/>
        <v>1.540732731187394</v>
      </c>
      <c r="S250" s="221"/>
      <c r="T250" s="85">
        <v>78</v>
      </c>
    </row>
    <row r="251" spans="1:20" s="60" customFormat="1">
      <c r="A251" s="219">
        <v>44761</v>
      </c>
      <c r="B251" s="81" t="str">
        <f>VLOOKUP(C251,'Master List'!A:C,3,FALSE)</f>
        <v>52-138</v>
      </c>
      <c r="C251" s="78">
        <v>408</v>
      </c>
      <c r="D251" s="78" t="s">
        <v>106</v>
      </c>
      <c r="E251" s="81">
        <f>VLOOKUP(C251,'Master List'!A:G,5,FALSE)</f>
        <v>5</v>
      </c>
      <c r="F251" s="43">
        <f>VLOOKUP(C251,'2022-002-bottles_csv'!E:L,8,FALSE)</f>
        <v>0.13</v>
      </c>
      <c r="G251" s="218">
        <v>304</v>
      </c>
      <c r="H251" s="218">
        <v>10</v>
      </c>
      <c r="I251" s="218">
        <v>1</v>
      </c>
      <c r="J251" s="252">
        <v>29724.95</v>
      </c>
      <c r="K251" s="252">
        <v>20234.03</v>
      </c>
      <c r="L251" s="252">
        <v>334.87</v>
      </c>
      <c r="M251" s="252">
        <v>333.82</v>
      </c>
      <c r="N251" s="250">
        <f t="shared" si="20"/>
        <v>29390.080000000002</v>
      </c>
      <c r="O251" s="250">
        <f t="shared" si="21"/>
        <v>19900.21</v>
      </c>
      <c r="P251" s="95">
        <f t="shared" si="22"/>
        <v>0.51863813403517711</v>
      </c>
      <c r="Q251" s="95">
        <f t="shared" si="23"/>
        <v>0.41559444071492141</v>
      </c>
      <c r="R251" s="133">
        <f t="shared" si="24"/>
        <v>1.4768728571206033</v>
      </c>
      <c r="S251" s="221"/>
      <c r="T251" s="85">
        <v>393</v>
      </c>
    </row>
    <row r="252" spans="1:20" s="60" customFormat="1">
      <c r="A252" s="219">
        <v>44749</v>
      </c>
      <c r="B252" s="81" t="str">
        <f>VLOOKUP(C252,'Master List'!A:C,3,FALSE)</f>
        <v>52-135</v>
      </c>
      <c r="C252" s="78">
        <v>412</v>
      </c>
      <c r="D252" s="78" t="s">
        <v>105</v>
      </c>
      <c r="E252" s="81">
        <f>VLOOKUP(C252,'Master List'!A:G,5,FALSE)</f>
        <v>150</v>
      </c>
      <c r="F252" s="43">
        <f>VLOOKUP(C252,'2022-002-bottles_csv'!E:L,8,FALSE)</f>
        <v>0.05</v>
      </c>
      <c r="G252" s="218">
        <v>304</v>
      </c>
      <c r="H252" s="218">
        <v>10</v>
      </c>
      <c r="I252" s="218">
        <v>1</v>
      </c>
      <c r="J252" s="252">
        <v>1924.51</v>
      </c>
      <c r="K252" s="252">
        <v>1909.46</v>
      </c>
      <c r="L252" s="252">
        <v>286.18</v>
      </c>
      <c r="M252" s="252">
        <v>286.97000000000003</v>
      </c>
      <c r="N252" s="250">
        <f t="shared" si="20"/>
        <v>1638.33</v>
      </c>
      <c r="O252" s="250">
        <f t="shared" si="21"/>
        <v>1622.49</v>
      </c>
      <c r="P252" s="95">
        <f t="shared" si="22"/>
        <v>8.6568393909686441E-4</v>
      </c>
      <c r="Q252" s="95">
        <f t="shared" si="23"/>
        <v>7.5303512778238643E-2</v>
      </c>
      <c r="R252" s="133">
        <f t="shared" si="24"/>
        <v>1.0097627720355749</v>
      </c>
      <c r="S252" s="221"/>
      <c r="T252" s="85">
        <v>77</v>
      </c>
    </row>
    <row r="253" spans="1:20" s="60" customFormat="1">
      <c r="A253" s="219">
        <v>44757</v>
      </c>
      <c r="B253" s="81" t="str">
        <f>VLOOKUP(C253,'Master List'!A:C,3,FALSE)</f>
        <v>52-135</v>
      </c>
      <c r="C253" s="78">
        <v>412</v>
      </c>
      <c r="D253" s="78" t="s">
        <v>106</v>
      </c>
      <c r="E253" s="81">
        <f>VLOOKUP(C253,'Master List'!A:G,5,FALSE)</f>
        <v>150</v>
      </c>
      <c r="F253" s="43">
        <f>VLOOKUP(C253,'2022-002-bottles_csv'!E:L,8,FALSE)</f>
        <v>0.05</v>
      </c>
      <c r="G253" s="218">
        <v>304</v>
      </c>
      <c r="H253" s="218">
        <v>10</v>
      </c>
      <c r="I253" s="218">
        <v>1</v>
      </c>
      <c r="J253" s="252">
        <v>1887.01</v>
      </c>
      <c r="K253" s="252">
        <v>1583.46</v>
      </c>
      <c r="L253" s="252">
        <v>351.09</v>
      </c>
      <c r="M253" s="252">
        <v>351.83</v>
      </c>
      <c r="N253" s="250">
        <f t="shared" si="20"/>
        <v>1535.92</v>
      </c>
      <c r="O253" s="250">
        <f t="shared" si="21"/>
        <v>1231.6300000000001</v>
      </c>
      <c r="P253" s="95">
        <f t="shared" si="22"/>
        <v>1.6629985216400644E-2</v>
      </c>
      <c r="Q253" s="95">
        <f t="shared" si="23"/>
        <v>4.1189950655605927E-2</v>
      </c>
      <c r="R253" s="133">
        <f t="shared" si="24"/>
        <v>1.2470628354294715</v>
      </c>
      <c r="S253" s="221"/>
      <c r="T253" s="85">
        <v>275</v>
      </c>
    </row>
    <row r="254" spans="1:20" s="60" customFormat="1">
      <c r="A254" s="219">
        <v>44749</v>
      </c>
      <c r="B254" s="81" t="str">
        <f>VLOOKUP(C254,'Master List'!A:C,3,FALSE)</f>
        <v>52-135</v>
      </c>
      <c r="C254" s="78">
        <v>416</v>
      </c>
      <c r="D254" s="78" t="s">
        <v>105</v>
      </c>
      <c r="E254" s="81">
        <f>VLOOKUP(C254,'Master List'!A:G,5,FALSE)</f>
        <v>100</v>
      </c>
      <c r="F254" s="43">
        <f>VLOOKUP(C254,'2022-002-bottles_csv'!E:L,8,FALSE)</f>
        <v>0.06</v>
      </c>
      <c r="G254" s="218">
        <v>304</v>
      </c>
      <c r="H254" s="218">
        <v>10</v>
      </c>
      <c r="I254" s="218">
        <v>1</v>
      </c>
      <c r="J254" s="252">
        <v>4403.71</v>
      </c>
      <c r="K254" s="252">
        <v>3594.17</v>
      </c>
      <c r="L254" s="252">
        <v>286.18</v>
      </c>
      <c r="M254" s="252">
        <v>286.97000000000003</v>
      </c>
      <c r="N254" s="250">
        <f t="shared" si="20"/>
        <v>4117.53</v>
      </c>
      <c r="O254" s="250">
        <f t="shared" si="21"/>
        <v>3307.2</v>
      </c>
      <c r="P254" s="95">
        <f t="shared" si="22"/>
        <v>4.4285963785881677E-2</v>
      </c>
      <c r="Q254" s="95">
        <f t="shared" si="23"/>
        <v>0.1109734013772762</v>
      </c>
      <c r="R254" s="133">
        <f t="shared" si="24"/>
        <v>1.2450199564586357</v>
      </c>
      <c r="S254" s="221"/>
      <c r="T254" s="85">
        <v>82</v>
      </c>
    </row>
    <row r="255" spans="1:20" s="60" customFormat="1">
      <c r="A255" s="219">
        <v>44755</v>
      </c>
      <c r="B255" s="81" t="str">
        <f>VLOOKUP(C255,'Master List'!A:C,3,FALSE)</f>
        <v>52-135</v>
      </c>
      <c r="C255" s="78">
        <v>416</v>
      </c>
      <c r="D255" s="78" t="s">
        <v>106</v>
      </c>
      <c r="E255" s="81">
        <f>VLOOKUP(C255,'Master List'!A:G,5,FALSE)</f>
        <v>100</v>
      </c>
      <c r="F255" s="43">
        <f>VLOOKUP(C255,'2022-002-bottles_csv'!E:L,8,FALSE)</f>
        <v>0.06</v>
      </c>
      <c r="G255" s="218">
        <v>304</v>
      </c>
      <c r="H255" s="218">
        <v>10</v>
      </c>
      <c r="I255" s="218">
        <v>1</v>
      </c>
      <c r="J255" s="252">
        <v>3539.38</v>
      </c>
      <c r="K255" s="252">
        <v>3011.65</v>
      </c>
      <c r="L255" s="252">
        <v>332.42</v>
      </c>
      <c r="M255" s="252">
        <v>348.04</v>
      </c>
      <c r="N255" s="250">
        <f t="shared" si="20"/>
        <v>3206.96</v>
      </c>
      <c r="O255" s="250">
        <f t="shared" si="21"/>
        <v>2663.61</v>
      </c>
      <c r="P255" s="95">
        <f t="shared" si="22"/>
        <v>2.9695035878048209E-2</v>
      </c>
      <c r="Q255" s="95">
        <f t="shared" si="23"/>
        <v>9.5350439945076762E-2</v>
      </c>
      <c r="R255" s="133">
        <f t="shared" si="24"/>
        <v>1.2039900736218891</v>
      </c>
      <c r="S255" s="221"/>
      <c r="T255" s="85">
        <v>228</v>
      </c>
    </row>
    <row r="256" spans="1:20" s="60" customFormat="1">
      <c r="A256" s="219">
        <v>44749</v>
      </c>
      <c r="B256" s="81" t="str">
        <f>VLOOKUP(C256,'Master List'!A:C,3,FALSE)</f>
        <v>52-135</v>
      </c>
      <c r="C256" s="78">
        <v>417</v>
      </c>
      <c r="D256" s="78" t="s">
        <v>105</v>
      </c>
      <c r="E256" s="81">
        <f>VLOOKUP(C256,'Master List'!A:G,5,FALSE)</f>
        <v>75</v>
      </c>
      <c r="F256" s="43">
        <f>VLOOKUP(C256,'2022-002-bottles_csv'!E:L,8,FALSE)</f>
        <v>0.08</v>
      </c>
      <c r="G256" s="218">
        <v>304</v>
      </c>
      <c r="H256" s="218">
        <v>10</v>
      </c>
      <c r="I256" s="218">
        <v>1</v>
      </c>
      <c r="J256" s="252">
        <v>9078.64</v>
      </c>
      <c r="K256" s="252">
        <v>6404.04</v>
      </c>
      <c r="L256" s="252">
        <v>286.18</v>
      </c>
      <c r="M256" s="252">
        <v>286.97000000000003</v>
      </c>
      <c r="N256" s="250">
        <f t="shared" si="20"/>
        <v>8792.4599999999991</v>
      </c>
      <c r="O256" s="250">
        <f t="shared" si="21"/>
        <v>6117.07</v>
      </c>
      <c r="P256" s="95">
        <f t="shared" si="22"/>
        <v>0.14621478243815475</v>
      </c>
      <c r="Q256" s="95">
        <f t="shared" si="23"/>
        <v>0.14095636078227283</v>
      </c>
      <c r="R256" s="133">
        <f t="shared" si="24"/>
        <v>1.4373646206435433</v>
      </c>
      <c r="S256" s="221"/>
      <c r="T256" s="85">
        <v>74</v>
      </c>
    </row>
    <row r="257" spans="1:20" s="60" customFormat="1">
      <c r="A257" s="219">
        <v>44761</v>
      </c>
      <c r="B257" s="81" t="str">
        <f>VLOOKUP(C257,'Master List'!A:C,3,FALSE)</f>
        <v>52-135</v>
      </c>
      <c r="C257" s="78">
        <v>417</v>
      </c>
      <c r="D257" s="78" t="s">
        <v>106</v>
      </c>
      <c r="E257" s="81">
        <f>VLOOKUP(C257,'Master List'!A:G,5,FALSE)</f>
        <v>75</v>
      </c>
      <c r="F257" s="43">
        <f>VLOOKUP(C257,'2022-002-bottles_csv'!E:L,8,FALSE)</f>
        <v>0.08</v>
      </c>
      <c r="G257" s="218">
        <v>304</v>
      </c>
      <c r="H257" s="218">
        <v>10</v>
      </c>
      <c r="I257" s="218">
        <v>1</v>
      </c>
      <c r="J257" s="252">
        <v>8873.2199999999993</v>
      </c>
      <c r="K257" s="252">
        <v>6349.88</v>
      </c>
      <c r="L257" s="252">
        <v>334.87</v>
      </c>
      <c r="M257" s="252">
        <v>333.82</v>
      </c>
      <c r="N257" s="250">
        <f t="shared" si="20"/>
        <v>8538.3499999999985</v>
      </c>
      <c r="O257" s="250">
        <f t="shared" si="21"/>
        <v>6016.06</v>
      </c>
      <c r="P257" s="95">
        <f t="shared" si="22"/>
        <v>0.13784759739549493</v>
      </c>
      <c r="Q257" s="95">
        <f t="shared" si="23"/>
        <v>0.14458154398799186</v>
      </c>
      <c r="R257" s="133">
        <f t="shared" si="24"/>
        <v>1.4192594488751771</v>
      </c>
      <c r="S257" s="221"/>
      <c r="T257" s="85">
        <v>415</v>
      </c>
    </row>
    <row r="258" spans="1:20" s="60" customFormat="1">
      <c r="A258" s="219">
        <v>44749</v>
      </c>
      <c r="B258" s="81" t="str">
        <f>VLOOKUP(C258,'Master List'!A:C,3,FALSE)</f>
        <v>52-135</v>
      </c>
      <c r="C258" s="78">
        <v>420</v>
      </c>
      <c r="D258" s="78" t="s">
        <v>105</v>
      </c>
      <c r="E258" s="81">
        <f>VLOOKUP(C258,'Master List'!A:G,5,FALSE)</f>
        <v>50</v>
      </c>
      <c r="F258" s="43">
        <f>VLOOKUP(C258,'2022-002-bottles_csv'!E:L,8,FALSE)</f>
        <v>0.11</v>
      </c>
      <c r="G258" s="218">
        <v>304</v>
      </c>
      <c r="H258" s="218">
        <v>10</v>
      </c>
      <c r="I258" s="218">
        <v>1</v>
      </c>
      <c r="J258" s="252">
        <v>23996.46</v>
      </c>
      <c r="K258" s="252">
        <v>16325.84</v>
      </c>
      <c r="L258" s="252">
        <v>286.18</v>
      </c>
      <c r="M258" s="252">
        <v>286.97000000000003</v>
      </c>
      <c r="N258" s="250">
        <f t="shared" si="20"/>
        <v>23710.28</v>
      </c>
      <c r="O258" s="250">
        <f t="shared" si="21"/>
        <v>16038.87</v>
      </c>
      <c r="P258" s="95">
        <f t="shared" si="22"/>
        <v>0.41925608757746902</v>
      </c>
      <c r="Q258" s="95">
        <f t="shared" si="23"/>
        <v>0.33370254030545848</v>
      </c>
      <c r="R258" s="133">
        <f t="shared" si="24"/>
        <v>1.4783011521385234</v>
      </c>
      <c r="S258" s="221"/>
      <c r="T258" s="85">
        <v>83</v>
      </c>
    </row>
    <row r="259" spans="1:20" s="60" customFormat="1">
      <c r="A259" s="219">
        <v>44755</v>
      </c>
      <c r="B259" s="81" t="str">
        <f>VLOOKUP(C259,'Master List'!A:C,3,FALSE)</f>
        <v>52-135</v>
      </c>
      <c r="C259" s="78">
        <v>420</v>
      </c>
      <c r="D259" s="78" t="s">
        <v>106</v>
      </c>
      <c r="E259" s="81">
        <f>VLOOKUP(C259,'Master List'!A:G,5,FALSE)</f>
        <v>50</v>
      </c>
      <c r="F259" s="43">
        <f>VLOOKUP(C259,'2022-002-bottles_csv'!E:L,8,FALSE)</f>
        <v>0.11</v>
      </c>
      <c r="G259" s="218">
        <v>304</v>
      </c>
      <c r="H259" s="218">
        <v>10</v>
      </c>
      <c r="I259" s="218">
        <v>1</v>
      </c>
      <c r="J259" s="252">
        <v>23039.96</v>
      </c>
      <c r="K259" s="252">
        <v>15456.83</v>
      </c>
      <c r="L259" s="252">
        <v>332.42</v>
      </c>
      <c r="M259" s="252">
        <v>348.04</v>
      </c>
      <c r="N259" s="250">
        <f t="shared" si="20"/>
        <v>22707.54</v>
      </c>
      <c r="O259" s="250">
        <f t="shared" si="21"/>
        <v>15108.789999999999</v>
      </c>
      <c r="P259" s="95">
        <f t="shared" si="22"/>
        <v>0.41528509041744538</v>
      </c>
      <c r="Q259" s="95">
        <f t="shared" si="23"/>
        <v>0.29401012722390313</v>
      </c>
      <c r="R259" s="133">
        <f t="shared" si="24"/>
        <v>1.5029357082863686</v>
      </c>
      <c r="S259" s="221"/>
      <c r="T259" s="85">
        <v>230</v>
      </c>
    </row>
    <row r="260" spans="1:20" s="60" customFormat="1">
      <c r="A260" s="219">
        <v>44749</v>
      </c>
      <c r="B260" s="81" t="str">
        <f>VLOOKUP(C260,'Master List'!A:C,3,FALSE)</f>
        <v>52-135</v>
      </c>
      <c r="C260" s="78">
        <v>422</v>
      </c>
      <c r="D260" s="78" t="s">
        <v>105</v>
      </c>
      <c r="E260" s="81">
        <f>VLOOKUP(C260,'Master List'!A:G,5,FALSE)</f>
        <v>25</v>
      </c>
      <c r="F260" s="43">
        <f>VLOOKUP(C260,'2022-002-bottles_csv'!E:L,8,FALSE)</f>
        <v>0.13</v>
      </c>
      <c r="G260" s="218">
        <v>304</v>
      </c>
      <c r="H260" s="218">
        <v>10</v>
      </c>
      <c r="I260" s="218">
        <v>1</v>
      </c>
      <c r="J260" s="252">
        <v>42866.98</v>
      </c>
      <c r="K260" s="252">
        <v>27308.32</v>
      </c>
      <c r="L260" s="252">
        <v>286.18</v>
      </c>
      <c r="M260" s="252">
        <v>286.97000000000003</v>
      </c>
      <c r="N260" s="250">
        <f t="shared" si="20"/>
        <v>42580.800000000003</v>
      </c>
      <c r="O260" s="250">
        <f t="shared" si="21"/>
        <v>27021.35</v>
      </c>
      <c r="P260" s="95">
        <f t="shared" si="22"/>
        <v>0.85035138675383715</v>
      </c>
      <c r="Q260" s="95">
        <f t="shared" si="23"/>
        <v>0.41818926601935347</v>
      </c>
      <c r="R260" s="133">
        <f t="shared" si="24"/>
        <v>1.5758206011172649</v>
      </c>
      <c r="S260" s="221"/>
      <c r="T260" s="85">
        <v>76</v>
      </c>
    </row>
    <row r="261" spans="1:20" s="60" customFormat="1">
      <c r="A261" s="219">
        <v>44761</v>
      </c>
      <c r="B261" s="81" t="str">
        <f>VLOOKUP(C261,'Master List'!A:C,3,FALSE)</f>
        <v>52-135</v>
      </c>
      <c r="C261" s="78">
        <v>422</v>
      </c>
      <c r="D261" s="78" t="s">
        <v>106</v>
      </c>
      <c r="E261" s="81">
        <f>VLOOKUP(C261,'Master List'!A:G,5,FALSE)</f>
        <v>25</v>
      </c>
      <c r="F261" s="43">
        <f>VLOOKUP(C261,'2022-002-bottles_csv'!E:L,8,FALSE)</f>
        <v>0.13</v>
      </c>
      <c r="G261" s="218">
        <v>304</v>
      </c>
      <c r="H261" s="218">
        <v>10</v>
      </c>
      <c r="I261" s="218">
        <v>1</v>
      </c>
      <c r="J261" s="252">
        <v>38080.639999999999</v>
      </c>
      <c r="K261" s="252">
        <v>23900.58</v>
      </c>
      <c r="L261" s="252">
        <v>334.87</v>
      </c>
      <c r="M261" s="252">
        <v>333.82</v>
      </c>
      <c r="N261" s="250">
        <f t="shared" si="20"/>
        <v>37745.769999999997</v>
      </c>
      <c r="O261" s="250">
        <f t="shared" si="21"/>
        <v>23566.760000000002</v>
      </c>
      <c r="P261" s="95">
        <f t="shared" si="22"/>
        <v>0.77490790588976588</v>
      </c>
      <c r="Q261" s="95">
        <f t="shared" si="23"/>
        <v>0.33145403065852336</v>
      </c>
      <c r="R261" s="133">
        <f t="shared" si="24"/>
        <v>1.6016529213179918</v>
      </c>
      <c r="S261" s="221"/>
      <c r="T261" s="85">
        <v>412</v>
      </c>
    </row>
    <row r="262" spans="1:20" s="60" customFormat="1">
      <c r="A262" s="219">
        <v>44749</v>
      </c>
      <c r="B262" s="81" t="str">
        <f>VLOOKUP(C262,'Master List'!A:C,3,FALSE)</f>
        <v>52-135</v>
      </c>
      <c r="C262" s="78">
        <v>428</v>
      </c>
      <c r="D262" s="78" t="s">
        <v>105</v>
      </c>
      <c r="E262" s="81">
        <f>VLOOKUP(C262,'Master List'!A:G,5,FALSE)</f>
        <v>5</v>
      </c>
      <c r="F262" s="43">
        <f>VLOOKUP(C262,'2022-002-bottles_csv'!E:L,8,FALSE)</f>
        <v>0.14000000000000001</v>
      </c>
      <c r="G262" s="218">
        <v>304</v>
      </c>
      <c r="H262" s="218">
        <v>10</v>
      </c>
      <c r="I262" s="218">
        <v>1</v>
      </c>
      <c r="J262" s="252">
        <v>40359.910000000003</v>
      </c>
      <c r="K262" s="252">
        <v>25902.76</v>
      </c>
      <c r="L262" s="252">
        <v>286.18</v>
      </c>
      <c r="M262" s="252">
        <v>286.97000000000003</v>
      </c>
      <c r="N262" s="250">
        <f t="shared" si="20"/>
        <v>40073.730000000003</v>
      </c>
      <c r="O262" s="250">
        <f t="shared" si="21"/>
        <v>25615.789999999997</v>
      </c>
      <c r="P262" s="95">
        <f t="shared" si="22"/>
        <v>0.79015192237539078</v>
      </c>
      <c r="Q262" s="95">
        <f t="shared" si="23"/>
        <v>0.4124035002034574</v>
      </c>
      <c r="R262" s="133">
        <f t="shared" si="24"/>
        <v>1.5644151517481995</v>
      </c>
      <c r="S262" s="221"/>
      <c r="T262" s="85">
        <v>88</v>
      </c>
    </row>
    <row r="263" spans="1:20" s="60" customFormat="1">
      <c r="A263" s="219">
        <v>44756</v>
      </c>
      <c r="B263" s="81" t="str">
        <f>VLOOKUP(C263,'Master List'!A:C,3,FALSE)</f>
        <v>52-135</v>
      </c>
      <c r="C263" s="78">
        <v>428</v>
      </c>
      <c r="D263" s="78" t="s">
        <v>106</v>
      </c>
      <c r="E263" s="81">
        <f>VLOOKUP(C263,'Master List'!A:G,5,FALSE)</f>
        <v>5</v>
      </c>
      <c r="F263" s="43">
        <f>VLOOKUP(C263,'2022-002-bottles_csv'!E:L,8,FALSE)</f>
        <v>0.14000000000000001</v>
      </c>
      <c r="G263" s="218">
        <v>304</v>
      </c>
      <c r="H263" s="218">
        <v>10</v>
      </c>
      <c r="I263" s="218">
        <v>1</v>
      </c>
      <c r="J263" s="252">
        <v>33266.410000000003</v>
      </c>
      <c r="K263" s="252">
        <v>21189.9</v>
      </c>
      <c r="L263" s="252">
        <v>332.16</v>
      </c>
      <c r="M263" s="252">
        <v>344.15</v>
      </c>
      <c r="N263" s="250">
        <f t="shared" si="20"/>
        <v>32934.25</v>
      </c>
      <c r="O263" s="250">
        <f t="shared" si="21"/>
        <v>20845.75</v>
      </c>
      <c r="P263" s="95">
        <f t="shared" si="22"/>
        <v>0.66065784708159714</v>
      </c>
      <c r="Q263" s="95">
        <f t="shared" si="23"/>
        <v>0.31796392098501447</v>
      </c>
      <c r="R263" s="133">
        <f t="shared" si="24"/>
        <v>1.5799023781826032</v>
      </c>
      <c r="S263" s="221"/>
      <c r="T263" s="85">
        <v>264</v>
      </c>
    </row>
    <row r="264" spans="1:20" s="60" customFormat="1">
      <c r="A264" s="219">
        <v>44749</v>
      </c>
      <c r="B264" s="81" t="str">
        <f>VLOOKUP(C264,'Master List'!A:C,3,FALSE)</f>
        <v>51-135</v>
      </c>
      <c r="C264" s="78">
        <v>432</v>
      </c>
      <c r="D264" s="78" t="s">
        <v>105</v>
      </c>
      <c r="E264" s="81">
        <f>VLOOKUP(C264,'Master List'!A:G,5,FALSE)</f>
        <v>150</v>
      </c>
      <c r="F264" s="43">
        <f>VLOOKUP(C264,'2022-002-bottles_csv'!E:L,8,FALSE)</f>
        <v>0.05</v>
      </c>
      <c r="G264" s="218">
        <v>304</v>
      </c>
      <c r="H264" s="218">
        <v>10</v>
      </c>
      <c r="I264" s="218">
        <v>1</v>
      </c>
      <c r="J264" s="252">
        <v>2054.4</v>
      </c>
      <c r="K264" s="252">
        <v>1777.66</v>
      </c>
      <c r="L264" s="252">
        <v>286.18</v>
      </c>
      <c r="M264" s="252">
        <v>286.97000000000003</v>
      </c>
      <c r="N264" s="250">
        <f t="shared" si="20"/>
        <v>1768.22</v>
      </c>
      <c r="O264" s="250">
        <f t="shared" si="21"/>
        <v>1490.69</v>
      </c>
      <c r="P264" s="95">
        <f t="shared" si="22"/>
        <v>1.5167504016259723E-2</v>
      </c>
      <c r="Q264" s="95">
        <f t="shared" si="23"/>
        <v>5.4814227676733697E-2</v>
      </c>
      <c r="R264" s="133">
        <f t="shared" si="24"/>
        <v>1.1861755294528038</v>
      </c>
      <c r="S264" s="221"/>
      <c r="T264" s="85">
        <v>90</v>
      </c>
    </row>
    <row r="265" spans="1:20" s="60" customFormat="1">
      <c r="A265" s="219">
        <v>44757</v>
      </c>
      <c r="B265" s="81" t="str">
        <f>VLOOKUP(C265,'Master List'!A:C,3,FALSE)</f>
        <v>51-135</v>
      </c>
      <c r="C265" s="78">
        <v>432</v>
      </c>
      <c r="D265" s="78" t="s">
        <v>106</v>
      </c>
      <c r="E265" s="81">
        <f>VLOOKUP(C265,'Master List'!A:G,5,FALSE)</f>
        <v>150</v>
      </c>
      <c r="F265" s="43">
        <f>VLOOKUP(C265,'2022-002-bottles_csv'!E:L,8,FALSE)</f>
        <v>0.05</v>
      </c>
      <c r="G265" s="218">
        <v>304</v>
      </c>
      <c r="H265" s="218">
        <v>10</v>
      </c>
      <c r="I265" s="218">
        <v>1</v>
      </c>
      <c r="J265" s="252">
        <v>1825.26</v>
      </c>
      <c r="K265" s="252">
        <v>1599.91</v>
      </c>
      <c r="L265" s="252">
        <v>351.09</v>
      </c>
      <c r="M265" s="252">
        <v>351.83</v>
      </c>
      <c r="N265" s="250">
        <f t="shared" si="20"/>
        <v>1474.17</v>
      </c>
      <c r="O265" s="250">
        <f t="shared" si="21"/>
        <v>1248.0800000000002</v>
      </c>
      <c r="P265" s="95">
        <f t="shared" si="22"/>
        <v>1.235621728474817E-2</v>
      </c>
      <c r="Q265" s="95">
        <f t="shared" si="23"/>
        <v>4.6235978068672884E-2</v>
      </c>
      <c r="R265" s="133">
        <f t="shared" si="24"/>
        <v>1.1811502467790524</v>
      </c>
      <c r="S265" s="221"/>
      <c r="T265" s="85">
        <v>271</v>
      </c>
    </row>
    <row r="266" spans="1:20" s="60" customFormat="1">
      <c r="A266" s="219">
        <v>44749</v>
      </c>
      <c r="B266" s="81" t="str">
        <f>VLOOKUP(C266,'Master List'!A:C,3,FALSE)</f>
        <v>51-135</v>
      </c>
      <c r="C266" s="78">
        <v>436</v>
      </c>
      <c r="D266" s="78" t="s">
        <v>105</v>
      </c>
      <c r="E266" s="81">
        <f>VLOOKUP(C266,'Master List'!A:G,5,FALSE)</f>
        <v>100</v>
      </c>
      <c r="F266" s="43">
        <f>VLOOKUP(C266,'2022-002-bottles_csv'!E:L,8,FALSE)</f>
        <v>7.0000000000000007E-2</v>
      </c>
      <c r="G266" s="218">
        <v>304</v>
      </c>
      <c r="H266" s="218">
        <v>10</v>
      </c>
      <c r="I266" s="218">
        <v>1</v>
      </c>
      <c r="J266" s="252">
        <v>7034.69</v>
      </c>
      <c r="K266" s="252">
        <v>5102.99</v>
      </c>
      <c r="L266" s="252">
        <v>286.18</v>
      </c>
      <c r="M266" s="252">
        <v>286.97000000000003</v>
      </c>
      <c r="N266" s="250">
        <f t="shared" si="20"/>
        <v>6748.5099999999993</v>
      </c>
      <c r="O266" s="250">
        <f t="shared" si="21"/>
        <v>4816.0199999999995</v>
      </c>
      <c r="P266" s="95">
        <f t="shared" si="22"/>
        <v>0.10561398708745631</v>
      </c>
      <c r="Q266" s="95">
        <f t="shared" si="23"/>
        <v>0.12047823830353045</v>
      </c>
      <c r="R266" s="133">
        <f t="shared" si="24"/>
        <v>1.4012628685096822</v>
      </c>
      <c r="S266" s="221"/>
      <c r="T266" s="85">
        <v>85</v>
      </c>
    </row>
    <row r="267" spans="1:20" s="60" customFormat="1">
      <c r="A267" s="219">
        <v>44761</v>
      </c>
      <c r="B267" s="81" t="str">
        <f>VLOOKUP(C267,'Master List'!A:C,3,FALSE)</f>
        <v>51-135</v>
      </c>
      <c r="C267" s="78">
        <v>436</v>
      </c>
      <c r="D267" s="78" t="s">
        <v>106</v>
      </c>
      <c r="E267" s="81">
        <f>VLOOKUP(C267,'Master List'!A:G,5,FALSE)</f>
        <v>100</v>
      </c>
      <c r="F267" s="43">
        <f>VLOOKUP(C267,'2022-002-bottles_csv'!E:L,8,FALSE)</f>
        <v>7.0000000000000007E-2</v>
      </c>
      <c r="G267" s="218">
        <v>304</v>
      </c>
      <c r="H267" s="218">
        <v>10</v>
      </c>
      <c r="I267" s="218">
        <v>1</v>
      </c>
      <c r="J267" s="252">
        <v>6588.8</v>
      </c>
      <c r="K267" s="252">
        <v>4909.42</v>
      </c>
      <c r="L267" s="252">
        <v>345.92</v>
      </c>
      <c r="M267" s="252">
        <v>349.76</v>
      </c>
      <c r="N267" s="250">
        <f t="shared" si="20"/>
        <v>6242.88</v>
      </c>
      <c r="O267" s="250">
        <f t="shared" si="21"/>
        <v>4559.66</v>
      </c>
      <c r="P267" s="95">
        <f t="shared" si="22"/>
        <v>9.1990941917085345E-2</v>
      </c>
      <c r="Q267" s="95">
        <f t="shared" si="23"/>
        <v>0.12206624148876984</v>
      </c>
      <c r="R267" s="133">
        <f t="shared" si="24"/>
        <v>1.3691547176763181</v>
      </c>
      <c r="S267" s="221"/>
      <c r="T267" s="85">
        <v>337</v>
      </c>
    </row>
    <row r="268" spans="1:20" s="60" customFormat="1">
      <c r="A268" s="219">
        <v>44750</v>
      </c>
      <c r="B268" s="81" t="str">
        <f>VLOOKUP(C268,'Master List'!A:C,3,FALSE)</f>
        <v>51-135</v>
      </c>
      <c r="C268" s="78">
        <v>437</v>
      </c>
      <c r="D268" s="78" t="s">
        <v>105</v>
      </c>
      <c r="E268" s="81">
        <f>VLOOKUP(C268,'Master List'!A:G,5,FALSE)</f>
        <v>75</v>
      </c>
      <c r="F268" s="43">
        <f>VLOOKUP(C268,'2022-002-bottles_csv'!E:L,8,FALSE)</f>
        <v>0.1</v>
      </c>
      <c r="G268" s="218">
        <v>304</v>
      </c>
      <c r="H268" s="218">
        <v>10</v>
      </c>
      <c r="I268" s="218">
        <v>1</v>
      </c>
      <c r="J268" s="252">
        <v>15481.24</v>
      </c>
      <c r="K268" s="252">
        <v>10790.65</v>
      </c>
      <c r="L268" s="252">
        <v>305.14</v>
      </c>
      <c r="M268" s="252">
        <v>306.41000000000003</v>
      </c>
      <c r="N268" s="250">
        <f t="shared" si="20"/>
        <v>15176.1</v>
      </c>
      <c r="O268" s="250">
        <f t="shared" si="21"/>
        <v>10484.24</v>
      </c>
      <c r="P268" s="95">
        <f t="shared" si="22"/>
        <v>0.25641842465221187</v>
      </c>
      <c r="Q268" s="95">
        <f t="shared" si="23"/>
        <v>0.23577329239489336</v>
      </c>
      <c r="R268" s="133">
        <f t="shared" si="24"/>
        <v>1.4475155089925451</v>
      </c>
      <c r="S268" s="221"/>
      <c r="T268" s="85">
        <v>97</v>
      </c>
    </row>
    <row r="269" spans="1:20" s="60" customFormat="1">
      <c r="A269" s="219">
        <v>44761</v>
      </c>
      <c r="B269" s="81" t="str">
        <f>VLOOKUP(C269,'Master List'!A:C,3,FALSE)</f>
        <v>51-135</v>
      </c>
      <c r="C269" s="78">
        <v>437</v>
      </c>
      <c r="D269" s="78" t="s">
        <v>106</v>
      </c>
      <c r="E269" s="81">
        <f>VLOOKUP(C269,'Master List'!A:G,5,FALSE)</f>
        <v>75</v>
      </c>
      <c r="F269" s="43">
        <f>VLOOKUP(C269,'2022-002-bottles_csv'!E:L,8,FALSE)</f>
        <v>0.1</v>
      </c>
      <c r="G269" s="218">
        <v>304</v>
      </c>
      <c r="H269" s="218">
        <v>10</v>
      </c>
      <c r="I269" s="218">
        <v>1</v>
      </c>
      <c r="J269" s="252">
        <v>13213.53</v>
      </c>
      <c r="K269" s="252">
        <v>9087.73</v>
      </c>
      <c r="L269" s="252">
        <v>345.92</v>
      </c>
      <c r="M269" s="252">
        <v>349.76</v>
      </c>
      <c r="N269" s="250">
        <f t="shared" ref="N269:N332" si="25">J269-L269</f>
        <v>12867.61</v>
      </c>
      <c r="O269" s="250">
        <f t="shared" ref="O269:O332" si="26">K269-M269</f>
        <v>8737.9699999999993</v>
      </c>
      <c r="P269" s="95">
        <f t="shared" ref="P269:P332" si="27">0.0007677*(1.859/(1.859-1))*(N269-O269)*(H269/G269)*I269</f>
        <v>0.22569210999065625</v>
      </c>
      <c r="Q269" s="95">
        <f t="shared" ref="Q269:Q332" si="28">0.0007677*(1.859/(1.859-1))*((1.859*O269)-N269)*(H269/G269)*I269</f>
        <v>0.18451945115312651</v>
      </c>
      <c r="R269" s="133">
        <f t="shared" ref="R269:R332" si="29">N269/O269</f>
        <v>1.4726086264887612</v>
      </c>
      <c r="S269" s="221"/>
      <c r="T269" s="85">
        <v>357</v>
      </c>
    </row>
    <row r="270" spans="1:20" s="60" customFormat="1">
      <c r="A270" s="219">
        <v>44749</v>
      </c>
      <c r="B270" s="81" t="str">
        <f>VLOOKUP(C270,'Master List'!A:C,3,FALSE)</f>
        <v>51-135</v>
      </c>
      <c r="C270" s="78">
        <v>440</v>
      </c>
      <c r="D270" s="78" t="s">
        <v>105</v>
      </c>
      <c r="E270" s="81">
        <f>VLOOKUP(C270,'Master List'!A:G,5,FALSE)</f>
        <v>50</v>
      </c>
      <c r="F270" s="43">
        <f>VLOOKUP(C270,'2022-002-bottles_csv'!E:L,8,FALSE)</f>
        <v>0.12</v>
      </c>
      <c r="G270" s="218">
        <v>304</v>
      </c>
      <c r="H270" s="218">
        <v>10</v>
      </c>
      <c r="I270" s="218">
        <v>1</v>
      </c>
      <c r="J270" s="252">
        <v>26500.77</v>
      </c>
      <c r="K270" s="252">
        <v>16962.189999999999</v>
      </c>
      <c r="L270" s="252">
        <v>286.18</v>
      </c>
      <c r="M270" s="252">
        <v>286.97000000000003</v>
      </c>
      <c r="N270" s="250">
        <f t="shared" si="25"/>
        <v>26214.59</v>
      </c>
      <c r="O270" s="250">
        <f t="shared" si="26"/>
        <v>16675.219999999998</v>
      </c>
      <c r="P270" s="95">
        <f t="shared" si="27"/>
        <v>0.52134339634485483</v>
      </c>
      <c r="Q270" s="95">
        <f t="shared" si="28"/>
        <v>0.26148923281455272</v>
      </c>
      <c r="R270" s="133">
        <f t="shared" si="29"/>
        <v>1.5720686143870968</v>
      </c>
      <c r="S270" s="221"/>
      <c r="T270" s="85">
        <v>96</v>
      </c>
    </row>
    <row r="271" spans="1:20" s="60" customFormat="1">
      <c r="A271" s="219">
        <v>44757</v>
      </c>
      <c r="B271" s="81" t="str">
        <f>VLOOKUP(C271,'Master List'!A:C,3,FALSE)</f>
        <v>51-135</v>
      </c>
      <c r="C271" s="78">
        <v>440</v>
      </c>
      <c r="D271" s="78" t="s">
        <v>106</v>
      </c>
      <c r="E271" s="81">
        <f>VLOOKUP(C271,'Master List'!A:G,5,FALSE)</f>
        <v>50</v>
      </c>
      <c r="F271" s="43">
        <f>VLOOKUP(C271,'2022-002-bottles_csv'!E:L,8,FALSE)</f>
        <v>0.12</v>
      </c>
      <c r="G271" s="218">
        <v>304</v>
      </c>
      <c r="H271" s="218">
        <v>10</v>
      </c>
      <c r="I271" s="218">
        <v>1</v>
      </c>
      <c r="J271" s="252">
        <v>23258.06</v>
      </c>
      <c r="K271" s="252">
        <v>15481.73</v>
      </c>
      <c r="L271" s="252">
        <v>305.45999999999998</v>
      </c>
      <c r="M271" s="252">
        <v>318.69</v>
      </c>
      <c r="N271" s="250">
        <f t="shared" si="25"/>
        <v>22952.600000000002</v>
      </c>
      <c r="O271" s="250">
        <f t="shared" si="26"/>
        <v>15163.039999999999</v>
      </c>
      <c r="P271" s="95">
        <f t="shared" si="27"/>
        <v>0.42571319347420511</v>
      </c>
      <c r="Q271" s="95">
        <f t="shared" si="28"/>
        <v>0.28612883735053157</v>
      </c>
      <c r="R271" s="133">
        <f t="shared" si="29"/>
        <v>1.5137202038641331</v>
      </c>
      <c r="S271" s="221"/>
      <c r="T271" s="85">
        <v>311</v>
      </c>
    </row>
    <row r="272" spans="1:20" s="60" customFormat="1">
      <c r="A272" s="219">
        <v>44749</v>
      </c>
      <c r="B272" s="81" t="str">
        <f>VLOOKUP(C272,'Master List'!A:C,3,FALSE)</f>
        <v>51-135</v>
      </c>
      <c r="C272" s="78">
        <v>442</v>
      </c>
      <c r="D272" s="78" t="s">
        <v>105</v>
      </c>
      <c r="E272" s="81">
        <f>VLOOKUP(C272,'Master List'!A:G,5,FALSE)</f>
        <v>25</v>
      </c>
      <c r="F272" s="43">
        <f>VLOOKUP(C272,'2022-002-bottles_csv'!E:L,8,FALSE)</f>
        <v>0.14000000000000001</v>
      </c>
      <c r="G272" s="218">
        <v>304</v>
      </c>
      <c r="H272" s="218">
        <v>10</v>
      </c>
      <c r="I272" s="218">
        <v>1</v>
      </c>
      <c r="J272" s="252">
        <v>33684.83</v>
      </c>
      <c r="K272" s="252">
        <v>22393.67</v>
      </c>
      <c r="L272" s="252">
        <v>286.18</v>
      </c>
      <c r="M272" s="252">
        <v>286.97000000000003</v>
      </c>
      <c r="N272" s="250">
        <f t="shared" si="25"/>
        <v>33398.65</v>
      </c>
      <c r="O272" s="250">
        <f t="shared" si="26"/>
        <v>22106.699999999997</v>
      </c>
      <c r="P272" s="95">
        <f t="shared" si="27"/>
        <v>0.61712498460131893</v>
      </c>
      <c r="Q272" s="95">
        <f t="shared" si="28"/>
        <v>0.42069317210295704</v>
      </c>
      <c r="R272" s="133">
        <f t="shared" si="29"/>
        <v>1.5107931079717916</v>
      </c>
      <c r="S272" s="221"/>
      <c r="T272" s="85">
        <v>92</v>
      </c>
    </row>
    <row r="273" spans="1:20" s="60" customFormat="1">
      <c r="A273" s="219">
        <v>44761</v>
      </c>
      <c r="B273" s="81" t="str">
        <f>VLOOKUP(C273,'Master List'!A:C,3,FALSE)</f>
        <v>51-135</v>
      </c>
      <c r="C273" s="78">
        <v>442</v>
      </c>
      <c r="D273" s="78" t="s">
        <v>106</v>
      </c>
      <c r="E273" s="81">
        <f>VLOOKUP(C273,'Master List'!A:G,5,FALSE)</f>
        <v>25</v>
      </c>
      <c r="F273" s="43">
        <f>VLOOKUP(C273,'2022-002-bottles_csv'!E:L,8,FALSE)</f>
        <v>0.14000000000000001</v>
      </c>
      <c r="G273" s="218">
        <v>304</v>
      </c>
      <c r="H273" s="218">
        <v>10</v>
      </c>
      <c r="I273" s="218">
        <v>1</v>
      </c>
      <c r="J273" s="252">
        <v>31283.71</v>
      </c>
      <c r="K273" s="252">
        <v>20069.919999999998</v>
      </c>
      <c r="L273" s="252">
        <v>334.87</v>
      </c>
      <c r="M273" s="252">
        <v>333.82</v>
      </c>
      <c r="N273" s="250">
        <f t="shared" si="25"/>
        <v>30948.84</v>
      </c>
      <c r="O273" s="250">
        <f t="shared" si="26"/>
        <v>19736.099999999999</v>
      </c>
      <c r="P273" s="95">
        <f t="shared" si="27"/>
        <v>0.6127960183881962</v>
      </c>
      <c r="Q273" s="95">
        <f t="shared" si="28"/>
        <v>0.31373227043515894</v>
      </c>
      <c r="R273" s="133">
        <f t="shared" si="29"/>
        <v>1.5681335218204207</v>
      </c>
      <c r="S273" s="221"/>
      <c r="T273" s="85">
        <v>411</v>
      </c>
    </row>
    <row r="274" spans="1:20" s="60" customFormat="1">
      <c r="A274" s="219">
        <v>44749</v>
      </c>
      <c r="B274" s="81" t="str">
        <f>VLOOKUP(C274,'Master List'!A:C,3,FALSE)</f>
        <v>51-135</v>
      </c>
      <c r="C274" s="78">
        <v>448</v>
      </c>
      <c r="D274" s="78" t="s">
        <v>105</v>
      </c>
      <c r="E274" s="81">
        <f>VLOOKUP(C274,'Master List'!A:G,5,FALSE)</f>
        <v>5</v>
      </c>
      <c r="F274" s="43">
        <f>VLOOKUP(C274,'2022-002-bottles_csv'!E:L,8,FALSE)</f>
        <v>0.13</v>
      </c>
      <c r="G274" s="218">
        <v>304</v>
      </c>
      <c r="H274" s="218">
        <v>10</v>
      </c>
      <c r="I274" s="218">
        <v>1</v>
      </c>
      <c r="J274" s="252">
        <v>31892.89</v>
      </c>
      <c r="K274" s="252">
        <v>19835.55</v>
      </c>
      <c r="L274" s="252">
        <v>286.18</v>
      </c>
      <c r="M274" s="252">
        <v>286.97000000000003</v>
      </c>
      <c r="N274" s="250">
        <f t="shared" si="25"/>
        <v>31606.71</v>
      </c>
      <c r="O274" s="250">
        <f t="shared" si="26"/>
        <v>19548.579999999998</v>
      </c>
      <c r="P274" s="95">
        <f t="shared" si="27"/>
        <v>0.65899807301402336</v>
      </c>
      <c r="Q274" s="95">
        <f t="shared" si="28"/>
        <v>0.25872692717985818</v>
      </c>
      <c r="R274" s="133">
        <f t="shared" si="29"/>
        <v>1.6168289461434029</v>
      </c>
      <c r="S274" s="221"/>
      <c r="T274" s="85">
        <v>94</v>
      </c>
    </row>
    <row r="275" spans="1:20" s="60" customFormat="1">
      <c r="A275" s="219">
        <v>44757</v>
      </c>
      <c r="B275" s="81" t="str">
        <f>VLOOKUP(C275,'Master List'!A:C,3,FALSE)</f>
        <v>51-135</v>
      </c>
      <c r="C275" s="78">
        <v>448</v>
      </c>
      <c r="D275" s="78" t="s">
        <v>106</v>
      </c>
      <c r="E275" s="81">
        <f>VLOOKUP(C275,'Master List'!A:G,5,FALSE)</f>
        <v>5</v>
      </c>
      <c r="F275" s="43">
        <f>VLOOKUP(C275,'2022-002-bottles_csv'!E:L,8,FALSE)</f>
        <v>0.13</v>
      </c>
      <c r="G275" s="218">
        <v>304</v>
      </c>
      <c r="H275" s="218">
        <v>10</v>
      </c>
      <c r="I275" s="218">
        <v>1</v>
      </c>
      <c r="J275" s="252">
        <v>31250.02</v>
      </c>
      <c r="K275" s="252">
        <v>20038.580000000002</v>
      </c>
      <c r="L275" s="252">
        <v>305.45999999999998</v>
      </c>
      <c r="M275" s="252">
        <v>318.69</v>
      </c>
      <c r="N275" s="250">
        <f t="shared" si="25"/>
        <v>30944.560000000001</v>
      </c>
      <c r="O275" s="250">
        <f t="shared" si="26"/>
        <v>19719.890000000003</v>
      </c>
      <c r="P275" s="95">
        <f t="shared" si="27"/>
        <v>0.61344801393071013</v>
      </c>
      <c r="Q275" s="95">
        <f t="shared" si="28"/>
        <v>0.31231928241886214</v>
      </c>
      <c r="R275" s="133">
        <f t="shared" si="29"/>
        <v>1.5692055077386333</v>
      </c>
      <c r="S275" s="221"/>
      <c r="T275" s="85">
        <v>303</v>
      </c>
    </row>
    <row r="276" spans="1:20" s="60" customFormat="1">
      <c r="A276" s="219">
        <v>44749</v>
      </c>
      <c r="B276" s="81" t="str">
        <f>VLOOKUP(C276,'Master List'!A:C,3,FALSE)</f>
        <v>53-135</v>
      </c>
      <c r="C276" s="78">
        <v>452</v>
      </c>
      <c r="D276" s="78" t="s">
        <v>105</v>
      </c>
      <c r="E276" s="81">
        <f>VLOOKUP(C276,'Master List'!A:G,5,FALSE)</f>
        <v>150</v>
      </c>
      <c r="F276" s="43">
        <f>VLOOKUP(C276,'2022-002-bottles_csv'!E:L,8,FALSE)</f>
        <v>0.05</v>
      </c>
      <c r="G276" s="218">
        <v>304</v>
      </c>
      <c r="H276" s="218">
        <v>10</v>
      </c>
      <c r="I276" s="218">
        <v>1</v>
      </c>
      <c r="J276" s="252">
        <v>1873.03</v>
      </c>
      <c r="K276" s="252">
        <v>1695.93</v>
      </c>
      <c r="L276" s="252">
        <v>286.18</v>
      </c>
      <c r="M276" s="252">
        <v>286.97000000000003</v>
      </c>
      <c r="N276" s="250">
        <f t="shared" si="25"/>
        <v>1586.85</v>
      </c>
      <c r="O276" s="250">
        <f t="shared" si="26"/>
        <v>1408.96</v>
      </c>
      <c r="P276" s="95">
        <f t="shared" si="27"/>
        <v>9.7220022680518884E-3</v>
      </c>
      <c r="Q276" s="95">
        <f t="shared" si="28"/>
        <v>5.6422843867737577E-2</v>
      </c>
      <c r="R276" s="133">
        <f t="shared" si="29"/>
        <v>1.1262562457415397</v>
      </c>
      <c r="S276" s="221"/>
      <c r="T276" s="85">
        <v>87</v>
      </c>
    </row>
    <row r="277" spans="1:20" s="60" customFormat="1">
      <c r="A277" s="219">
        <v>44761</v>
      </c>
      <c r="B277" s="81" t="str">
        <f>VLOOKUP(C277,'Master List'!A:C,3,FALSE)</f>
        <v>53-135</v>
      </c>
      <c r="C277" s="78">
        <v>452</v>
      </c>
      <c r="D277" s="78" t="s">
        <v>106</v>
      </c>
      <c r="E277" s="81">
        <f>VLOOKUP(C277,'Master List'!A:G,5,FALSE)</f>
        <v>150</v>
      </c>
      <c r="F277" s="43">
        <f>VLOOKUP(C277,'2022-002-bottles_csv'!E:L,8,FALSE)</f>
        <v>0.05</v>
      </c>
      <c r="G277" s="218">
        <v>304</v>
      </c>
      <c r="H277" s="218">
        <v>10</v>
      </c>
      <c r="I277" s="218">
        <v>1</v>
      </c>
      <c r="J277" s="252">
        <v>2433.4299999999998</v>
      </c>
      <c r="K277" s="252">
        <v>2272.83</v>
      </c>
      <c r="L277" s="252">
        <v>334.87</v>
      </c>
      <c r="M277" s="252">
        <v>333.82</v>
      </c>
      <c r="N277" s="250">
        <f t="shared" si="25"/>
        <v>2098.56</v>
      </c>
      <c r="O277" s="250">
        <f t="shared" si="26"/>
        <v>1939.01</v>
      </c>
      <c r="P277" s="95">
        <f t="shared" si="27"/>
        <v>8.7196889193753395E-3</v>
      </c>
      <c r="Q277" s="95">
        <f t="shared" si="28"/>
        <v>8.2308813029407527E-2</v>
      </c>
      <c r="R277" s="133">
        <f t="shared" si="29"/>
        <v>1.0822842584617924</v>
      </c>
      <c r="S277" s="221"/>
      <c r="T277" s="85">
        <v>391</v>
      </c>
    </row>
    <row r="278" spans="1:20" s="60" customFormat="1">
      <c r="A278" s="219">
        <v>44749</v>
      </c>
      <c r="B278" s="81" t="str">
        <f>VLOOKUP(C278,'Master List'!A:C,3,FALSE)</f>
        <v>53-135</v>
      </c>
      <c r="C278" s="78">
        <v>456</v>
      </c>
      <c r="D278" s="78" t="s">
        <v>105</v>
      </c>
      <c r="E278" s="81">
        <f>VLOOKUP(C278,'Master List'!A:G,5,FALSE)</f>
        <v>100</v>
      </c>
      <c r="F278" s="43">
        <f>VLOOKUP(C278,'2022-002-bottles_csv'!E:L,8,FALSE)</f>
        <v>0.06</v>
      </c>
      <c r="G278" s="218">
        <v>304</v>
      </c>
      <c r="H278" s="218">
        <v>10</v>
      </c>
      <c r="I278" s="218">
        <v>1</v>
      </c>
      <c r="J278" s="252">
        <v>4426.96</v>
      </c>
      <c r="K278" s="252">
        <v>3724.11</v>
      </c>
      <c r="L278" s="252">
        <v>286.18</v>
      </c>
      <c r="M278" s="252">
        <v>286.97000000000003</v>
      </c>
      <c r="N278" s="250">
        <f t="shared" si="25"/>
        <v>4140.78</v>
      </c>
      <c r="O278" s="250">
        <f t="shared" si="26"/>
        <v>3437.1400000000003</v>
      </c>
      <c r="P278" s="95">
        <f t="shared" si="27"/>
        <v>3.8455167102659116E-2</v>
      </c>
      <c r="Q278" s="95">
        <f t="shared" si="28"/>
        <v>0.12290434377569615</v>
      </c>
      <c r="R278" s="133">
        <f t="shared" si="29"/>
        <v>1.2047167121502178</v>
      </c>
      <c r="S278" s="221"/>
      <c r="T278" s="85">
        <v>95</v>
      </c>
    </row>
    <row r="279" spans="1:20" s="60" customFormat="1">
      <c r="A279" s="219">
        <v>44756</v>
      </c>
      <c r="B279" s="81" t="str">
        <f>VLOOKUP(C279,'Master List'!A:C,3,FALSE)</f>
        <v>53-135</v>
      </c>
      <c r="C279" s="78">
        <v>456</v>
      </c>
      <c r="D279" s="78" t="s">
        <v>106</v>
      </c>
      <c r="E279" s="81">
        <f>VLOOKUP(C279,'Master List'!A:G,5,FALSE)</f>
        <v>100</v>
      </c>
      <c r="F279" s="43">
        <f>VLOOKUP(C279,'2022-002-bottles_csv'!E:L,8,FALSE)</f>
        <v>0.06</v>
      </c>
      <c r="G279" s="218">
        <v>304</v>
      </c>
      <c r="H279" s="218">
        <v>10</v>
      </c>
      <c r="I279" s="218">
        <v>1</v>
      </c>
      <c r="J279" s="252">
        <v>3449</v>
      </c>
      <c r="K279" s="252">
        <v>2881.02</v>
      </c>
      <c r="L279" s="252">
        <v>332.16</v>
      </c>
      <c r="M279" s="252">
        <v>344.15</v>
      </c>
      <c r="N279" s="250">
        <f t="shared" si="25"/>
        <v>3116.84</v>
      </c>
      <c r="O279" s="250">
        <f t="shared" si="26"/>
        <v>2536.87</v>
      </c>
      <c r="P279" s="95">
        <f t="shared" si="27"/>
        <v>3.1696383469571418E-2</v>
      </c>
      <c r="Q279" s="95">
        <f t="shared" si="28"/>
        <v>8.7399173406777247E-2</v>
      </c>
      <c r="R279" s="133">
        <f t="shared" si="29"/>
        <v>1.2286163658366414</v>
      </c>
      <c r="S279" s="221"/>
      <c r="T279" s="85">
        <v>251</v>
      </c>
    </row>
    <row r="280" spans="1:20" s="60" customFormat="1">
      <c r="A280" s="219">
        <v>44749</v>
      </c>
      <c r="B280" s="81" t="str">
        <f>VLOOKUP(C280,'Master List'!A:C,3,FALSE)</f>
        <v>53-135</v>
      </c>
      <c r="C280" s="78">
        <v>457</v>
      </c>
      <c r="D280" s="78" t="s">
        <v>105</v>
      </c>
      <c r="E280" s="81">
        <f>VLOOKUP(C280,'Master List'!A:G,5,FALSE)</f>
        <v>75</v>
      </c>
      <c r="F280" s="43">
        <f>VLOOKUP(C280,'2022-002-bottles_csv'!E:L,8,FALSE)</f>
        <v>0.09</v>
      </c>
      <c r="G280" s="218">
        <v>304</v>
      </c>
      <c r="H280" s="218">
        <v>10</v>
      </c>
      <c r="I280" s="218">
        <v>1</v>
      </c>
      <c r="J280" s="252">
        <v>15484.84</v>
      </c>
      <c r="K280" s="252">
        <v>11831.15</v>
      </c>
      <c r="L280" s="252">
        <v>286.18</v>
      </c>
      <c r="M280" s="252">
        <v>286.97000000000003</v>
      </c>
      <c r="N280" s="250">
        <f t="shared" si="25"/>
        <v>15198.66</v>
      </c>
      <c r="O280" s="250">
        <f t="shared" si="26"/>
        <v>11544.18</v>
      </c>
      <c r="P280" s="95">
        <f t="shared" si="27"/>
        <v>0.19972377788830337</v>
      </c>
      <c r="Q280" s="95">
        <f t="shared" si="28"/>
        <v>0.34222773944636758</v>
      </c>
      <c r="R280" s="133">
        <f t="shared" si="29"/>
        <v>1.3165647105294616</v>
      </c>
      <c r="S280" s="221"/>
      <c r="T280" s="85">
        <v>91</v>
      </c>
    </row>
    <row r="281" spans="1:20" s="60" customFormat="1">
      <c r="A281" s="219">
        <v>44757</v>
      </c>
      <c r="B281" s="81" t="str">
        <f>VLOOKUP(C281,'Master List'!A:C,3,FALSE)</f>
        <v>53-135</v>
      </c>
      <c r="C281" s="78">
        <v>457</v>
      </c>
      <c r="D281" s="78" t="s">
        <v>106</v>
      </c>
      <c r="E281" s="81">
        <f>VLOOKUP(C281,'Master List'!A:G,5,FALSE)</f>
        <v>75</v>
      </c>
      <c r="F281" s="43">
        <f>VLOOKUP(C281,'2022-002-bottles_csv'!E:L,8,FALSE)</f>
        <v>0.09</v>
      </c>
      <c r="G281" s="218">
        <v>304</v>
      </c>
      <c r="H281" s="218">
        <v>10</v>
      </c>
      <c r="I281" s="218">
        <v>1</v>
      </c>
      <c r="J281" s="252">
        <v>13149.91</v>
      </c>
      <c r="K281" s="252">
        <v>9631.39</v>
      </c>
      <c r="L281" s="252">
        <v>338.28</v>
      </c>
      <c r="M281" s="252">
        <v>338.2</v>
      </c>
      <c r="N281" s="250">
        <f t="shared" si="25"/>
        <v>12811.63</v>
      </c>
      <c r="O281" s="250">
        <f t="shared" si="26"/>
        <v>9293.1899999999987</v>
      </c>
      <c r="P281" s="95">
        <f t="shared" si="27"/>
        <v>0.19228895193661538</v>
      </c>
      <c r="Q281" s="95">
        <f t="shared" si="28"/>
        <v>0.24398789244552271</v>
      </c>
      <c r="R281" s="133">
        <f t="shared" si="29"/>
        <v>1.3786041176388302</v>
      </c>
      <c r="S281" s="221"/>
      <c r="T281" s="85">
        <v>314</v>
      </c>
    </row>
    <row r="282" spans="1:20" s="60" customFormat="1">
      <c r="A282" s="219">
        <v>44749</v>
      </c>
      <c r="B282" s="81" t="str">
        <f>VLOOKUP(C282,'Master List'!A:C,3,FALSE)</f>
        <v>53-135</v>
      </c>
      <c r="C282" s="78">
        <v>460</v>
      </c>
      <c r="D282" s="78" t="s">
        <v>105</v>
      </c>
      <c r="E282" s="81">
        <f>VLOOKUP(C282,'Master List'!A:G,5,FALSE)</f>
        <v>50</v>
      </c>
      <c r="F282" s="43">
        <f>VLOOKUP(C282,'2022-002-bottles_csv'!E:L,8,FALSE)</f>
        <v>0.11</v>
      </c>
      <c r="G282" s="218">
        <v>304</v>
      </c>
      <c r="H282" s="218">
        <v>10</v>
      </c>
      <c r="I282" s="218">
        <v>1</v>
      </c>
      <c r="J282" s="252">
        <v>26720.5</v>
      </c>
      <c r="K282" s="252">
        <v>18372.52</v>
      </c>
      <c r="L282" s="252">
        <v>286.18</v>
      </c>
      <c r="M282" s="252">
        <v>286.97000000000003</v>
      </c>
      <c r="N282" s="250">
        <f t="shared" si="25"/>
        <v>26434.32</v>
      </c>
      <c r="O282" s="250">
        <f t="shared" si="26"/>
        <v>18085.55</v>
      </c>
      <c r="P282" s="95">
        <f t="shared" si="27"/>
        <v>0.45627500632662671</v>
      </c>
      <c r="Q282" s="95">
        <f t="shared" si="28"/>
        <v>0.39276678480380067</v>
      </c>
      <c r="R282" s="133">
        <f t="shared" si="29"/>
        <v>1.4616265471605785</v>
      </c>
      <c r="S282" s="221"/>
      <c r="T282" s="85">
        <v>89</v>
      </c>
    </row>
    <row r="283" spans="1:20" s="60" customFormat="1">
      <c r="A283" s="219">
        <v>44761</v>
      </c>
      <c r="B283" s="81" t="str">
        <f>VLOOKUP(C283,'Master List'!A:C,3,FALSE)</f>
        <v>53-135</v>
      </c>
      <c r="C283" s="78">
        <v>460</v>
      </c>
      <c r="D283" s="78" t="s">
        <v>106</v>
      </c>
      <c r="E283" s="81">
        <f>VLOOKUP(C283,'Master List'!A:G,5,FALSE)</f>
        <v>50</v>
      </c>
      <c r="F283" s="43">
        <f>VLOOKUP(C283,'2022-002-bottles_csv'!E:L,8,FALSE)</f>
        <v>0.11</v>
      </c>
      <c r="G283" s="218">
        <v>304</v>
      </c>
      <c r="H283" s="218">
        <v>10</v>
      </c>
      <c r="I283" s="218">
        <v>1</v>
      </c>
      <c r="J283" s="252">
        <v>23162.7</v>
      </c>
      <c r="K283" s="252">
        <v>15918.45</v>
      </c>
      <c r="L283" s="252">
        <v>334.87</v>
      </c>
      <c r="M283" s="252">
        <v>333.82</v>
      </c>
      <c r="N283" s="250">
        <f t="shared" si="25"/>
        <v>22827.83</v>
      </c>
      <c r="O283" s="250">
        <f t="shared" si="26"/>
        <v>15584.630000000001</v>
      </c>
      <c r="P283" s="95">
        <f t="shared" si="27"/>
        <v>0.39585365578702286</v>
      </c>
      <c r="Q283" s="95">
        <f t="shared" si="28"/>
        <v>0.33578028231853624</v>
      </c>
      <c r="R283" s="133">
        <f t="shared" si="29"/>
        <v>1.4647656055998763</v>
      </c>
      <c r="S283" s="221"/>
      <c r="T283" s="85">
        <v>399</v>
      </c>
    </row>
    <row r="284" spans="1:20" s="60" customFormat="1">
      <c r="A284" s="219">
        <v>44749</v>
      </c>
      <c r="B284" s="81" t="str">
        <f>VLOOKUP(C284,'Master List'!A:C,3,FALSE)</f>
        <v>53-135</v>
      </c>
      <c r="C284" s="78">
        <v>462</v>
      </c>
      <c r="D284" s="78" t="s">
        <v>105</v>
      </c>
      <c r="E284" s="81">
        <f>VLOOKUP(C284,'Master List'!A:G,5,FALSE)</f>
        <v>25</v>
      </c>
      <c r="F284" s="43">
        <f>VLOOKUP(C284,'2022-002-bottles_csv'!E:L,8,FALSE)</f>
        <v>0.1</v>
      </c>
      <c r="G284" s="218">
        <v>304</v>
      </c>
      <c r="H284" s="218">
        <v>10</v>
      </c>
      <c r="I284" s="218">
        <v>1</v>
      </c>
      <c r="J284" s="252">
        <v>22865.03</v>
      </c>
      <c r="K284" s="252">
        <v>15151.53</v>
      </c>
      <c r="L284" s="252">
        <v>286.18</v>
      </c>
      <c r="M284" s="252">
        <v>286.97000000000003</v>
      </c>
      <c r="N284" s="250">
        <f t="shared" si="25"/>
        <v>22578.85</v>
      </c>
      <c r="O284" s="250">
        <f t="shared" si="26"/>
        <v>14864.560000000001</v>
      </c>
      <c r="P284" s="95">
        <f t="shared" si="27"/>
        <v>0.42159955521057968</v>
      </c>
      <c r="Q284" s="95">
        <f t="shared" si="28"/>
        <v>0.27623007378968339</v>
      </c>
      <c r="R284" s="133">
        <f t="shared" si="29"/>
        <v>1.5189719709160578</v>
      </c>
      <c r="S284" s="221"/>
      <c r="T284" s="85">
        <v>93</v>
      </c>
    </row>
    <row r="285" spans="1:20" s="60" customFormat="1">
      <c r="A285" s="219">
        <v>44761</v>
      </c>
      <c r="B285" s="81" t="str">
        <f>VLOOKUP(C285,'Master List'!A:C,3,FALSE)</f>
        <v>53-135</v>
      </c>
      <c r="C285" s="78">
        <v>462</v>
      </c>
      <c r="D285" s="78" t="s">
        <v>106</v>
      </c>
      <c r="E285" s="81">
        <f>VLOOKUP(C285,'Master List'!A:G,5,FALSE)</f>
        <v>25</v>
      </c>
      <c r="F285" s="43">
        <f>VLOOKUP(C285,'2022-002-bottles_csv'!E:L,8,FALSE)</f>
        <v>0.1</v>
      </c>
      <c r="G285" s="218">
        <v>304</v>
      </c>
      <c r="H285" s="218">
        <v>10</v>
      </c>
      <c r="I285" s="218">
        <v>1</v>
      </c>
      <c r="J285" s="252">
        <v>16404.400000000001</v>
      </c>
      <c r="K285" s="252">
        <v>10873.8</v>
      </c>
      <c r="L285" s="252">
        <v>345.92</v>
      </c>
      <c r="M285" s="252">
        <v>349.76</v>
      </c>
      <c r="N285" s="250">
        <f t="shared" si="25"/>
        <v>16058.480000000001</v>
      </c>
      <c r="O285" s="250">
        <f t="shared" si="26"/>
        <v>10524.039999999999</v>
      </c>
      <c r="P285" s="95">
        <f t="shared" si="27"/>
        <v>0.30246690782167157</v>
      </c>
      <c r="Q285" s="95">
        <f t="shared" si="28"/>
        <v>0.19159325465767038</v>
      </c>
      <c r="R285" s="133">
        <f t="shared" si="29"/>
        <v>1.5258854964443316</v>
      </c>
      <c r="S285" s="221"/>
      <c r="T285" s="85">
        <v>338</v>
      </c>
    </row>
    <row r="286" spans="1:20" s="60" customFormat="1">
      <c r="A286" s="219">
        <v>44750</v>
      </c>
      <c r="B286" s="81" t="str">
        <f>VLOOKUP(C286,'Master List'!A:C,3,FALSE)</f>
        <v>53-135</v>
      </c>
      <c r="C286" s="78">
        <v>468</v>
      </c>
      <c r="D286" s="78" t="s">
        <v>105</v>
      </c>
      <c r="E286" s="81">
        <f>VLOOKUP(C286,'Master List'!A:G,5,FALSE)</f>
        <v>5</v>
      </c>
      <c r="F286" s="43">
        <f>VLOOKUP(C286,'2022-002-bottles_csv'!E:L,8,FALSE)</f>
        <v>0.11</v>
      </c>
      <c r="G286" s="218">
        <v>304</v>
      </c>
      <c r="H286" s="218">
        <v>10</v>
      </c>
      <c r="I286" s="218">
        <v>1</v>
      </c>
      <c r="J286" s="252">
        <v>17483.599999999999</v>
      </c>
      <c r="K286" s="252">
        <v>11054.51</v>
      </c>
      <c r="L286" s="252">
        <v>305.14</v>
      </c>
      <c r="M286" s="252">
        <v>306.41000000000003</v>
      </c>
      <c r="N286" s="250">
        <f t="shared" si="25"/>
        <v>17178.46</v>
      </c>
      <c r="O286" s="250">
        <f t="shared" si="26"/>
        <v>10748.1</v>
      </c>
      <c r="P286" s="95">
        <f t="shared" si="27"/>
        <v>0.35143051607392306</v>
      </c>
      <c r="Q286" s="95">
        <f t="shared" si="28"/>
        <v>0.1531483369468005</v>
      </c>
      <c r="R286" s="133">
        <f t="shared" si="29"/>
        <v>1.5982787655492596</v>
      </c>
      <c r="S286" s="221"/>
      <c r="T286" s="85">
        <v>99</v>
      </c>
    </row>
    <row r="287" spans="1:20" s="60" customFormat="1">
      <c r="A287" s="219">
        <v>44757</v>
      </c>
      <c r="B287" s="81" t="str">
        <f>VLOOKUP(C287,'Master List'!A:C,3,FALSE)</f>
        <v>53-135</v>
      </c>
      <c r="C287" s="78">
        <v>468</v>
      </c>
      <c r="D287" s="78" t="s">
        <v>106</v>
      </c>
      <c r="E287" s="81">
        <f>VLOOKUP(C287,'Master List'!A:G,5,FALSE)</f>
        <v>5</v>
      </c>
      <c r="F287" s="43">
        <f>VLOOKUP(C287,'2022-002-bottles_csv'!E:L,8,FALSE)</f>
        <v>0.11</v>
      </c>
      <c r="G287" s="218">
        <v>304</v>
      </c>
      <c r="H287" s="218">
        <v>10</v>
      </c>
      <c r="I287" s="218">
        <v>1</v>
      </c>
      <c r="J287" s="252">
        <v>13751.47</v>
      </c>
      <c r="K287" s="252">
        <v>8634.24</v>
      </c>
      <c r="L287" s="252">
        <v>351.09</v>
      </c>
      <c r="M287" s="252">
        <v>351.83</v>
      </c>
      <c r="N287" s="250">
        <f t="shared" si="25"/>
        <v>13400.38</v>
      </c>
      <c r="O287" s="250">
        <f t="shared" si="26"/>
        <v>8282.41</v>
      </c>
      <c r="P287" s="95">
        <f t="shared" si="27"/>
        <v>0.27970608773861116</v>
      </c>
      <c r="Q287" s="95">
        <f t="shared" si="28"/>
        <v>0.10911881508582945</v>
      </c>
      <c r="R287" s="133">
        <f t="shared" si="29"/>
        <v>1.617932461686876</v>
      </c>
      <c r="S287" s="221"/>
      <c r="T287" s="85">
        <v>281</v>
      </c>
    </row>
    <row r="288" spans="1:20" s="60" customFormat="1">
      <c r="A288" s="219">
        <v>44750</v>
      </c>
      <c r="B288" s="81" t="str">
        <f>VLOOKUP(C288,'Master List'!A:C,3,FALSE)</f>
        <v>55-138</v>
      </c>
      <c r="C288" s="78">
        <v>472</v>
      </c>
      <c r="D288" s="78" t="s">
        <v>105</v>
      </c>
      <c r="E288" s="81">
        <f>VLOOKUP(C288,'Master List'!A:G,5,FALSE)</f>
        <v>150</v>
      </c>
      <c r="F288" s="43">
        <f>VLOOKUP(C288,'2022-002-bottles_csv'!E:L,8,FALSE)</f>
        <v>0.05</v>
      </c>
      <c r="G288" s="218">
        <v>304</v>
      </c>
      <c r="H288" s="218">
        <v>10</v>
      </c>
      <c r="I288" s="218">
        <v>1</v>
      </c>
      <c r="J288" s="252">
        <v>1978.38</v>
      </c>
      <c r="K288" s="252">
        <v>1848.96</v>
      </c>
      <c r="L288" s="252">
        <v>305.14</v>
      </c>
      <c r="M288" s="252">
        <v>306.41000000000003</v>
      </c>
      <c r="N288" s="250">
        <f t="shared" si="25"/>
        <v>1673.2400000000002</v>
      </c>
      <c r="O288" s="250">
        <f t="shared" si="26"/>
        <v>1542.55</v>
      </c>
      <c r="P288" s="95">
        <f t="shared" si="27"/>
        <v>7.1424390151875027E-3</v>
      </c>
      <c r="Q288" s="95">
        <f t="shared" si="28"/>
        <v>6.5273905243529592E-2</v>
      </c>
      <c r="R288" s="133">
        <f t="shared" si="29"/>
        <v>1.0847233477034781</v>
      </c>
      <c r="S288" s="221"/>
      <c r="T288" s="85">
        <v>101</v>
      </c>
    </row>
    <row r="289" spans="1:20" s="60" customFormat="1">
      <c r="A289" s="219">
        <v>44761</v>
      </c>
      <c r="B289" s="81" t="str">
        <f>VLOOKUP(C289,'Master List'!A:C,3,FALSE)</f>
        <v>55-138</v>
      </c>
      <c r="C289" s="78">
        <v>472</v>
      </c>
      <c r="D289" s="78" t="s">
        <v>106</v>
      </c>
      <c r="E289" s="81">
        <f>VLOOKUP(C289,'Master List'!A:G,5,FALSE)</f>
        <v>150</v>
      </c>
      <c r="F289" s="43">
        <f>VLOOKUP(C289,'2022-002-bottles_csv'!E:L,8,FALSE)</f>
        <v>0.05</v>
      </c>
      <c r="G289" s="218">
        <v>304</v>
      </c>
      <c r="H289" s="218">
        <v>10</v>
      </c>
      <c r="I289" s="218">
        <v>1</v>
      </c>
      <c r="J289" s="252">
        <v>1789.1</v>
      </c>
      <c r="K289" s="252">
        <v>1715.6</v>
      </c>
      <c r="L289" s="252">
        <v>334.87</v>
      </c>
      <c r="M289" s="252">
        <v>333.82</v>
      </c>
      <c r="N289" s="250">
        <f t="shared" si="25"/>
        <v>1454.23</v>
      </c>
      <c r="O289" s="250">
        <f t="shared" si="26"/>
        <v>1381.78</v>
      </c>
      <c r="P289" s="95">
        <f t="shared" si="27"/>
        <v>3.9595202896192038E-3</v>
      </c>
      <c r="Q289" s="95">
        <f t="shared" si="28"/>
        <v>6.0909337231893936E-2</v>
      </c>
      <c r="R289" s="133">
        <f t="shared" si="29"/>
        <v>1.0524323698417983</v>
      </c>
      <c r="S289" s="221"/>
      <c r="T289" s="85">
        <v>417</v>
      </c>
    </row>
    <row r="290" spans="1:20" s="60" customFormat="1">
      <c r="A290" s="219">
        <v>44750</v>
      </c>
      <c r="B290" s="81" t="str">
        <f>VLOOKUP(C290,'Master List'!A:C,3,FALSE)</f>
        <v>55-138</v>
      </c>
      <c r="C290" s="78">
        <v>476</v>
      </c>
      <c r="D290" s="78" t="s">
        <v>105</v>
      </c>
      <c r="E290" s="81">
        <f>VLOOKUP(C290,'Master List'!A:G,5,FALSE)</f>
        <v>100</v>
      </c>
      <c r="F290" s="43">
        <f>VLOOKUP(C290,'2022-002-bottles_csv'!E:L,8,FALSE)</f>
        <v>0.05</v>
      </c>
      <c r="G290" s="218">
        <v>304</v>
      </c>
      <c r="H290" s="218">
        <v>10</v>
      </c>
      <c r="I290" s="218">
        <v>1</v>
      </c>
      <c r="J290" s="252">
        <v>3132.5</v>
      </c>
      <c r="K290" s="252">
        <v>2724.75</v>
      </c>
      <c r="L290" s="252">
        <v>305.14</v>
      </c>
      <c r="M290" s="252">
        <v>306.41000000000003</v>
      </c>
      <c r="N290" s="250">
        <f t="shared" si="25"/>
        <v>2827.36</v>
      </c>
      <c r="O290" s="250">
        <f t="shared" si="26"/>
        <v>2418.34</v>
      </c>
      <c r="P290" s="95">
        <f t="shared" si="27"/>
        <v>2.2353664442512709E-2</v>
      </c>
      <c r="Q290" s="95">
        <f t="shared" si="28"/>
        <v>9.1177399039789886E-2</v>
      </c>
      <c r="R290" s="133">
        <f t="shared" si="29"/>
        <v>1.1691325454650712</v>
      </c>
      <c r="S290" s="221"/>
      <c r="T290" s="85">
        <v>103</v>
      </c>
    </row>
    <row r="291" spans="1:20" s="60" customFormat="1">
      <c r="A291" s="219">
        <v>44756</v>
      </c>
      <c r="B291" s="81" t="str">
        <f>VLOOKUP(C291,'Master List'!A:C,3,FALSE)</f>
        <v>55-138</v>
      </c>
      <c r="C291" s="78">
        <v>476</v>
      </c>
      <c r="D291" s="78" t="s">
        <v>106</v>
      </c>
      <c r="E291" s="81">
        <f>VLOOKUP(C291,'Master List'!A:G,5,FALSE)</f>
        <v>100</v>
      </c>
      <c r="F291" s="43">
        <f>VLOOKUP(C291,'2022-002-bottles_csv'!E:L,8,FALSE)</f>
        <v>0.05</v>
      </c>
      <c r="G291" s="218">
        <v>304</v>
      </c>
      <c r="H291" s="218">
        <v>10</v>
      </c>
      <c r="I291" s="218">
        <v>1</v>
      </c>
      <c r="J291" s="252">
        <v>3408.91</v>
      </c>
      <c r="K291" s="252">
        <v>3146.23</v>
      </c>
      <c r="L291" s="252">
        <v>332.16</v>
      </c>
      <c r="M291" s="252">
        <v>344.15</v>
      </c>
      <c r="N291" s="250">
        <f t="shared" si="25"/>
        <v>3076.75</v>
      </c>
      <c r="O291" s="250">
        <f t="shared" si="26"/>
        <v>2802.08</v>
      </c>
      <c r="P291" s="95">
        <f t="shared" si="27"/>
        <v>1.5011199971700572E-2</v>
      </c>
      <c r="Q291" s="95">
        <f t="shared" si="28"/>
        <v>0.11653486979619414</v>
      </c>
      <c r="R291" s="133">
        <f t="shared" si="29"/>
        <v>1.0980236110318049</v>
      </c>
      <c r="S291" s="221"/>
      <c r="T291" s="85">
        <v>258</v>
      </c>
    </row>
    <row r="292" spans="1:20" s="60" customFormat="1">
      <c r="A292" s="219">
        <v>44750</v>
      </c>
      <c r="B292" s="81" t="str">
        <f>VLOOKUP(C292,'Master List'!A:C,3,FALSE)</f>
        <v>55-138</v>
      </c>
      <c r="C292" s="78">
        <v>477</v>
      </c>
      <c r="D292" s="78" t="s">
        <v>105</v>
      </c>
      <c r="E292" s="81">
        <f>VLOOKUP(C292,'Master List'!A:G,5,FALSE)</f>
        <v>75</v>
      </c>
      <c r="F292" s="43">
        <f>VLOOKUP(C292,'2022-002-bottles_csv'!E:L,8,FALSE)</f>
        <v>7.0000000000000007E-2</v>
      </c>
      <c r="G292" s="218">
        <v>304</v>
      </c>
      <c r="H292" s="218">
        <v>10</v>
      </c>
      <c r="I292" s="218">
        <v>1</v>
      </c>
      <c r="J292" s="252">
        <v>6223.21</v>
      </c>
      <c r="K292" s="252">
        <v>4765.66</v>
      </c>
      <c r="L292" s="252">
        <v>305.14</v>
      </c>
      <c r="M292" s="252">
        <v>306.41000000000003</v>
      </c>
      <c r="N292" s="250">
        <f t="shared" si="25"/>
        <v>5918.07</v>
      </c>
      <c r="O292" s="250">
        <f t="shared" si="26"/>
        <v>4459.25</v>
      </c>
      <c r="P292" s="95">
        <f t="shared" si="27"/>
        <v>7.9727086113213011E-2</v>
      </c>
      <c r="Q292" s="95">
        <f t="shared" si="28"/>
        <v>0.12961626297478038</v>
      </c>
      <c r="R292" s="133">
        <f t="shared" si="29"/>
        <v>1.327144699220721</v>
      </c>
      <c r="S292" s="221"/>
      <c r="T292" s="85">
        <v>106</v>
      </c>
    </row>
    <row r="293" spans="1:20" s="60" customFormat="1">
      <c r="A293" s="219">
        <v>44761</v>
      </c>
      <c r="B293" s="81" t="str">
        <f>VLOOKUP(C293,'Master List'!A:C,3,FALSE)</f>
        <v>55-138</v>
      </c>
      <c r="C293" s="78">
        <v>477</v>
      </c>
      <c r="D293" s="78" t="s">
        <v>106</v>
      </c>
      <c r="E293" s="81">
        <f>VLOOKUP(C293,'Master List'!A:G,5,FALSE)</f>
        <v>75</v>
      </c>
      <c r="F293" s="43">
        <f>VLOOKUP(C293,'2022-002-bottles_csv'!E:L,8,FALSE)</f>
        <v>7.0000000000000007E-2</v>
      </c>
      <c r="G293" s="218">
        <v>304</v>
      </c>
      <c r="H293" s="218">
        <v>10</v>
      </c>
      <c r="I293" s="218">
        <v>1</v>
      </c>
      <c r="J293" s="252">
        <v>7325.38</v>
      </c>
      <c r="K293" s="252">
        <v>6495.13</v>
      </c>
      <c r="L293" s="252">
        <v>362.04</v>
      </c>
      <c r="M293" s="252">
        <v>363.93</v>
      </c>
      <c r="N293" s="250">
        <f t="shared" si="25"/>
        <v>6963.34</v>
      </c>
      <c r="O293" s="250">
        <f t="shared" si="26"/>
        <v>6131.2</v>
      </c>
      <c r="P293" s="95">
        <f t="shared" si="27"/>
        <v>4.5477918755054851E-2</v>
      </c>
      <c r="Q293" s="95">
        <f t="shared" si="28"/>
        <v>0.24235656953968193</v>
      </c>
      <c r="R293" s="133">
        <f t="shared" si="29"/>
        <v>1.135722207724426</v>
      </c>
      <c r="S293" s="221"/>
      <c r="T293" s="85">
        <v>365</v>
      </c>
    </row>
    <row r="294" spans="1:20" s="60" customFormat="1">
      <c r="A294" s="219">
        <v>44750</v>
      </c>
      <c r="B294" s="81" t="str">
        <f>VLOOKUP(C294,'Master List'!A:C,3,FALSE)</f>
        <v>55-138</v>
      </c>
      <c r="C294" s="78">
        <v>480</v>
      </c>
      <c r="D294" s="78" t="s">
        <v>105</v>
      </c>
      <c r="E294" s="81">
        <f>VLOOKUP(C294,'Master List'!A:G,5,FALSE)</f>
        <v>50</v>
      </c>
      <c r="F294" s="43">
        <f>VLOOKUP(C294,'2022-002-bottles_csv'!E:L,8,FALSE)</f>
        <v>0.09</v>
      </c>
      <c r="G294" s="218">
        <v>304</v>
      </c>
      <c r="H294" s="218">
        <v>10</v>
      </c>
      <c r="I294" s="218">
        <v>1</v>
      </c>
      <c r="J294" s="252">
        <v>11805.44</v>
      </c>
      <c r="K294" s="252">
        <v>9118.65</v>
      </c>
      <c r="L294" s="252">
        <v>305.14</v>
      </c>
      <c r="M294" s="252">
        <v>306.41000000000003</v>
      </c>
      <c r="N294" s="250">
        <f t="shared" si="25"/>
        <v>11500.300000000001</v>
      </c>
      <c r="O294" s="250">
        <f t="shared" si="26"/>
        <v>8812.24</v>
      </c>
      <c r="P294" s="95">
        <f t="shared" si="27"/>
        <v>0.14690722028590469</v>
      </c>
      <c r="Q294" s="95">
        <f t="shared" si="28"/>
        <v>0.26679101026120045</v>
      </c>
      <c r="R294" s="133">
        <f t="shared" si="29"/>
        <v>1.305037084782076</v>
      </c>
      <c r="S294" s="221"/>
      <c r="T294" s="85">
        <v>108</v>
      </c>
    </row>
    <row r="295" spans="1:20">
      <c r="A295" s="219">
        <v>44761</v>
      </c>
      <c r="B295" s="81" t="str">
        <f>VLOOKUP(C295,'Master List'!A:C,3,FALSE)</f>
        <v>55-138</v>
      </c>
      <c r="C295" s="88">
        <v>480</v>
      </c>
      <c r="D295" s="88" t="s">
        <v>106</v>
      </c>
      <c r="E295" s="81">
        <f>VLOOKUP(C295,'Master List'!A:G,5,FALSE)</f>
        <v>50</v>
      </c>
      <c r="F295" s="43">
        <f>VLOOKUP(C295,'2022-002-bottles_csv'!E:L,8,FALSE)</f>
        <v>0.09</v>
      </c>
      <c r="G295" s="218">
        <v>304</v>
      </c>
      <c r="H295" s="218">
        <v>10</v>
      </c>
      <c r="I295" s="218">
        <v>1</v>
      </c>
      <c r="J295" s="252">
        <v>11535.95</v>
      </c>
      <c r="K295" s="252">
        <v>8887.0400000000009</v>
      </c>
      <c r="L295" s="252">
        <v>334.87</v>
      </c>
      <c r="M295" s="252">
        <v>333.82</v>
      </c>
      <c r="N295" s="250">
        <f t="shared" si="25"/>
        <v>11201.08</v>
      </c>
      <c r="O295" s="250">
        <f t="shared" si="26"/>
        <v>8553.2200000000012</v>
      </c>
      <c r="P295" s="95">
        <f t="shared" si="27"/>
        <v>0.14471021937986328</v>
      </c>
      <c r="Q295" s="95">
        <f t="shared" si="28"/>
        <v>0.25682809318086036</v>
      </c>
      <c r="R295" s="133">
        <f t="shared" si="29"/>
        <v>1.309574639726325</v>
      </c>
      <c r="T295" s="83">
        <v>407</v>
      </c>
    </row>
    <row r="296" spans="1:20">
      <c r="A296" s="219">
        <v>44750</v>
      </c>
      <c r="B296" s="81" t="str">
        <f>VLOOKUP(C296,'Master List'!A:C,3,FALSE)</f>
        <v>55-138</v>
      </c>
      <c r="C296" s="88">
        <v>482</v>
      </c>
      <c r="D296" s="88" t="s">
        <v>105</v>
      </c>
      <c r="E296" s="81">
        <f>VLOOKUP(C296,'Master List'!A:G,5,FALSE)</f>
        <v>25</v>
      </c>
      <c r="F296" s="43">
        <f>VLOOKUP(C296,'2022-002-bottles_csv'!E:L,8,FALSE)</f>
        <v>0.13</v>
      </c>
      <c r="G296" s="218">
        <v>304</v>
      </c>
      <c r="H296" s="218">
        <v>10</v>
      </c>
      <c r="I296" s="218">
        <v>1</v>
      </c>
      <c r="J296" s="253">
        <v>31511.360000000001</v>
      </c>
      <c r="K296" s="253">
        <v>20155.169999999998</v>
      </c>
      <c r="L296" s="253">
        <v>305.14</v>
      </c>
      <c r="M296" s="253">
        <v>306.41000000000003</v>
      </c>
      <c r="N296" s="250">
        <f t="shared" si="25"/>
        <v>31206.22</v>
      </c>
      <c r="O296" s="250">
        <f t="shared" si="26"/>
        <v>19848.759999999998</v>
      </c>
      <c r="P296" s="95">
        <f t="shared" si="27"/>
        <v>0.6207052216499449</v>
      </c>
      <c r="Q296" s="95">
        <f t="shared" si="28"/>
        <v>0.31111198833913384</v>
      </c>
      <c r="R296" s="133">
        <f t="shared" si="29"/>
        <v>1.5721999762201773</v>
      </c>
      <c r="T296" s="83">
        <v>110</v>
      </c>
    </row>
    <row r="297" spans="1:20">
      <c r="A297" s="219">
        <v>44757</v>
      </c>
      <c r="B297" s="81" t="str">
        <f>VLOOKUP(C297,'Master List'!A:C,3,FALSE)</f>
        <v>55-138</v>
      </c>
      <c r="C297" s="88">
        <v>482</v>
      </c>
      <c r="D297" s="88" t="s">
        <v>106</v>
      </c>
      <c r="E297" s="81">
        <f>VLOOKUP(C297,'Master List'!A:G,5,FALSE)</f>
        <v>25</v>
      </c>
      <c r="F297" s="43">
        <f>VLOOKUP(C297,'2022-002-bottles_csv'!E:L,8,FALSE)</f>
        <v>0.13</v>
      </c>
      <c r="G297" s="218">
        <v>304</v>
      </c>
      <c r="H297" s="218">
        <v>10</v>
      </c>
      <c r="I297" s="218">
        <v>1</v>
      </c>
      <c r="J297" s="253">
        <v>30171.35</v>
      </c>
      <c r="K297" s="253">
        <v>19499.54</v>
      </c>
      <c r="L297" s="253">
        <v>338.28</v>
      </c>
      <c r="M297" s="253">
        <v>338.2</v>
      </c>
      <c r="N297" s="250">
        <f t="shared" si="25"/>
        <v>29833.07</v>
      </c>
      <c r="O297" s="250">
        <f t="shared" si="26"/>
        <v>19161.34</v>
      </c>
      <c r="P297" s="95">
        <f t="shared" si="27"/>
        <v>0.58322886763751436</v>
      </c>
      <c r="Q297" s="95">
        <f t="shared" si="28"/>
        <v>0.31631681574281451</v>
      </c>
      <c r="R297" s="133">
        <f t="shared" si="29"/>
        <v>1.55694069412682</v>
      </c>
      <c r="T297" s="83">
        <v>328</v>
      </c>
    </row>
    <row r="298" spans="1:20">
      <c r="A298" s="219">
        <v>44750</v>
      </c>
      <c r="B298" s="81" t="str">
        <f>VLOOKUP(C298,'Master List'!A:C,3,FALSE)</f>
        <v>55-138</v>
      </c>
      <c r="C298" s="88">
        <v>488</v>
      </c>
      <c r="D298" s="88" t="s">
        <v>105</v>
      </c>
      <c r="E298" s="81">
        <f>VLOOKUP(C298,'Master List'!A:G,5,FALSE)</f>
        <v>5</v>
      </c>
      <c r="F298" s="43">
        <f>VLOOKUP(C298,'2022-002-bottles_csv'!E:L,8,FALSE)</f>
        <v>0.14000000000000001</v>
      </c>
      <c r="G298" s="218">
        <v>304</v>
      </c>
      <c r="H298" s="218">
        <v>10</v>
      </c>
      <c r="I298" s="218">
        <v>1</v>
      </c>
      <c r="J298" s="253">
        <v>37324.74</v>
      </c>
      <c r="K298" s="253">
        <v>23635.61</v>
      </c>
      <c r="L298" s="253">
        <v>305.14</v>
      </c>
      <c r="M298" s="253">
        <v>306.41000000000003</v>
      </c>
      <c r="N298" s="250">
        <f t="shared" si="25"/>
        <v>37019.599999999999</v>
      </c>
      <c r="O298" s="250">
        <f t="shared" si="26"/>
        <v>23329.200000000001</v>
      </c>
      <c r="P298" s="95">
        <f t="shared" si="27"/>
        <v>0.74820450756387458</v>
      </c>
      <c r="Q298" s="95">
        <f t="shared" si="28"/>
        <v>0.34700496926375674</v>
      </c>
      <c r="R298" s="133">
        <f t="shared" si="29"/>
        <v>1.5868353822677159</v>
      </c>
      <c r="T298" s="83">
        <v>105</v>
      </c>
    </row>
    <row r="299" spans="1:20">
      <c r="A299" s="219">
        <v>44761</v>
      </c>
      <c r="B299" s="81" t="str">
        <f>VLOOKUP(C299,'Master List'!A:C,3,FALSE)</f>
        <v>55-138</v>
      </c>
      <c r="C299" s="88">
        <v>488</v>
      </c>
      <c r="D299" s="88" t="s">
        <v>106</v>
      </c>
      <c r="E299" s="81">
        <f>VLOOKUP(C299,'Master List'!A:G,5,FALSE)</f>
        <v>5</v>
      </c>
      <c r="F299" s="43">
        <f>VLOOKUP(C299,'2022-002-bottles_csv'!E:L,8,FALSE)</f>
        <v>0.14000000000000001</v>
      </c>
      <c r="G299" s="218">
        <v>304</v>
      </c>
      <c r="H299" s="218">
        <v>10</v>
      </c>
      <c r="I299" s="218">
        <v>1</v>
      </c>
      <c r="J299" s="253">
        <v>34220.300000000003</v>
      </c>
      <c r="K299" s="253">
        <v>21356.400000000001</v>
      </c>
      <c r="L299" s="253">
        <v>334.87</v>
      </c>
      <c r="M299" s="253">
        <v>333.82</v>
      </c>
      <c r="N299" s="250">
        <f t="shared" si="25"/>
        <v>33885.43</v>
      </c>
      <c r="O299" s="250">
        <f t="shared" si="26"/>
        <v>21022.58</v>
      </c>
      <c r="P299" s="95">
        <f t="shared" si="27"/>
        <v>0.70297744040480792</v>
      </c>
      <c r="Q299" s="95">
        <f t="shared" si="28"/>
        <v>0.28394576499302093</v>
      </c>
      <c r="R299" s="133">
        <f t="shared" si="29"/>
        <v>1.6118587728052407</v>
      </c>
      <c r="T299" s="83">
        <v>410</v>
      </c>
    </row>
    <row r="300" spans="1:20">
      <c r="A300" s="219">
        <v>44750</v>
      </c>
      <c r="B300" s="81" t="str">
        <f>VLOOKUP(C300,'Master List'!A:C,3,FALSE)</f>
        <v>54-138</v>
      </c>
      <c r="C300" s="88">
        <v>493</v>
      </c>
      <c r="D300" s="88" t="s">
        <v>105</v>
      </c>
      <c r="E300" s="81">
        <f>VLOOKUP(C300,'Master List'!A:G,5,FALSE)</f>
        <v>150</v>
      </c>
      <c r="F300" s="43">
        <f>VLOOKUP(C300,'2022-002-bottles_csv'!E:L,8,FALSE)</f>
        <v>0.05</v>
      </c>
      <c r="G300" s="218">
        <v>304</v>
      </c>
      <c r="H300" s="218">
        <v>10</v>
      </c>
      <c r="I300" s="218">
        <v>1</v>
      </c>
      <c r="J300" s="253">
        <v>2151.81</v>
      </c>
      <c r="K300" s="253">
        <v>1979.93</v>
      </c>
      <c r="L300" s="253">
        <v>305.14</v>
      </c>
      <c r="M300" s="253">
        <v>306.41000000000003</v>
      </c>
      <c r="N300" s="250">
        <f t="shared" si="25"/>
        <v>1846.67</v>
      </c>
      <c r="O300" s="250">
        <f t="shared" si="26"/>
        <v>1673.52</v>
      </c>
      <c r="P300" s="95">
        <f t="shared" si="27"/>
        <v>9.4629529074888204E-3</v>
      </c>
      <c r="Q300" s="95">
        <f t="shared" si="28"/>
        <v>6.9101891307511168E-2</v>
      </c>
      <c r="R300" s="133">
        <f t="shared" si="29"/>
        <v>1.1034645537549597</v>
      </c>
      <c r="T300" s="83">
        <v>104</v>
      </c>
    </row>
    <row r="301" spans="1:20">
      <c r="A301" s="219">
        <v>44756</v>
      </c>
      <c r="B301" s="81" t="str">
        <f>VLOOKUP(C301,'Master List'!A:C,3,FALSE)</f>
        <v>54-138</v>
      </c>
      <c r="C301" s="88">
        <v>493</v>
      </c>
      <c r="D301" s="88" t="s">
        <v>106</v>
      </c>
      <c r="E301" s="81">
        <f>VLOOKUP(C301,'Master List'!A:G,5,FALSE)</f>
        <v>150</v>
      </c>
      <c r="F301" s="43">
        <f>VLOOKUP(C301,'2022-002-bottles_csv'!E:L,8,FALSE)</f>
        <v>0.05</v>
      </c>
      <c r="G301" s="218">
        <v>304</v>
      </c>
      <c r="H301" s="218">
        <v>10</v>
      </c>
      <c r="I301" s="218">
        <v>1</v>
      </c>
      <c r="J301" s="253">
        <v>1707.4</v>
      </c>
      <c r="K301" s="253">
        <v>1548.76</v>
      </c>
      <c r="L301" s="253">
        <v>332.16</v>
      </c>
      <c r="M301" s="253">
        <v>344.15</v>
      </c>
      <c r="N301" s="250">
        <f t="shared" si="25"/>
        <v>1375.24</v>
      </c>
      <c r="O301" s="250">
        <f t="shared" si="26"/>
        <v>1204.6100000000001</v>
      </c>
      <c r="P301" s="95">
        <f t="shared" si="27"/>
        <v>9.3252304626324899E-3</v>
      </c>
      <c r="Q301" s="95">
        <f t="shared" si="28"/>
        <v>4.7226228133518816E-2</v>
      </c>
      <c r="R301" s="133">
        <f t="shared" si="29"/>
        <v>1.1416475041714744</v>
      </c>
      <c r="T301" s="83">
        <v>257</v>
      </c>
    </row>
    <row r="302" spans="1:20">
      <c r="A302" s="219">
        <v>44750</v>
      </c>
      <c r="B302" s="81" t="str">
        <f>VLOOKUP(C302,'Master List'!A:C,3,FALSE)</f>
        <v>54-138</v>
      </c>
      <c r="C302" s="88">
        <v>497</v>
      </c>
      <c r="D302" s="88" t="s">
        <v>105</v>
      </c>
      <c r="E302" s="81">
        <f>VLOOKUP(C302,'Master List'!A:G,5,FALSE)</f>
        <v>100</v>
      </c>
      <c r="F302" s="43">
        <f>VLOOKUP(C302,'2022-002-bottles_csv'!E:L,8,FALSE)</f>
        <v>7.0000000000000007E-2</v>
      </c>
      <c r="G302" s="218">
        <v>304</v>
      </c>
      <c r="H302" s="218">
        <v>10</v>
      </c>
      <c r="I302" s="218">
        <v>1</v>
      </c>
      <c r="J302" s="253">
        <v>10253.719999999999</v>
      </c>
      <c r="K302" s="253">
        <v>8086.33</v>
      </c>
      <c r="L302" s="253">
        <v>305.14</v>
      </c>
      <c r="M302" s="253">
        <v>306.41000000000003</v>
      </c>
      <c r="N302" s="250">
        <f t="shared" si="25"/>
        <v>9948.58</v>
      </c>
      <c r="O302" s="250">
        <f t="shared" si="26"/>
        <v>7779.92</v>
      </c>
      <c r="P302" s="95">
        <f t="shared" si="27"/>
        <v>0.11852109415162977</v>
      </c>
      <c r="Q302" s="95">
        <f t="shared" si="28"/>
        <v>0.2467139809028438</v>
      </c>
      <c r="R302" s="133">
        <f t="shared" si="29"/>
        <v>1.2787509383129902</v>
      </c>
      <c r="T302" s="83">
        <v>107</v>
      </c>
    </row>
    <row r="303" spans="1:20">
      <c r="A303" s="219">
        <v>44757</v>
      </c>
      <c r="B303" s="81" t="str">
        <f>VLOOKUP(C303,'Master List'!A:C,3,FALSE)</f>
        <v>54-138</v>
      </c>
      <c r="C303" s="88">
        <v>497</v>
      </c>
      <c r="D303" s="88" t="s">
        <v>106</v>
      </c>
      <c r="E303" s="81">
        <f>VLOOKUP(C303,'Master List'!A:G,5,FALSE)</f>
        <v>100</v>
      </c>
      <c r="F303" s="43">
        <f>VLOOKUP(C303,'2022-002-bottles_csv'!E:L,8,FALSE)</f>
        <v>7.0000000000000007E-2</v>
      </c>
      <c r="G303" s="218">
        <v>304</v>
      </c>
      <c r="H303" s="218">
        <v>10</v>
      </c>
      <c r="I303" s="218">
        <v>1</v>
      </c>
      <c r="J303" s="253">
        <v>9949.7199999999993</v>
      </c>
      <c r="K303" s="253">
        <v>7653.56</v>
      </c>
      <c r="L303" s="253">
        <v>338.28</v>
      </c>
      <c r="M303" s="253">
        <v>338.2</v>
      </c>
      <c r="N303" s="250">
        <f t="shared" si="25"/>
        <v>9611.4399999999987</v>
      </c>
      <c r="O303" s="250">
        <f t="shared" si="26"/>
        <v>7315.3600000000006</v>
      </c>
      <c r="P303" s="95">
        <f t="shared" si="27"/>
        <v>0.12548482189908694</v>
      </c>
      <c r="Q303" s="95">
        <f t="shared" si="28"/>
        <v>0.21794108204986035</v>
      </c>
      <c r="R303" s="133">
        <f t="shared" si="29"/>
        <v>1.3138710876839961</v>
      </c>
      <c r="T303" s="83">
        <v>318</v>
      </c>
    </row>
    <row r="304" spans="1:20">
      <c r="A304" s="219">
        <v>44750</v>
      </c>
      <c r="B304" s="81" t="str">
        <f>VLOOKUP(C304,'Master List'!A:C,3,FALSE)</f>
        <v>54-138</v>
      </c>
      <c r="C304" s="88">
        <v>498</v>
      </c>
      <c r="D304" s="88" t="s">
        <v>105</v>
      </c>
      <c r="E304" s="81">
        <f>VLOOKUP(C304,'Master List'!A:G,5,FALSE)</f>
        <v>75</v>
      </c>
      <c r="F304" s="43">
        <f>VLOOKUP(C304,'2022-002-bottles_csv'!E:L,8,FALSE)</f>
        <v>0.09</v>
      </c>
      <c r="G304" s="218">
        <v>304</v>
      </c>
      <c r="H304" s="218">
        <v>10</v>
      </c>
      <c r="I304" s="218">
        <v>1</v>
      </c>
      <c r="J304" s="253">
        <v>17776.240000000002</v>
      </c>
      <c r="K304" s="253">
        <v>13539.62</v>
      </c>
      <c r="L304" s="253">
        <v>305.14</v>
      </c>
      <c r="M304" s="253">
        <v>306.41000000000003</v>
      </c>
      <c r="N304" s="250">
        <f t="shared" si="25"/>
        <v>17471.100000000002</v>
      </c>
      <c r="O304" s="250">
        <f t="shared" si="26"/>
        <v>13233.210000000001</v>
      </c>
      <c r="P304" s="95">
        <f t="shared" si="27"/>
        <v>0.23160816342545651</v>
      </c>
      <c r="Q304" s="95">
        <f t="shared" si="28"/>
        <v>0.38963632849240526</v>
      </c>
      <c r="R304" s="133">
        <f t="shared" si="29"/>
        <v>1.320246561491883</v>
      </c>
      <c r="T304" s="83">
        <v>112</v>
      </c>
    </row>
    <row r="305" spans="1:20">
      <c r="A305" s="219">
        <v>44757</v>
      </c>
      <c r="B305" s="81" t="str">
        <f>VLOOKUP(C305,'Master List'!A:C,3,FALSE)</f>
        <v>54-138</v>
      </c>
      <c r="C305" s="88">
        <v>498</v>
      </c>
      <c r="D305" s="88" t="s">
        <v>106</v>
      </c>
      <c r="E305" s="81">
        <f>VLOOKUP(C305,'Master List'!A:G,5,FALSE)</f>
        <v>75</v>
      </c>
      <c r="F305" s="43">
        <f>VLOOKUP(C305,'2022-002-bottles_csv'!E:L,8,FALSE)</f>
        <v>0.09</v>
      </c>
      <c r="G305" s="218">
        <v>304</v>
      </c>
      <c r="H305" s="218">
        <v>10</v>
      </c>
      <c r="I305" s="218">
        <v>1</v>
      </c>
      <c r="J305" s="253">
        <v>17261.939999999999</v>
      </c>
      <c r="K305" s="253">
        <v>13012.35</v>
      </c>
      <c r="L305" s="253">
        <v>351.09</v>
      </c>
      <c r="M305" s="253">
        <v>351.83</v>
      </c>
      <c r="N305" s="250">
        <f t="shared" si="25"/>
        <v>16910.849999999999</v>
      </c>
      <c r="O305" s="250">
        <f t="shared" si="26"/>
        <v>12660.52</v>
      </c>
      <c r="P305" s="95">
        <f t="shared" si="27"/>
        <v>0.23228803136752482</v>
      </c>
      <c r="Q305" s="95">
        <f t="shared" si="28"/>
        <v>0.36207103304813293</v>
      </c>
      <c r="R305" s="133">
        <f t="shared" si="29"/>
        <v>1.335715278677337</v>
      </c>
      <c r="T305" s="83">
        <v>276</v>
      </c>
    </row>
    <row r="306" spans="1:20">
      <c r="A306" s="219">
        <v>44750</v>
      </c>
      <c r="B306" s="81" t="str">
        <f>VLOOKUP(C306,'Master List'!A:C,3,FALSE)</f>
        <v>54-138</v>
      </c>
      <c r="C306" s="88">
        <v>501</v>
      </c>
      <c r="D306" s="88" t="s">
        <v>105</v>
      </c>
      <c r="E306" s="81">
        <f>VLOOKUP(C306,'Master List'!A:G,5,FALSE)</f>
        <v>50</v>
      </c>
      <c r="F306" s="43">
        <f>VLOOKUP(C306,'2022-002-bottles_csv'!E:L,8,FALSE)</f>
        <v>0.11</v>
      </c>
      <c r="G306" s="218">
        <v>304</v>
      </c>
      <c r="H306" s="218">
        <v>10</v>
      </c>
      <c r="I306" s="218">
        <v>1</v>
      </c>
      <c r="J306" s="253">
        <v>24707.05</v>
      </c>
      <c r="K306" s="253">
        <v>17049.05</v>
      </c>
      <c r="L306" s="253">
        <v>305.14</v>
      </c>
      <c r="M306" s="253">
        <v>306.41000000000003</v>
      </c>
      <c r="N306" s="250">
        <f t="shared" si="25"/>
        <v>24401.91</v>
      </c>
      <c r="O306" s="250">
        <f t="shared" si="26"/>
        <v>16742.64</v>
      </c>
      <c r="P306" s="95">
        <f t="shared" si="27"/>
        <v>0.41859261516455026</v>
      </c>
      <c r="Q306" s="95">
        <f t="shared" si="28"/>
        <v>0.36740510422202854</v>
      </c>
      <c r="R306" s="133">
        <f t="shared" si="29"/>
        <v>1.4574708648098509</v>
      </c>
      <c r="T306" s="83">
        <v>98</v>
      </c>
    </row>
    <row r="307" spans="1:20">
      <c r="A307" s="219">
        <v>44756</v>
      </c>
      <c r="B307" s="81" t="str">
        <f>VLOOKUP(C307,'Master List'!A:C,3,FALSE)</f>
        <v>54-138</v>
      </c>
      <c r="C307" s="88">
        <v>501</v>
      </c>
      <c r="D307" s="88" t="s">
        <v>106</v>
      </c>
      <c r="E307" s="81">
        <f>VLOOKUP(C307,'Master List'!A:G,5,FALSE)</f>
        <v>50</v>
      </c>
      <c r="F307" s="43">
        <f>VLOOKUP(C307,'2022-002-bottles_csv'!E:L,8,FALSE)</f>
        <v>0.11</v>
      </c>
      <c r="G307" s="218">
        <v>304</v>
      </c>
      <c r="H307" s="218">
        <v>10</v>
      </c>
      <c r="I307" s="218">
        <v>1</v>
      </c>
      <c r="J307" s="253">
        <v>23237.29</v>
      </c>
      <c r="K307" s="253">
        <v>15997.51</v>
      </c>
      <c r="L307" s="253">
        <v>332.16</v>
      </c>
      <c r="M307" s="253">
        <v>344.15</v>
      </c>
      <c r="N307" s="250">
        <f t="shared" si="25"/>
        <v>22905.13</v>
      </c>
      <c r="O307" s="250">
        <f t="shared" si="26"/>
        <v>15653.36</v>
      </c>
      <c r="P307" s="95">
        <f t="shared" si="27"/>
        <v>0.39632202140306194</v>
      </c>
      <c r="Q307" s="95">
        <f t="shared" si="28"/>
        <v>0.33853850601299068</v>
      </c>
      <c r="R307" s="133">
        <f t="shared" si="29"/>
        <v>1.4632724220231312</v>
      </c>
      <c r="T307" s="83">
        <v>250</v>
      </c>
    </row>
    <row r="308" spans="1:20">
      <c r="A308" s="219">
        <v>44750</v>
      </c>
      <c r="B308" s="81" t="str">
        <f>VLOOKUP(C308,'Master List'!A:C,3,FALSE)</f>
        <v>54-138</v>
      </c>
      <c r="C308" s="88">
        <v>503</v>
      </c>
      <c r="D308" s="88" t="s">
        <v>105</v>
      </c>
      <c r="E308" s="81">
        <f>VLOOKUP(C308,'Master List'!A:G,5,FALSE)</f>
        <v>25</v>
      </c>
      <c r="F308" s="43">
        <f>VLOOKUP(C308,'2022-002-bottles_csv'!E:L,8,FALSE)</f>
        <v>0.12</v>
      </c>
      <c r="G308" s="218">
        <v>304</v>
      </c>
      <c r="H308" s="218">
        <v>10</v>
      </c>
      <c r="I308" s="218">
        <v>1</v>
      </c>
      <c r="J308" s="253">
        <v>33934.879999999997</v>
      </c>
      <c r="K308" s="253">
        <v>22569.32</v>
      </c>
      <c r="L308" s="253">
        <v>305.14</v>
      </c>
      <c r="M308" s="253">
        <v>306.41000000000003</v>
      </c>
      <c r="N308" s="250">
        <f t="shared" si="25"/>
        <v>33629.74</v>
      </c>
      <c r="O308" s="250">
        <f t="shared" si="26"/>
        <v>22262.91</v>
      </c>
      <c r="P308" s="95">
        <f t="shared" si="27"/>
        <v>0.62121730867704927</v>
      </c>
      <c r="Q308" s="95">
        <f t="shared" si="28"/>
        <v>0.4239342616194306</v>
      </c>
      <c r="R308" s="133">
        <f t="shared" si="29"/>
        <v>1.5105725172495419</v>
      </c>
      <c r="T308" s="83">
        <v>100</v>
      </c>
    </row>
    <row r="309" spans="1:20">
      <c r="A309" s="219">
        <v>44761</v>
      </c>
      <c r="B309" s="81" t="str">
        <f>VLOOKUP(C309,'Master List'!A:C,3,FALSE)</f>
        <v>54-138</v>
      </c>
      <c r="C309" s="88">
        <v>503</v>
      </c>
      <c r="D309" s="88" t="s">
        <v>106</v>
      </c>
      <c r="E309" s="81">
        <f>VLOOKUP(C309,'Master List'!A:G,5,FALSE)</f>
        <v>25</v>
      </c>
      <c r="F309" s="43">
        <f>VLOOKUP(C309,'2022-002-bottles_csv'!E:L,8,FALSE)</f>
        <v>0.12</v>
      </c>
      <c r="G309" s="218">
        <v>304</v>
      </c>
      <c r="H309" s="218">
        <v>10</v>
      </c>
      <c r="I309" s="218">
        <v>1</v>
      </c>
      <c r="J309" s="253">
        <v>29337.67</v>
      </c>
      <c r="K309" s="253">
        <v>19066.14</v>
      </c>
      <c r="L309" s="253">
        <v>345.92</v>
      </c>
      <c r="M309" s="253">
        <v>349.76</v>
      </c>
      <c r="N309" s="250">
        <f t="shared" si="25"/>
        <v>28991.75</v>
      </c>
      <c r="O309" s="250">
        <f t="shared" si="26"/>
        <v>18716.38</v>
      </c>
      <c r="P309" s="95">
        <f t="shared" si="27"/>
        <v>0.56156709452511322</v>
      </c>
      <c r="Q309" s="95">
        <f t="shared" si="28"/>
        <v>0.31708955670626837</v>
      </c>
      <c r="R309" s="133">
        <f t="shared" si="29"/>
        <v>1.5490041343464922</v>
      </c>
      <c r="T309" s="83">
        <v>340</v>
      </c>
    </row>
    <row r="310" spans="1:20">
      <c r="A310" s="219">
        <v>44750</v>
      </c>
      <c r="B310" s="81" t="str">
        <f>VLOOKUP(C310,'Master List'!A:C,3,FALSE)</f>
        <v>54-138</v>
      </c>
      <c r="C310" s="88">
        <v>509</v>
      </c>
      <c r="D310" s="88" t="s">
        <v>105</v>
      </c>
      <c r="E310" s="81">
        <f>VLOOKUP(C310,'Master List'!A:G,5,FALSE)</f>
        <v>5</v>
      </c>
      <c r="F310" s="43">
        <f>VLOOKUP(C310,'2022-002-bottles_csv'!E:L,8,FALSE)</f>
        <v>0.13</v>
      </c>
      <c r="G310" s="218">
        <v>304</v>
      </c>
      <c r="H310" s="218">
        <v>10</v>
      </c>
      <c r="I310" s="218">
        <v>1</v>
      </c>
      <c r="J310" s="253">
        <v>30012.18</v>
      </c>
      <c r="K310" s="253">
        <v>20165.310000000001</v>
      </c>
      <c r="L310" s="253">
        <v>305.14</v>
      </c>
      <c r="M310" s="253">
        <v>306.41000000000003</v>
      </c>
      <c r="N310" s="250">
        <f t="shared" si="25"/>
        <v>29707.040000000001</v>
      </c>
      <c r="O310" s="250">
        <f t="shared" si="26"/>
        <v>19858.900000000001</v>
      </c>
      <c r="P310" s="95">
        <f t="shared" si="27"/>
        <v>0.53821822146322218</v>
      </c>
      <c r="Q310" s="95">
        <f t="shared" si="28"/>
        <v>0.39407501959829111</v>
      </c>
      <c r="R310" s="133">
        <f t="shared" si="29"/>
        <v>1.4959056141075286</v>
      </c>
      <c r="T310" s="83">
        <v>102</v>
      </c>
    </row>
    <row r="311" spans="1:20">
      <c r="A311" s="219">
        <v>44757</v>
      </c>
      <c r="B311" s="81" t="str">
        <f>VLOOKUP(C311,'Master List'!A:C,3,FALSE)</f>
        <v>54-138</v>
      </c>
      <c r="C311" s="88">
        <v>509</v>
      </c>
      <c r="D311" s="88" t="s">
        <v>106</v>
      </c>
      <c r="E311" s="81">
        <f>VLOOKUP(C311,'Master List'!A:G,5,FALSE)</f>
        <v>5</v>
      </c>
      <c r="F311" s="43">
        <f>VLOOKUP(C311,'2022-002-bottles_csv'!E:L,8,FALSE)</f>
        <v>0.13</v>
      </c>
      <c r="G311" s="218">
        <v>304</v>
      </c>
      <c r="H311" s="218">
        <v>10</v>
      </c>
      <c r="I311" s="218">
        <v>1</v>
      </c>
      <c r="J311" s="253">
        <v>29681.279999999999</v>
      </c>
      <c r="K311" s="253">
        <v>19670.240000000002</v>
      </c>
      <c r="L311" s="253">
        <v>351.09</v>
      </c>
      <c r="M311" s="253">
        <v>351.83</v>
      </c>
      <c r="N311" s="250">
        <f t="shared" si="25"/>
        <v>29330.19</v>
      </c>
      <c r="O311" s="250">
        <f t="shared" si="26"/>
        <v>19318.41</v>
      </c>
      <c r="P311" s="95">
        <f t="shared" si="27"/>
        <v>0.54716143609666967</v>
      </c>
      <c r="Q311" s="95">
        <f t="shared" si="28"/>
        <v>0.35975803431987602</v>
      </c>
      <c r="R311" s="133">
        <f t="shared" si="29"/>
        <v>1.5182507256031941</v>
      </c>
      <c r="T311" s="83">
        <v>270</v>
      </c>
    </row>
    <row r="312" spans="1:20">
      <c r="A312" s="219">
        <v>44750</v>
      </c>
      <c r="B312" s="81" t="str">
        <f>VLOOKUP(C312,'Master List'!A:C,3,FALSE)</f>
        <v>54-141</v>
      </c>
      <c r="C312" s="88">
        <v>514</v>
      </c>
      <c r="D312" s="88" t="s">
        <v>105</v>
      </c>
      <c r="E312" s="81">
        <f>VLOOKUP(C312,'Master List'!A:G,5,FALSE)</f>
        <v>150</v>
      </c>
      <c r="F312" s="43">
        <f>VLOOKUP(C312,'2022-002-bottles_csv'!E:L,8,FALSE)</f>
        <v>0.05</v>
      </c>
      <c r="G312" s="218">
        <v>304</v>
      </c>
      <c r="H312" s="218">
        <v>10</v>
      </c>
      <c r="I312" s="218">
        <v>1</v>
      </c>
      <c r="J312" s="253">
        <v>1646.87</v>
      </c>
      <c r="K312" s="253">
        <v>1442.9</v>
      </c>
      <c r="L312" s="253">
        <v>305.14</v>
      </c>
      <c r="M312" s="253">
        <v>306.41000000000003</v>
      </c>
      <c r="N312" s="250">
        <f t="shared" si="25"/>
        <v>1341.73</v>
      </c>
      <c r="O312" s="250">
        <f t="shared" si="26"/>
        <v>1136.49</v>
      </c>
      <c r="P312" s="95">
        <f t="shared" si="27"/>
        <v>1.1216728008853623E-2</v>
      </c>
      <c r="Q312" s="95">
        <f t="shared" si="28"/>
        <v>4.2136778254534532E-2</v>
      </c>
      <c r="R312" s="133">
        <f t="shared" si="29"/>
        <v>1.1805911182676487</v>
      </c>
      <c r="T312" s="83">
        <v>109</v>
      </c>
    </row>
    <row r="313" spans="1:20">
      <c r="A313" s="219">
        <v>44761</v>
      </c>
      <c r="B313" s="81" t="str">
        <f>VLOOKUP(C313,'Master List'!A:C,3,FALSE)</f>
        <v>54-141</v>
      </c>
      <c r="C313" s="88">
        <v>514</v>
      </c>
      <c r="D313" s="88" t="s">
        <v>106</v>
      </c>
      <c r="E313" s="81">
        <f>VLOOKUP(C313,'Master List'!A:G,5,FALSE)</f>
        <v>150</v>
      </c>
      <c r="F313" s="43">
        <f>VLOOKUP(C313,'2022-002-bottles_csv'!E:L,8,FALSE)</f>
        <v>0.05</v>
      </c>
      <c r="G313" s="218">
        <v>304</v>
      </c>
      <c r="H313" s="218">
        <v>10</v>
      </c>
      <c r="I313" s="218">
        <v>1</v>
      </c>
      <c r="J313" s="253">
        <v>1312.3</v>
      </c>
      <c r="K313" s="253">
        <v>1181.55</v>
      </c>
      <c r="L313" s="253">
        <v>362.04</v>
      </c>
      <c r="M313" s="253">
        <v>363.93</v>
      </c>
      <c r="N313" s="250">
        <f t="shared" si="25"/>
        <v>950.26</v>
      </c>
      <c r="O313" s="250">
        <f t="shared" si="26"/>
        <v>817.61999999999989</v>
      </c>
      <c r="P313" s="95">
        <f t="shared" si="27"/>
        <v>7.2490099546596454E-3</v>
      </c>
      <c r="Q313" s="95">
        <f t="shared" si="28"/>
        <v>3.1134868294221924E-2</v>
      </c>
      <c r="R313" s="133">
        <f t="shared" si="29"/>
        <v>1.1622269513955139</v>
      </c>
      <c r="T313" s="83">
        <v>382</v>
      </c>
    </row>
    <row r="314" spans="1:20">
      <c r="A314" s="219">
        <v>44754</v>
      </c>
      <c r="B314" s="81" t="str">
        <f>VLOOKUP(C314,'Master List'!A:C,3,FALSE)</f>
        <v>54-141</v>
      </c>
      <c r="C314" s="88">
        <v>518</v>
      </c>
      <c r="D314" s="88" t="s">
        <v>105</v>
      </c>
      <c r="E314" s="81">
        <f>VLOOKUP(C314,'Master List'!A:G,5,FALSE)</f>
        <v>100</v>
      </c>
      <c r="F314" s="43">
        <f>VLOOKUP(C314,'2022-002-bottles_csv'!E:L,8,FALSE)</f>
        <v>0.05</v>
      </c>
      <c r="G314" s="218">
        <v>304</v>
      </c>
      <c r="H314" s="218">
        <v>10</v>
      </c>
      <c r="I314" s="218">
        <v>1</v>
      </c>
      <c r="J314" s="253">
        <v>2196.87</v>
      </c>
      <c r="K314" s="253">
        <v>1701.29</v>
      </c>
      <c r="L314" s="253">
        <v>283.95999999999998</v>
      </c>
      <c r="M314" s="253">
        <v>294.02999999999997</v>
      </c>
      <c r="N314" s="250">
        <f t="shared" si="25"/>
        <v>1912.9099999999999</v>
      </c>
      <c r="O314" s="250">
        <f t="shared" si="26"/>
        <v>1407.26</v>
      </c>
      <c r="P314" s="95">
        <f t="shared" si="27"/>
        <v>2.7634664381586592E-2</v>
      </c>
      <c r="Q314" s="95">
        <f t="shared" si="28"/>
        <v>3.8430373783479188E-2</v>
      </c>
      <c r="R314" s="133">
        <f t="shared" si="29"/>
        <v>1.3593152651251368</v>
      </c>
      <c r="T314" s="83">
        <v>183</v>
      </c>
    </row>
    <row r="315" spans="1:20">
      <c r="A315" s="219">
        <v>44761</v>
      </c>
      <c r="B315" s="81" t="str">
        <f>VLOOKUP(C315,'Master List'!A:C,3,FALSE)</f>
        <v>54-141</v>
      </c>
      <c r="C315" s="88">
        <v>518</v>
      </c>
      <c r="D315" s="88" t="s">
        <v>106</v>
      </c>
      <c r="E315" s="81">
        <f>VLOOKUP(C315,'Master List'!A:G,5,FALSE)</f>
        <v>100</v>
      </c>
      <c r="F315" s="43">
        <f>VLOOKUP(C315,'2022-002-bottles_csv'!E:L,8,FALSE)</f>
        <v>0.05</v>
      </c>
      <c r="G315" s="218">
        <v>304</v>
      </c>
      <c r="H315" s="218">
        <v>10</v>
      </c>
      <c r="I315" s="218">
        <v>1</v>
      </c>
      <c r="J315" s="253">
        <v>2438.75</v>
      </c>
      <c r="K315" s="253">
        <v>1961.54</v>
      </c>
      <c r="L315" s="253">
        <v>345.92</v>
      </c>
      <c r="M315" s="253">
        <v>349.76</v>
      </c>
      <c r="N315" s="250">
        <f t="shared" si="25"/>
        <v>2092.83</v>
      </c>
      <c r="O315" s="250">
        <f t="shared" si="26"/>
        <v>1611.78</v>
      </c>
      <c r="P315" s="95">
        <f t="shared" si="27"/>
        <v>2.6290230991322525E-2</v>
      </c>
      <c r="Q315" s="95">
        <f t="shared" si="28"/>
        <v>4.9376175510453778E-2</v>
      </c>
      <c r="R315" s="133">
        <f t="shared" si="29"/>
        <v>1.2984588467408704</v>
      </c>
      <c r="T315" s="83">
        <v>356</v>
      </c>
    </row>
    <row r="316" spans="1:20">
      <c r="A316" s="219">
        <v>44755</v>
      </c>
      <c r="B316" s="81" t="str">
        <f>VLOOKUP(C316,'Master List'!A:C,3,FALSE)</f>
        <v>54-141</v>
      </c>
      <c r="C316" s="88">
        <v>519</v>
      </c>
      <c r="D316" s="88" t="s">
        <v>105</v>
      </c>
      <c r="E316" s="81">
        <f>VLOOKUP(C316,'Master List'!A:G,5,FALSE)</f>
        <v>75</v>
      </c>
      <c r="F316" s="43">
        <f>VLOOKUP(C316,'2022-002-bottles_csv'!E:L,8,FALSE)</f>
        <v>0.08</v>
      </c>
      <c r="G316" s="218">
        <v>304</v>
      </c>
      <c r="H316" s="218">
        <v>10</v>
      </c>
      <c r="I316" s="218">
        <v>1</v>
      </c>
      <c r="J316" s="253">
        <v>7540.45</v>
      </c>
      <c r="K316" s="253">
        <v>5275.85</v>
      </c>
      <c r="L316" s="253">
        <v>311.39</v>
      </c>
      <c r="M316" s="253">
        <v>298.52999999999997</v>
      </c>
      <c r="N316" s="250">
        <f t="shared" si="25"/>
        <v>7229.0599999999995</v>
      </c>
      <c r="O316" s="250">
        <f t="shared" si="26"/>
        <v>4977.3200000000006</v>
      </c>
      <c r="P316" s="95">
        <f t="shared" si="27"/>
        <v>0.12306156269078174</v>
      </c>
      <c r="Q316" s="95">
        <f t="shared" si="28"/>
        <v>0.11060303074592877</v>
      </c>
      <c r="R316" s="133">
        <f t="shared" si="29"/>
        <v>1.4524000867936959</v>
      </c>
      <c r="T316" s="83">
        <v>206</v>
      </c>
    </row>
    <row r="317" spans="1:20">
      <c r="A317" s="219">
        <v>44761</v>
      </c>
      <c r="B317" s="81" t="str">
        <f>VLOOKUP(C317,'Master List'!A:C,3,FALSE)</f>
        <v>54-141</v>
      </c>
      <c r="C317" s="88">
        <v>519</v>
      </c>
      <c r="D317" s="88" t="s">
        <v>106</v>
      </c>
      <c r="E317" s="81">
        <f>VLOOKUP(C317,'Master List'!A:G,5,FALSE)</f>
        <v>75</v>
      </c>
      <c r="F317" s="43">
        <f>VLOOKUP(C317,'2022-002-bottles_csv'!E:L,8,FALSE)</f>
        <v>0.08</v>
      </c>
      <c r="G317" s="218">
        <v>304</v>
      </c>
      <c r="H317" s="218">
        <v>10</v>
      </c>
      <c r="I317" s="218">
        <v>1</v>
      </c>
      <c r="J317" s="253">
        <v>7497.28</v>
      </c>
      <c r="K317" s="253">
        <v>5162.2700000000004</v>
      </c>
      <c r="L317" s="253">
        <v>362.04</v>
      </c>
      <c r="M317" s="253">
        <v>363.93</v>
      </c>
      <c r="N317" s="250">
        <f t="shared" si="25"/>
        <v>7135.24</v>
      </c>
      <c r="O317" s="250">
        <f t="shared" si="26"/>
        <v>4798.34</v>
      </c>
      <c r="P317" s="95">
        <f t="shared" si="27"/>
        <v>0.1277157068987041</v>
      </c>
      <c r="Q317" s="95">
        <f t="shared" si="28"/>
        <v>9.7546515596756395E-2</v>
      </c>
      <c r="R317" s="133">
        <f t="shared" si="29"/>
        <v>1.4870225953142127</v>
      </c>
      <c r="T317" s="83">
        <v>370</v>
      </c>
    </row>
    <row r="318" spans="1:20">
      <c r="A318" s="219">
        <v>44754</v>
      </c>
      <c r="B318" s="81" t="str">
        <f>VLOOKUP(C318,'Master List'!A:C,3,FALSE)</f>
        <v>54-141</v>
      </c>
      <c r="C318" s="88">
        <v>522</v>
      </c>
      <c r="D318" s="88" t="s">
        <v>105</v>
      </c>
      <c r="E318" s="81">
        <f>VLOOKUP(C318,'Master List'!A:G,5,FALSE)</f>
        <v>50</v>
      </c>
      <c r="F318" s="43">
        <f>VLOOKUP(C318,'2022-002-bottles_csv'!E:L,8,FALSE)</f>
        <v>0.11</v>
      </c>
      <c r="G318" s="218">
        <v>304</v>
      </c>
      <c r="H318" s="218">
        <v>10</v>
      </c>
      <c r="I318" s="218">
        <v>1</v>
      </c>
      <c r="J318" s="254"/>
      <c r="K318" s="254"/>
      <c r="L318" s="253">
        <v>283.95999999999998</v>
      </c>
      <c r="M318" s="253">
        <v>294.02999999999997</v>
      </c>
      <c r="N318" s="250">
        <f t="shared" si="25"/>
        <v>-283.95999999999998</v>
      </c>
      <c r="O318" s="250">
        <f t="shared" si="26"/>
        <v>-294.02999999999997</v>
      </c>
      <c r="P318" s="95">
        <v>-99</v>
      </c>
      <c r="Q318" s="95">
        <v>-99</v>
      </c>
      <c r="R318" s="133"/>
      <c r="S318" s="44" t="s">
        <v>214</v>
      </c>
      <c r="T318" s="83">
        <v>172</v>
      </c>
    </row>
    <row r="319" spans="1:20">
      <c r="A319" s="219">
        <v>44757</v>
      </c>
      <c r="B319" s="81" t="str">
        <f>VLOOKUP(C319,'Master List'!A:C,3,FALSE)</f>
        <v>54-141</v>
      </c>
      <c r="C319" s="88">
        <v>522</v>
      </c>
      <c r="D319" s="88" t="s">
        <v>106</v>
      </c>
      <c r="E319" s="81">
        <f>VLOOKUP(C319,'Master List'!A:G,5,FALSE)</f>
        <v>50</v>
      </c>
      <c r="F319" s="43">
        <f>VLOOKUP(C319,'2022-002-bottles_csv'!E:L,8,FALSE)</f>
        <v>0.11</v>
      </c>
      <c r="G319" s="218">
        <v>304</v>
      </c>
      <c r="H319" s="218">
        <v>10</v>
      </c>
      <c r="I319" s="218">
        <v>1</v>
      </c>
      <c r="J319" s="253">
        <v>10709.94</v>
      </c>
      <c r="K319" s="253">
        <v>7358.47</v>
      </c>
      <c r="L319" s="253">
        <v>338.28</v>
      </c>
      <c r="M319" s="253">
        <v>338.2</v>
      </c>
      <c r="N319" s="250">
        <f t="shared" si="25"/>
        <v>10371.66</v>
      </c>
      <c r="O319" s="250">
        <f t="shared" si="26"/>
        <v>7020.27</v>
      </c>
      <c r="P319" s="95">
        <f t="shared" si="27"/>
        <v>0.18315937478850094</v>
      </c>
      <c r="Q319" s="95">
        <f t="shared" si="28"/>
        <v>0.14641327381876873</v>
      </c>
      <c r="R319" s="133">
        <f t="shared" si="29"/>
        <v>1.4773876218436042</v>
      </c>
      <c r="T319" s="83">
        <v>333</v>
      </c>
    </row>
    <row r="320" spans="1:20">
      <c r="A320" s="219">
        <v>44754</v>
      </c>
      <c r="B320" s="81" t="str">
        <f>VLOOKUP(C320,'Master List'!A:C,3,FALSE)</f>
        <v>54-141</v>
      </c>
      <c r="C320" s="88">
        <v>524</v>
      </c>
      <c r="D320" s="88" t="s">
        <v>105</v>
      </c>
      <c r="E320" s="81">
        <f>VLOOKUP(C320,'Master List'!A:G,5,FALSE)</f>
        <v>25</v>
      </c>
      <c r="F320" s="43">
        <f>VLOOKUP(C320,'2022-002-bottles_csv'!E:L,8,FALSE)</f>
        <v>0.16</v>
      </c>
      <c r="G320" s="218">
        <v>304</v>
      </c>
      <c r="H320" s="218">
        <v>10</v>
      </c>
      <c r="I320" s="218">
        <v>1</v>
      </c>
      <c r="J320" s="253">
        <v>14296.74</v>
      </c>
      <c r="K320" s="253">
        <v>9271.3700000000008</v>
      </c>
      <c r="L320" s="253">
        <v>296.26</v>
      </c>
      <c r="M320" s="253">
        <v>308.87</v>
      </c>
      <c r="N320" s="250">
        <f t="shared" si="25"/>
        <v>14000.48</v>
      </c>
      <c r="O320" s="250">
        <f t="shared" si="26"/>
        <v>8962.5</v>
      </c>
      <c r="P320" s="95">
        <f t="shared" si="27"/>
        <v>0.27533449314969971</v>
      </c>
      <c r="Q320" s="95">
        <f t="shared" si="28"/>
        <v>0.14541782309207646</v>
      </c>
      <c r="R320" s="133">
        <f t="shared" si="29"/>
        <v>1.5621177126917711</v>
      </c>
      <c r="T320" s="83">
        <v>168</v>
      </c>
    </row>
    <row r="321" spans="1:20">
      <c r="A321" s="219">
        <v>44756</v>
      </c>
      <c r="B321" s="81" t="str">
        <f>VLOOKUP(C321,'Master List'!A:C,3,FALSE)</f>
        <v>54-141</v>
      </c>
      <c r="C321" s="88">
        <v>524</v>
      </c>
      <c r="D321" s="88" t="s">
        <v>106</v>
      </c>
      <c r="E321" s="81">
        <f>VLOOKUP(C321,'Master List'!A:G,5,FALSE)</f>
        <v>25</v>
      </c>
      <c r="F321" s="43">
        <f>VLOOKUP(C321,'2022-002-bottles_csv'!E:L,8,FALSE)</f>
        <v>0.16</v>
      </c>
      <c r="G321" s="218">
        <v>304</v>
      </c>
      <c r="H321" s="218">
        <v>10</v>
      </c>
      <c r="I321" s="218">
        <v>1</v>
      </c>
      <c r="J321" s="253">
        <v>15182.24</v>
      </c>
      <c r="K321" s="253">
        <v>9723.16</v>
      </c>
      <c r="L321" s="253">
        <v>332.16</v>
      </c>
      <c r="M321" s="253">
        <v>344.15</v>
      </c>
      <c r="N321" s="250">
        <f t="shared" si="25"/>
        <v>14850.08</v>
      </c>
      <c r="O321" s="250">
        <f t="shared" si="26"/>
        <v>9379.01</v>
      </c>
      <c r="P321" s="95">
        <f t="shared" si="27"/>
        <v>0.29900362554764565</v>
      </c>
      <c r="Q321" s="95">
        <f t="shared" si="28"/>
        <v>0.14130211298008463</v>
      </c>
      <c r="R321" s="133">
        <f t="shared" si="29"/>
        <v>1.5833312897629921</v>
      </c>
      <c r="T321" s="83">
        <v>262</v>
      </c>
    </row>
    <row r="322" spans="1:20">
      <c r="A322" s="219">
        <v>44754</v>
      </c>
      <c r="B322" s="81" t="str">
        <f>VLOOKUP(C322,'Master List'!A:C,3,FALSE)</f>
        <v>54-141</v>
      </c>
      <c r="C322" s="88">
        <v>530</v>
      </c>
      <c r="D322" s="88" t="s">
        <v>105</v>
      </c>
      <c r="E322" s="81">
        <f>VLOOKUP(C322,'Master List'!A:G,5,FALSE)</f>
        <v>5</v>
      </c>
      <c r="F322" s="43">
        <f>VLOOKUP(C322,'2022-002-bottles_csv'!E:L,8,FALSE)</f>
        <v>0.14000000000000001</v>
      </c>
      <c r="G322" s="218">
        <v>304</v>
      </c>
      <c r="H322" s="218">
        <v>10</v>
      </c>
      <c r="I322" s="218">
        <v>1</v>
      </c>
      <c r="J322" s="253">
        <v>15343.92</v>
      </c>
      <c r="K322" s="253">
        <v>9788.56</v>
      </c>
      <c r="L322" s="253">
        <v>296.26</v>
      </c>
      <c r="M322" s="253">
        <v>308.87</v>
      </c>
      <c r="N322" s="250">
        <f t="shared" si="25"/>
        <v>15047.66</v>
      </c>
      <c r="O322" s="250">
        <f t="shared" si="26"/>
        <v>9479.6899999999987</v>
      </c>
      <c r="P322" s="95">
        <f t="shared" si="27"/>
        <v>0.30429938146295415</v>
      </c>
      <c r="Q322" s="95">
        <f t="shared" si="28"/>
        <v>0.14073286676622337</v>
      </c>
      <c r="R322" s="133">
        <f t="shared" si="29"/>
        <v>1.5873578144432996</v>
      </c>
      <c r="T322" s="83">
        <v>160</v>
      </c>
    </row>
    <row r="323" spans="1:20">
      <c r="A323" s="219">
        <v>44761</v>
      </c>
      <c r="B323" s="81" t="str">
        <f>VLOOKUP(C323,'Master List'!A:C,3,FALSE)</f>
        <v>54-141</v>
      </c>
      <c r="C323" s="88">
        <v>530</v>
      </c>
      <c r="D323" s="88" t="s">
        <v>106</v>
      </c>
      <c r="E323" s="81">
        <f>VLOOKUP(C323,'Master List'!A:G,5,FALSE)</f>
        <v>5</v>
      </c>
      <c r="F323" s="43">
        <f>VLOOKUP(C323,'2022-002-bottles_csv'!E:L,8,FALSE)</f>
        <v>0.14000000000000001</v>
      </c>
      <c r="G323" s="218">
        <v>304</v>
      </c>
      <c r="H323" s="218">
        <v>10</v>
      </c>
      <c r="I323" s="218">
        <v>1</v>
      </c>
      <c r="J323" s="253">
        <v>15626.6</v>
      </c>
      <c r="K323" s="253">
        <v>9920.15</v>
      </c>
      <c r="L323" s="253">
        <v>362.04</v>
      </c>
      <c r="M323" s="253">
        <v>363.93</v>
      </c>
      <c r="N323" s="250">
        <f t="shared" si="25"/>
        <v>15264.56</v>
      </c>
      <c r="O323" s="250">
        <f t="shared" si="26"/>
        <v>9556.2199999999993</v>
      </c>
      <c r="P323" s="95">
        <f t="shared" si="27"/>
        <v>0.31197084955203414</v>
      </c>
      <c r="Q323" s="95">
        <f t="shared" si="28"/>
        <v>0.13665416573566316</v>
      </c>
      <c r="R323" s="133">
        <f t="shared" si="29"/>
        <v>1.5973428824367795</v>
      </c>
      <c r="T323" s="83">
        <v>389</v>
      </c>
    </row>
    <row r="324" spans="1:20">
      <c r="A324" s="219">
        <v>44755</v>
      </c>
      <c r="B324" s="81" t="str">
        <f>VLOOKUP(C324,'Master List'!A:C,3,FALSE)</f>
        <v>55-141</v>
      </c>
      <c r="C324" s="88">
        <v>535</v>
      </c>
      <c r="D324" s="88" t="s">
        <v>105</v>
      </c>
      <c r="E324" s="81">
        <f>VLOOKUP(C324,'Master List'!A:G,5,FALSE)</f>
        <v>150</v>
      </c>
      <c r="F324" s="43">
        <f>VLOOKUP(C324,'2022-002-bottles_csv'!E:L,8,FALSE)</f>
        <v>0.05</v>
      </c>
      <c r="G324" s="218">
        <v>304</v>
      </c>
      <c r="H324" s="218">
        <v>10</v>
      </c>
      <c r="I324" s="218">
        <v>1</v>
      </c>
      <c r="J324" s="253">
        <v>1891.35</v>
      </c>
      <c r="K324" s="253">
        <v>1724.76</v>
      </c>
      <c r="L324" s="253">
        <v>311.39</v>
      </c>
      <c r="M324" s="253">
        <v>298.52999999999997</v>
      </c>
      <c r="N324" s="250">
        <f t="shared" si="25"/>
        <v>1579.96</v>
      </c>
      <c r="O324" s="250">
        <f t="shared" si="26"/>
        <v>1426.23</v>
      </c>
      <c r="P324" s="95">
        <f t="shared" si="27"/>
        <v>8.4016156538738417E-3</v>
      </c>
      <c r="Q324" s="95">
        <f t="shared" si="28"/>
        <v>5.8553985572737992E-2</v>
      </c>
      <c r="R324" s="133">
        <f t="shared" si="29"/>
        <v>1.1077876639812654</v>
      </c>
      <c r="T324" s="83">
        <v>196</v>
      </c>
    </row>
    <row r="325" spans="1:20">
      <c r="A325" s="219">
        <v>44757</v>
      </c>
      <c r="B325" s="81" t="str">
        <f>VLOOKUP(C325,'Master List'!A:C,3,FALSE)</f>
        <v>55-141</v>
      </c>
      <c r="C325" s="88">
        <v>535</v>
      </c>
      <c r="D325" s="88" t="s">
        <v>106</v>
      </c>
      <c r="E325" s="81">
        <f>VLOOKUP(C325,'Master List'!A:G,5,FALSE)</f>
        <v>150</v>
      </c>
      <c r="F325" s="43">
        <f>VLOOKUP(C325,'2022-002-bottles_csv'!E:L,8,FALSE)</f>
        <v>0.05</v>
      </c>
      <c r="G325" s="218">
        <v>304</v>
      </c>
      <c r="H325" s="218">
        <v>10</v>
      </c>
      <c r="I325" s="218">
        <v>1</v>
      </c>
      <c r="J325" s="253">
        <v>1340.08</v>
      </c>
      <c r="K325" s="253">
        <v>1204.6300000000001</v>
      </c>
      <c r="L325" s="253">
        <v>305.45999999999998</v>
      </c>
      <c r="M325" s="253">
        <v>318.69</v>
      </c>
      <c r="N325" s="250">
        <f t="shared" si="25"/>
        <v>1034.6199999999999</v>
      </c>
      <c r="O325" s="250">
        <f t="shared" si="26"/>
        <v>885.94</v>
      </c>
      <c r="P325" s="95">
        <f t="shared" si="27"/>
        <v>8.125624246522873E-3</v>
      </c>
      <c r="Q325" s="95">
        <f t="shared" si="28"/>
        <v>3.3465595508148177E-2</v>
      </c>
      <c r="R325" s="133">
        <f t="shared" si="29"/>
        <v>1.16782174865115</v>
      </c>
      <c r="T325" s="83">
        <v>308</v>
      </c>
    </row>
    <row r="326" spans="1:20">
      <c r="A326" s="219">
        <v>44755</v>
      </c>
      <c r="B326" s="81" t="str">
        <f>VLOOKUP(C326,'Master List'!A:C,3,FALSE)</f>
        <v>55-141</v>
      </c>
      <c r="C326" s="88">
        <v>539</v>
      </c>
      <c r="D326" s="88" t="s">
        <v>105</v>
      </c>
      <c r="E326" s="81">
        <f>VLOOKUP(C326,'Master List'!A:G,5,FALSE)</f>
        <v>100</v>
      </c>
      <c r="F326" s="43">
        <f>VLOOKUP(C326,'2022-002-bottles_csv'!E:L,8,FALSE)</f>
        <v>0.06</v>
      </c>
      <c r="G326" s="218">
        <v>304</v>
      </c>
      <c r="H326" s="218">
        <v>10</v>
      </c>
      <c r="I326" s="218">
        <v>1</v>
      </c>
      <c r="J326" s="253">
        <v>3995.85</v>
      </c>
      <c r="K326" s="253">
        <v>3019.87</v>
      </c>
      <c r="L326" s="253">
        <v>311.39</v>
      </c>
      <c r="M326" s="253">
        <v>298.52999999999997</v>
      </c>
      <c r="N326" s="250">
        <f t="shared" si="25"/>
        <v>3684.46</v>
      </c>
      <c r="O326" s="250">
        <f t="shared" si="26"/>
        <v>2721.34</v>
      </c>
      <c r="P326" s="95">
        <f t="shared" si="27"/>
        <v>5.2636206781753549E-2</v>
      </c>
      <c r="Q326" s="95">
        <f t="shared" si="28"/>
        <v>7.511945383541746E-2</v>
      </c>
      <c r="R326" s="133">
        <f t="shared" si="29"/>
        <v>1.3539138806617328</v>
      </c>
      <c r="T326" s="83">
        <v>208</v>
      </c>
    </row>
    <row r="327" spans="1:20">
      <c r="A327" s="219">
        <v>44757</v>
      </c>
      <c r="B327" s="81" t="str">
        <f>VLOOKUP(C327,'Master List'!A:C,3,FALSE)</f>
        <v>55-141</v>
      </c>
      <c r="C327" s="88">
        <v>539</v>
      </c>
      <c r="D327" s="88" t="s">
        <v>106</v>
      </c>
      <c r="E327" s="81">
        <f>VLOOKUP(C327,'Master List'!A:G,5,FALSE)</f>
        <v>100</v>
      </c>
      <c r="F327" s="43">
        <f>VLOOKUP(C327,'2022-002-bottles_csv'!E:L,8,FALSE)</f>
        <v>0.06</v>
      </c>
      <c r="G327" s="218">
        <v>304</v>
      </c>
      <c r="H327" s="218">
        <v>10</v>
      </c>
      <c r="I327" s="218">
        <v>1</v>
      </c>
      <c r="J327" s="253">
        <v>3878.58</v>
      </c>
      <c r="K327" s="253">
        <v>2920.47</v>
      </c>
      <c r="L327" s="253">
        <v>351.09</v>
      </c>
      <c r="M327" s="253">
        <v>351.83</v>
      </c>
      <c r="N327" s="250">
        <f t="shared" si="25"/>
        <v>3527.49</v>
      </c>
      <c r="O327" s="250">
        <f t="shared" si="26"/>
        <v>2568.64</v>
      </c>
      <c r="P327" s="95">
        <f t="shared" si="27"/>
        <v>5.2402843750191455E-2</v>
      </c>
      <c r="Q327" s="95">
        <f t="shared" si="28"/>
        <v>6.8184183261387463E-2</v>
      </c>
      <c r="R327" s="133">
        <f t="shared" si="29"/>
        <v>1.3732909243802167</v>
      </c>
      <c r="T327" s="83">
        <v>278</v>
      </c>
    </row>
    <row r="328" spans="1:20">
      <c r="A328" s="219">
        <v>44755</v>
      </c>
      <c r="B328" s="81" t="str">
        <f>VLOOKUP(C328,'Master List'!A:C,3,FALSE)</f>
        <v>55-141</v>
      </c>
      <c r="C328" s="88">
        <v>540</v>
      </c>
      <c r="D328" s="88" t="s">
        <v>105</v>
      </c>
      <c r="E328" s="81">
        <f>VLOOKUP(C328,'Master List'!A:G,5,FALSE)</f>
        <v>75</v>
      </c>
      <c r="F328" s="43">
        <f>VLOOKUP(C328,'2022-002-bottles_csv'!E:L,8,FALSE)</f>
        <v>0.11</v>
      </c>
      <c r="G328" s="218">
        <v>304</v>
      </c>
      <c r="H328" s="218">
        <v>10</v>
      </c>
      <c r="I328" s="218">
        <v>1</v>
      </c>
      <c r="J328" s="253">
        <v>16475.7</v>
      </c>
      <c r="K328" s="253">
        <v>11434.44</v>
      </c>
      <c r="L328" s="253">
        <v>311.39</v>
      </c>
      <c r="M328" s="253">
        <v>298.52999999999997</v>
      </c>
      <c r="N328" s="250">
        <f t="shared" si="25"/>
        <v>16164.310000000001</v>
      </c>
      <c r="O328" s="250">
        <f t="shared" si="26"/>
        <v>11135.91</v>
      </c>
      <c r="P328" s="95">
        <f t="shared" si="27"/>
        <v>0.27481092925219047</v>
      </c>
      <c r="Q328" s="95">
        <f t="shared" si="28"/>
        <v>0.24797399972521075</v>
      </c>
      <c r="R328" s="133">
        <f t="shared" si="29"/>
        <v>1.4515481895956417</v>
      </c>
      <c r="T328" s="83">
        <v>205</v>
      </c>
    </row>
    <row r="329" spans="1:20">
      <c r="A329" s="219">
        <v>44761</v>
      </c>
      <c r="B329" s="81" t="str">
        <f>VLOOKUP(C329,'Master List'!A:C,3,FALSE)</f>
        <v>55-141</v>
      </c>
      <c r="C329" s="88">
        <v>540</v>
      </c>
      <c r="D329" s="88" t="s">
        <v>106</v>
      </c>
      <c r="E329" s="81">
        <f>VLOOKUP(C329,'Master List'!A:G,5,FALSE)</f>
        <v>75</v>
      </c>
      <c r="F329" s="43">
        <f>VLOOKUP(C329,'2022-002-bottles_csv'!E:L,8,FALSE)</f>
        <v>0.11</v>
      </c>
      <c r="G329" s="218">
        <v>304</v>
      </c>
      <c r="H329" s="218">
        <v>10</v>
      </c>
      <c r="I329" s="218">
        <v>1</v>
      </c>
      <c r="J329" s="253">
        <v>15773.16</v>
      </c>
      <c r="K329" s="253">
        <v>10758.1</v>
      </c>
      <c r="L329" s="253">
        <v>362.04</v>
      </c>
      <c r="M329" s="253">
        <v>363.93</v>
      </c>
      <c r="N329" s="250">
        <f t="shared" si="25"/>
        <v>15411.119999999999</v>
      </c>
      <c r="O329" s="250">
        <f t="shared" si="26"/>
        <v>10394.17</v>
      </c>
      <c r="P329" s="95">
        <f t="shared" si="27"/>
        <v>0.27418516655631542</v>
      </c>
      <c r="Q329" s="95">
        <f t="shared" si="28"/>
        <v>0.21377813641838858</v>
      </c>
      <c r="R329" s="133">
        <f t="shared" si="29"/>
        <v>1.4826696119074441</v>
      </c>
      <c r="T329" s="83">
        <v>368</v>
      </c>
    </row>
    <row r="330" spans="1:20">
      <c r="A330" s="219">
        <v>44754</v>
      </c>
      <c r="B330" s="81" t="str">
        <f>VLOOKUP(C330,'Master List'!A:C,3,FALSE)</f>
        <v>55-141</v>
      </c>
      <c r="C330" s="88">
        <v>543</v>
      </c>
      <c r="D330" s="88" t="s">
        <v>105</v>
      </c>
      <c r="E330" s="81">
        <f>VLOOKUP(C330,'Master List'!A:G,5,FALSE)</f>
        <v>50</v>
      </c>
      <c r="F330" s="43">
        <f>VLOOKUP(C330,'2022-002-bottles_csv'!E:L,8,FALSE)</f>
        <v>0.12</v>
      </c>
      <c r="G330" s="218">
        <v>304</v>
      </c>
      <c r="H330" s="218">
        <v>10</v>
      </c>
      <c r="I330" s="218">
        <v>1</v>
      </c>
      <c r="J330" s="253">
        <v>14808.31</v>
      </c>
      <c r="K330" s="253">
        <v>9815.68</v>
      </c>
      <c r="L330" s="253">
        <v>296.26</v>
      </c>
      <c r="M330" s="253">
        <v>308.87</v>
      </c>
      <c r="N330" s="250">
        <f t="shared" si="25"/>
        <v>14512.05</v>
      </c>
      <c r="O330" s="250">
        <f t="shared" si="26"/>
        <v>9506.81</v>
      </c>
      <c r="P330" s="95">
        <f t="shared" si="27"/>
        <v>0.27354519440184422</v>
      </c>
      <c r="Q330" s="95">
        <f t="shared" si="28"/>
        <v>0.1727602256897017</v>
      </c>
      <c r="R330" s="133">
        <f t="shared" si="29"/>
        <v>1.5264899582509801</v>
      </c>
      <c r="T330" s="83">
        <v>148</v>
      </c>
    </row>
    <row r="331" spans="1:20">
      <c r="A331" s="219">
        <v>44757</v>
      </c>
      <c r="B331" s="81" t="str">
        <f>VLOOKUP(C331,'Master List'!A:C,3,FALSE)</f>
        <v>55-141</v>
      </c>
      <c r="C331" s="88">
        <v>543</v>
      </c>
      <c r="D331" s="88" t="s">
        <v>106</v>
      </c>
      <c r="E331" s="81">
        <f>VLOOKUP(C331,'Master List'!A:G,5,FALSE)</f>
        <v>50</v>
      </c>
      <c r="F331" s="43">
        <f>VLOOKUP(C331,'2022-002-bottles_csv'!E:L,8,FALSE)</f>
        <v>0.12</v>
      </c>
      <c r="G331" s="218">
        <v>304</v>
      </c>
      <c r="H331" s="218">
        <v>10</v>
      </c>
      <c r="I331" s="218">
        <v>1</v>
      </c>
      <c r="J331" s="253">
        <v>14672.33</v>
      </c>
      <c r="K331" s="253">
        <v>9967.14</v>
      </c>
      <c r="L331" s="253">
        <v>305.45999999999998</v>
      </c>
      <c r="M331" s="253">
        <v>318.69</v>
      </c>
      <c r="N331" s="250">
        <f t="shared" si="25"/>
        <v>14366.87</v>
      </c>
      <c r="O331" s="250">
        <f t="shared" si="26"/>
        <v>9648.4499999999989</v>
      </c>
      <c r="P331" s="95">
        <f t="shared" si="27"/>
        <v>0.25786997549958651</v>
      </c>
      <c r="Q331" s="95">
        <f t="shared" si="28"/>
        <v>0.19508485692919628</v>
      </c>
      <c r="R331" s="133">
        <f t="shared" si="29"/>
        <v>1.489033989915479</v>
      </c>
      <c r="T331" s="83">
        <v>310</v>
      </c>
    </row>
    <row r="332" spans="1:20">
      <c r="A332" s="219">
        <v>44754</v>
      </c>
      <c r="B332" s="81" t="str">
        <f>VLOOKUP(C332,'Master List'!A:C,3,FALSE)</f>
        <v>55-141</v>
      </c>
      <c r="C332" s="88">
        <v>545</v>
      </c>
      <c r="D332" s="88" t="s">
        <v>105</v>
      </c>
      <c r="E332" s="81">
        <f>VLOOKUP(C332,'Master List'!A:G,5,FALSE)</f>
        <v>25</v>
      </c>
      <c r="F332" s="43">
        <f>VLOOKUP(C332,'2022-002-bottles_csv'!E:L,8,FALSE)</f>
        <v>0.12</v>
      </c>
      <c r="G332" s="218">
        <v>304</v>
      </c>
      <c r="H332" s="218">
        <v>10</v>
      </c>
      <c r="I332" s="218">
        <v>1</v>
      </c>
      <c r="J332" s="253">
        <v>12516.97</v>
      </c>
      <c r="K332" s="253">
        <v>8179.01</v>
      </c>
      <c r="L332" s="253">
        <v>296.26</v>
      </c>
      <c r="M332" s="253">
        <v>308.87</v>
      </c>
      <c r="N332" s="250">
        <f t="shared" si="25"/>
        <v>12220.71</v>
      </c>
      <c r="O332" s="250">
        <f t="shared" si="26"/>
        <v>7870.14</v>
      </c>
      <c r="P332" s="95">
        <f t="shared" si="27"/>
        <v>0.23776632417403179</v>
      </c>
      <c r="Q332" s="95">
        <f t="shared" si="28"/>
        <v>0.13170420683261289</v>
      </c>
      <c r="R332" s="133">
        <f t="shared" si="29"/>
        <v>1.5527944865021459</v>
      </c>
      <c r="T332" s="83">
        <v>161</v>
      </c>
    </row>
    <row r="333" spans="1:20">
      <c r="A333" s="219">
        <v>44761</v>
      </c>
      <c r="B333" s="81" t="str">
        <f>VLOOKUP(C333,'Master List'!A:C,3,FALSE)</f>
        <v>55-141</v>
      </c>
      <c r="C333" s="88">
        <v>545</v>
      </c>
      <c r="D333" s="88" t="s">
        <v>106</v>
      </c>
      <c r="E333" s="81">
        <f>VLOOKUP(C333,'Master List'!A:G,5,FALSE)</f>
        <v>25</v>
      </c>
      <c r="F333" s="43">
        <f>VLOOKUP(C333,'2022-002-bottles_csv'!E:L,8,FALSE)</f>
        <v>0.12</v>
      </c>
      <c r="G333" s="218">
        <v>304</v>
      </c>
      <c r="H333" s="218">
        <v>10</v>
      </c>
      <c r="I333" s="218">
        <v>1</v>
      </c>
      <c r="J333" s="253">
        <v>11661.78</v>
      </c>
      <c r="K333" s="253">
        <v>7732.77</v>
      </c>
      <c r="L333" s="253">
        <v>345.92</v>
      </c>
      <c r="M333" s="253">
        <v>349.76</v>
      </c>
      <c r="N333" s="250">
        <f t="shared" ref="N333:N396" si="30">J333-L333</f>
        <v>11315.86</v>
      </c>
      <c r="O333" s="250">
        <f t="shared" ref="O333:O396" si="31">K333-M333</f>
        <v>7383.01</v>
      </c>
      <c r="P333" s="95">
        <f t="shared" ref="P333:P396" si="32">0.0007677*(1.859/(1.859-1))*(N333-O333)*(H333/G333)*I333</f>
        <v>0.21493718938618189</v>
      </c>
      <c r="Q333" s="95">
        <f t="shared" ref="Q333:Q396" si="33">0.0007677*(1.859/(1.859-1))*((1.859*O333)-N333)*(H333/G333)*I333</f>
        <v>0.13166460233891678</v>
      </c>
      <c r="R333" s="133">
        <f t="shared" ref="R333:R396" si="34">N333/O333</f>
        <v>1.5326892419216553</v>
      </c>
      <c r="T333" s="83">
        <v>339</v>
      </c>
    </row>
    <row r="334" spans="1:20">
      <c r="A334" s="219">
        <v>44755</v>
      </c>
      <c r="B334" s="81" t="str">
        <f>VLOOKUP(C334,'Master List'!A:C,3,FALSE)</f>
        <v>55-141</v>
      </c>
      <c r="C334" s="88">
        <v>551</v>
      </c>
      <c r="D334" s="88" t="s">
        <v>105</v>
      </c>
      <c r="E334" s="81">
        <f>VLOOKUP(C334,'Master List'!A:G,5,FALSE)</f>
        <v>5</v>
      </c>
      <c r="F334" s="43">
        <f>VLOOKUP(C334,'2022-002-bottles_csv'!E:L,8,FALSE)</f>
        <v>0.12</v>
      </c>
      <c r="G334" s="218">
        <v>304</v>
      </c>
      <c r="H334" s="218">
        <v>10</v>
      </c>
      <c r="I334" s="218">
        <v>1</v>
      </c>
      <c r="J334" s="253">
        <v>12385.84</v>
      </c>
      <c r="K334" s="253">
        <v>8089.38</v>
      </c>
      <c r="L334" s="253">
        <v>311.39</v>
      </c>
      <c r="M334" s="253">
        <v>298.52999999999997</v>
      </c>
      <c r="N334" s="250">
        <f t="shared" si="30"/>
        <v>12074.45</v>
      </c>
      <c r="O334" s="250">
        <f t="shared" si="31"/>
        <v>7790.85</v>
      </c>
      <c r="P334" s="95">
        <f t="shared" si="32"/>
        <v>0.23410629555021137</v>
      </c>
      <c r="Q334" s="95">
        <f t="shared" si="33"/>
        <v>0.1316418978101504</v>
      </c>
      <c r="R334" s="133">
        <f t="shared" si="34"/>
        <v>1.5498244735811881</v>
      </c>
      <c r="T334" s="83">
        <v>195</v>
      </c>
    </row>
    <row r="335" spans="1:20">
      <c r="A335" s="219">
        <v>44755</v>
      </c>
      <c r="B335" s="81" t="str">
        <f>VLOOKUP(C335,'Master List'!A:C,3,FALSE)</f>
        <v>55-141</v>
      </c>
      <c r="C335" s="88">
        <v>551</v>
      </c>
      <c r="D335" s="88" t="s">
        <v>106</v>
      </c>
      <c r="E335" s="81">
        <f>VLOOKUP(C335,'Master List'!A:G,5,FALSE)</f>
        <v>5</v>
      </c>
      <c r="F335" s="43">
        <f>VLOOKUP(C335,'2022-002-bottles_csv'!E:L,8,FALSE)</f>
        <v>0.12</v>
      </c>
      <c r="G335" s="218">
        <v>304</v>
      </c>
      <c r="H335" s="218">
        <v>10</v>
      </c>
      <c r="I335" s="218">
        <v>1</v>
      </c>
      <c r="J335" s="253">
        <v>12050.19</v>
      </c>
      <c r="K335" s="253">
        <v>7712.11</v>
      </c>
      <c r="L335" s="253">
        <v>332.42</v>
      </c>
      <c r="M335" s="253">
        <v>348.04</v>
      </c>
      <c r="N335" s="250">
        <f t="shared" si="30"/>
        <v>11717.77</v>
      </c>
      <c r="O335" s="250">
        <f t="shared" si="31"/>
        <v>7364.07</v>
      </c>
      <c r="P335" s="95">
        <f t="shared" si="32"/>
        <v>0.23793738419482569</v>
      </c>
      <c r="Q335" s="95">
        <f t="shared" si="33"/>
        <v>0.1077752528446808</v>
      </c>
      <c r="R335" s="133">
        <f t="shared" si="34"/>
        <v>1.5912083942711028</v>
      </c>
      <c r="T335" s="83">
        <v>217</v>
      </c>
    </row>
    <row r="336" spans="1:20">
      <c r="A336" s="219">
        <v>44754</v>
      </c>
      <c r="B336" s="81" t="str">
        <f>VLOOKUP(C336,'Master List'!A:C,3,FALSE)</f>
        <v>56-141</v>
      </c>
      <c r="C336" s="88">
        <v>556</v>
      </c>
      <c r="D336" s="88" t="s">
        <v>105</v>
      </c>
      <c r="E336" s="81">
        <f>VLOOKUP(C336,'Master List'!A:G,5,FALSE)</f>
        <v>150</v>
      </c>
      <c r="F336" s="43">
        <f>VLOOKUP(C336,'2022-002-bottles_csv'!E:L,8,FALSE)</f>
        <v>0.05</v>
      </c>
      <c r="G336" s="218">
        <v>304</v>
      </c>
      <c r="H336" s="218">
        <v>10</v>
      </c>
      <c r="I336" s="218">
        <v>1</v>
      </c>
      <c r="J336" s="253">
        <v>1110.67</v>
      </c>
      <c r="K336" s="253">
        <v>1028.73</v>
      </c>
      <c r="L336" s="253">
        <v>283.95999999999998</v>
      </c>
      <c r="M336" s="253">
        <v>294.02999999999997</v>
      </c>
      <c r="N336" s="250">
        <f t="shared" si="30"/>
        <v>826.71</v>
      </c>
      <c r="O336" s="250">
        <f t="shared" si="31"/>
        <v>734.7</v>
      </c>
      <c r="P336" s="95">
        <f t="shared" si="32"/>
        <v>5.0285087901706374E-3</v>
      </c>
      <c r="Q336" s="95">
        <f t="shared" si="33"/>
        <v>2.9462618322000415E-2</v>
      </c>
      <c r="R336" s="133">
        <f t="shared" si="34"/>
        <v>1.1252347897100858</v>
      </c>
      <c r="T336" s="83">
        <v>180</v>
      </c>
    </row>
    <row r="337" spans="1:20">
      <c r="A337" s="219">
        <v>44761</v>
      </c>
      <c r="B337" s="81" t="str">
        <f>VLOOKUP(C337,'Master List'!A:C,3,FALSE)</f>
        <v>56-141</v>
      </c>
      <c r="C337" s="88">
        <v>556</v>
      </c>
      <c r="D337" s="88" t="s">
        <v>106</v>
      </c>
      <c r="E337" s="81">
        <f>VLOOKUP(C337,'Master List'!A:G,5,FALSE)</f>
        <v>150</v>
      </c>
      <c r="F337" s="43">
        <f>VLOOKUP(C337,'2022-002-bottles_csv'!E:L,8,FALSE)</f>
        <v>0.05</v>
      </c>
      <c r="G337" s="218">
        <v>304</v>
      </c>
      <c r="H337" s="218">
        <v>10</v>
      </c>
      <c r="I337" s="218">
        <v>1</v>
      </c>
      <c r="J337" s="253">
        <v>1262.8499999999999</v>
      </c>
      <c r="K337" s="253">
        <v>1198.8</v>
      </c>
      <c r="L337" s="253">
        <v>334.87</v>
      </c>
      <c r="M337" s="253">
        <v>333.82</v>
      </c>
      <c r="N337" s="250">
        <f t="shared" si="30"/>
        <v>927.9799999999999</v>
      </c>
      <c r="O337" s="250">
        <f t="shared" si="31"/>
        <v>864.98</v>
      </c>
      <c r="P337" s="95">
        <f t="shared" si="32"/>
        <v>3.4430611214079951E-3</v>
      </c>
      <c r="Q337" s="95">
        <f t="shared" si="33"/>
        <v>3.7164173300105151E-2</v>
      </c>
      <c r="R337" s="133">
        <f t="shared" si="34"/>
        <v>1.0728340539665655</v>
      </c>
      <c r="T337" s="83">
        <v>397</v>
      </c>
    </row>
    <row r="338" spans="1:20">
      <c r="A338" s="219">
        <v>44754</v>
      </c>
      <c r="B338" s="81" t="str">
        <f>VLOOKUP(C338,'Master List'!A:C,3,FALSE)</f>
        <v>56-141</v>
      </c>
      <c r="C338" s="88">
        <v>560</v>
      </c>
      <c r="D338" s="88" t="s">
        <v>105</v>
      </c>
      <c r="E338" s="81">
        <f>VLOOKUP(C338,'Master List'!A:G,5,FALSE)</f>
        <v>100</v>
      </c>
      <c r="F338" s="43">
        <f>VLOOKUP(C338,'2022-002-bottles_csv'!E:L,8,FALSE)</f>
        <v>0.05</v>
      </c>
      <c r="G338" s="218">
        <v>304</v>
      </c>
      <c r="H338" s="218">
        <v>10</v>
      </c>
      <c r="I338" s="218">
        <v>1</v>
      </c>
      <c r="J338" s="253">
        <v>1763.1</v>
      </c>
      <c r="K338" s="253">
        <v>1536.3</v>
      </c>
      <c r="L338" s="253">
        <v>296.26</v>
      </c>
      <c r="M338" s="253">
        <v>308.87</v>
      </c>
      <c r="N338" s="250">
        <f t="shared" si="30"/>
        <v>1466.84</v>
      </c>
      <c r="O338" s="250">
        <f t="shared" si="31"/>
        <v>1227.4299999999998</v>
      </c>
      <c r="P338" s="95">
        <f t="shared" si="32"/>
        <v>1.3084178778988728E-2</v>
      </c>
      <c r="Q338" s="95">
        <f t="shared" si="33"/>
        <v>4.4538584459465201E-2</v>
      </c>
      <c r="R338" s="133">
        <f t="shared" si="34"/>
        <v>1.1950498195416439</v>
      </c>
      <c r="T338" s="83">
        <v>166</v>
      </c>
    </row>
    <row r="339" spans="1:20">
      <c r="A339" s="219">
        <v>44755</v>
      </c>
      <c r="B339" s="81" t="str">
        <f>VLOOKUP(C339,'Master List'!A:C,3,FALSE)</f>
        <v>56-141</v>
      </c>
      <c r="C339" s="88">
        <v>560</v>
      </c>
      <c r="D339" s="88" t="s">
        <v>106</v>
      </c>
      <c r="E339" s="81">
        <f>VLOOKUP(C339,'Master List'!A:G,5,FALSE)</f>
        <v>100</v>
      </c>
      <c r="F339" s="43">
        <f>VLOOKUP(C339,'2022-002-bottles_csv'!E:L,8,FALSE)</f>
        <v>0.05</v>
      </c>
      <c r="G339" s="218">
        <v>304</v>
      </c>
      <c r="H339" s="218">
        <v>10</v>
      </c>
      <c r="I339" s="218">
        <v>1</v>
      </c>
      <c r="J339" s="253">
        <v>1871.52</v>
      </c>
      <c r="K339" s="253">
        <v>1627.64</v>
      </c>
      <c r="L339" s="253">
        <v>332.42</v>
      </c>
      <c r="M339" s="253">
        <v>348.04</v>
      </c>
      <c r="N339" s="250">
        <f t="shared" si="30"/>
        <v>1539.1</v>
      </c>
      <c r="O339" s="250">
        <f t="shared" si="31"/>
        <v>1279.6000000000001</v>
      </c>
      <c r="P339" s="95">
        <f t="shared" si="32"/>
        <v>1.4182132714371042E-2</v>
      </c>
      <c r="Q339" s="95">
        <f t="shared" si="33"/>
        <v>4.5889796307997374E-2</v>
      </c>
      <c r="R339" s="133">
        <f t="shared" si="34"/>
        <v>1.2027977492966551</v>
      </c>
      <c r="T339" s="83">
        <v>227</v>
      </c>
    </row>
    <row r="340" spans="1:20">
      <c r="A340" s="219">
        <v>44755</v>
      </c>
      <c r="B340" s="81" t="str">
        <f>VLOOKUP(C340,'Master List'!A:C,3,FALSE)</f>
        <v>56-141</v>
      </c>
      <c r="C340" s="88">
        <v>561</v>
      </c>
      <c r="D340" s="88" t="s">
        <v>105</v>
      </c>
      <c r="E340" s="81">
        <f>VLOOKUP(C340,'Master List'!A:G,5,FALSE)</f>
        <v>75</v>
      </c>
      <c r="F340" s="43">
        <f>VLOOKUP(C340,'2022-002-bottles_csv'!E:L,8,FALSE)</f>
        <v>7.0000000000000007E-2</v>
      </c>
      <c r="G340" s="218">
        <v>304</v>
      </c>
      <c r="H340" s="218">
        <v>10</v>
      </c>
      <c r="I340" s="218">
        <v>1</v>
      </c>
      <c r="J340" s="253">
        <v>4560.16</v>
      </c>
      <c r="K340" s="253">
        <v>3448.26</v>
      </c>
      <c r="L340" s="253">
        <v>311.39</v>
      </c>
      <c r="M340" s="253">
        <v>298.52999999999997</v>
      </c>
      <c r="N340" s="250">
        <f t="shared" si="30"/>
        <v>4248.7699999999995</v>
      </c>
      <c r="O340" s="250">
        <f t="shared" si="31"/>
        <v>3149.7300000000005</v>
      </c>
      <c r="P340" s="95">
        <f t="shared" si="32"/>
        <v>6.0064474521781694E-2</v>
      </c>
      <c r="Q340" s="95">
        <f t="shared" si="33"/>
        <v>8.7802325259106473E-2</v>
      </c>
      <c r="R340" s="133">
        <f t="shared" si="34"/>
        <v>1.3489314957155054</v>
      </c>
      <c r="T340" s="83">
        <v>201</v>
      </c>
    </row>
    <row r="341" spans="1:20">
      <c r="A341" s="219">
        <v>44757</v>
      </c>
      <c r="B341" s="81" t="str">
        <f>VLOOKUP(C341,'Master List'!A:C,3,FALSE)</f>
        <v>56-141</v>
      </c>
      <c r="C341" s="88">
        <v>561</v>
      </c>
      <c r="D341" s="88" t="s">
        <v>106</v>
      </c>
      <c r="E341" s="81">
        <f>VLOOKUP(C341,'Master List'!A:G,5,FALSE)</f>
        <v>75</v>
      </c>
      <c r="F341" s="43">
        <f>VLOOKUP(C341,'2022-002-bottles_csv'!E:L,8,FALSE)</f>
        <v>7.0000000000000007E-2</v>
      </c>
      <c r="G341" s="218">
        <v>304</v>
      </c>
      <c r="H341" s="218">
        <v>10</v>
      </c>
      <c r="I341" s="218">
        <v>1</v>
      </c>
      <c r="J341" s="253">
        <v>4606.91</v>
      </c>
      <c r="K341" s="253">
        <v>3473.79</v>
      </c>
      <c r="L341" s="253">
        <v>338.28</v>
      </c>
      <c r="M341" s="253">
        <v>338.2</v>
      </c>
      <c r="N341" s="250">
        <f t="shared" si="30"/>
        <v>4268.63</v>
      </c>
      <c r="O341" s="250">
        <f t="shared" si="31"/>
        <v>3135.59</v>
      </c>
      <c r="P341" s="95">
        <f t="shared" si="32"/>
        <v>6.1922634492065427E-2</v>
      </c>
      <c r="Q341" s="95">
        <f t="shared" si="33"/>
        <v>8.5280350755862183E-2</v>
      </c>
      <c r="R341" s="133">
        <f t="shared" si="34"/>
        <v>1.3613482630063241</v>
      </c>
      <c r="T341" s="83">
        <v>335</v>
      </c>
    </row>
    <row r="342" spans="1:20">
      <c r="A342" s="219">
        <v>44755</v>
      </c>
      <c r="B342" s="81" t="str">
        <f>VLOOKUP(C342,'Master List'!A:C,3,FALSE)</f>
        <v>56-141</v>
      </c>
      <c r="C342" s="88">
        <v>564</v>
      </c>
      <c r="D342" s="88" t="s">
        <v>105</v>
      </c>
      <c r="E342" s="81">
        <f>VLOOKUP(C342,'Master List'!A:G,5,FALSE)</f>
        <v>50</v>
      </c>
      <c r="F342" s="43">
        <f>VLOOKUP(C342,'2022-002-bottles_csv'!E:L,8,FALSE)</f>
        <v>0.11</v>
      </c>
      <c r="G342" s="218">
        <v>304</v>
      </c>
      <c r="H342" s="218">
        <v>10</v>
      </c>
      <c r="I342" s="218">
        <v>1</v>
      </c>
      <c r="J342" s="253">
        <v>15114.01</v>
      </c>
      <c r="K342" s="253">
        <v>11157.3</v>
      </c>
      <c r="L342" s="253">
        <v>311.39</v>
      </c>
      <c r="M342" s="253">
        <v>298.52999999999997</v>
      </c>
      <c r="N342" s="250">
        <f t="shared" si="30"/>
        <v>14802.62</v>
      </c>
      <c r="O342" s="250">
        <f t="shared" si="31"/>
        <v>10858.769999999999</v>
      </c>
      <c r="P342" s="95">
        <f t="shared" si="32"/>
        <v>0.21553835878833261</v>
      </c>
      <c r="Q342" s="95">
        <f t="shared" si="33"/>
        <v>0.29423599312650278</v>
      </c>
      <c r="R342" s="133">
        <f t="shared" si="34"/>
        <v>1.3631949106574688</v>
      </c>
      <c r="T342" s="83">
        <v>203</v>
      </c>
    </row>
    <row r="343" spans="1:20">
      <c r="A343" s="219">
        <v>44757</v>
      </c>
      <c r="B343" s="81" t="str">
        <f>VLOOKUP(C343,'Master List'!A:C,3,FALSE)</f>
        <v>56-141</v>
      </c>
      <c r="C343" s="88">
        <v>564</v>
      </c>
      <c r="D343" s="88" t="s">
        <v>106</v>
      </c>
      <c r="E343" s="81">
        <f>VLOOKUP(C343,'Master List'!A:G,5,FALSE)</f>
        <v>50</v>
      </c>
      <c r="F343" s="43">
        <f>VLOOKUP(C343,'2022-002-bottles_csv'!E:L,8,FALSE)</f>
        <v>0.11</v>
      </c>
      <c r="G343" s="218">
        <v>304</v>
      </c>
      <c r="H343" s="218">
        <v>10</v>
      </c>
      <c r="I343" s="218">
        <v>1</v>
      </c>
      <c r="J343" s="253">
        <v>14632.07</v>
      </c>
      <c r="K343" s="253">
        <v>10439.98</v>
      </c>
      <c r="L343" s="253">
        <v>305.45999999999998</v>
      </c>
      <c r="M343" s="253">
        <v>318.69</v>
      </c>
      <c r="N343" s="250">
        <f t="shared" si="30"/>
        <v>14326.61</v>
      </c>
      <c r="O343" s="250">
        <f t="shared" si="31"/>
        <v>10121.289999999999</v>
      </c>
      <c r="P343" s="95">
        <f t="shared" si="32"/>
        <v>0.22982815547745242</v>
      </c>
      <c r="Q343" s="95">
        <f t="shared" si="33"/>
        <v>0.24532455982014606</v>
      </c>
      <c r="R343" s="133">
        <f t="shared" si="34"/>
        <v>1.4154924915697507</v>
      </c>
      <c r="T343" s="83">
        <v>296</v>
      </c>
    </row>
    <row r="344" spans="1:20">
      <c r="A344" s="219">
        <v>44755</v>
      </c>
      <c r="B344" s="81" t="str">
        <f>VLOOKUP(C344,'Master List'!A:C,3,FALSE)</f>
        <v>56-141</v>
      </c>
      <c r="C344" s="88">
        <v>566</v>
      </c>
      <c r="D344" s="88" t="s">
        <v>105</v>
      </c>
      <c r="E344" s="81">
        <f>VLOOKUP(C344,'Master List'!A:G,5,FALSE)</f>
        <v>25</v>
      </c>
      <c r="F344" s="43">
        <f>VLOOKUP(C344,'2022-002-bottles_csv'!E:L,8,FALSE)</f>
        <v>0.13</v>
      </c>
      <c r="G344" s="218">
        <v>304</v>
      </c>
      <c r="H344" s="218">
        <v>10</v>
      </c>
      <c r="I344" s="218">
        <v>1</v>
      </c>
      <c r="J344" s="253">
        <v>17496.07</v>
      </c>
      <c r="K344" s="253">
        <v>11619.62</v>
      </c>
      <c r="L344" s="253">
        <v>311.39</v>
      </c>
      <c r="M344" s="253">
        <v>298.52999999999997</v>
      </c>
      <c r="N344" s="250">
        <f t="shared" si="30"/>
        <v>17184.68</v>
      </c>
      <c r="O344" s="250">
        <f t="shared" si="31"/>
        <v>11321.09</v>
      </c>
      <c r="P344" s="95">
        <f t="shared" si="32"/>
        <v>0.32045553588693243</v>
      </c>
      <c r="Q344" s="95">
        <f t="shared" si="33"/>
        <v>0.21102282839553452</v>
      </c>
      <c r="R344" s="133">
        <f t="shared" si="34"/>
        <v>1.5179351104884777</v>
      </c>
      <c r="T344" s="83">
        <v>194</v>
      </c>
    </row>
    <row r="345" spans="1:20">
      <c r="A345" s="219">
        <v>44761</v>
      </c>
      <c r="B345" s="81" t="str">
        <f>VLOOKUP(C345,'Master List'!A:C,3,FALSE)</f>
        <v>56-141</v>
      </c>
      <c r="C345" s="88">
        <v>566</v>
      </c>
      <c r="D345" s="88" t="s">
        <v>106</v>
      </c>
      <c r="E345" s="81">
        <f>VLOOKUP(C345,'Master List'!A:G,5,FALSE)</f>
        <v>25</v>
      </c>
      <c r="F345" s="43">
        <f>VLOOKUP(C345,'2022-002-bottles_csv'!E:L,8,FALSE)</f>
        <v>0.13</v>
      </c>
      <c r="G345" s="218">
        <v>304</v>
      </c>
      <c r="H345" s="218">
        <v>10</v>
      </c>
      <c r="I345" s="218">
        <v>1</v>
      </c>
      <c r="J345" s="253">
        <v>17521.849999999999</v>
      </c>
      <c r="K345" s="253">
        <v>11816.63</v>
      </c>
      <c r="L345" s="253">
        <v>362.04</v>
      </c>
      <c r="M345" s="253">
        <v>363.93</v>
      </c>
      <c r="N345" s="250">
        <f t="shared" si="30"/>
        <v>17159.809999999998</v>
      </c>
      <c r="O345" s="250">
        <f t="shared" si="31"/>
        <v>11452.699999999999</v>
      </c>
      <c r="P345" s="95">
        <f t="shared" si="32"/>
        <v>0.31190362788252085</v>
      </c>
      <c r="Q345" s="95">
        <f t="shared" si="33"/>
        <v>0.22575328170991327</v>
      </c>
      <c r="R345" s="133">
        <f t="shared" si="34"/>
        <v>1.498320046801191</v>
      </c>
      <c r="T345" s="83">
        <v>375</v>
      </c>
    </row>
    <row r="346" spans="1:20">
      <c r="A346" s="219">
        <v>44755</v>
      </c>
      <c r="B346" s="81" t="str">
        <f>VLOOKUP(C346,'Master List'!A:C,3,FALSE)</f>
        <v>56-141</v>
      </c>
      <c r="C346" s="88">
        <v>572</v>
      </c>
      <c r="D346" s="88" t="s">
        <v>105</v>
      </c>
      <c r="E346" s="81">
        <f>VLOOKUP(C346,'Master List'!A:G,5,FALSE)</f>
        <v>5</v>
      </c>
      <c r="F346" s="43">
        <f>VLOOKUP(C346,'2022-002-bottles_csv'!E:L,8,FALSE)</f>
        <v>0.13</v>
      </c>
      <c r="G346" s="218">
        <v>304</v>
      </c>
      <c r="H346" s="218">
        <v>10</v>
      </c>
      <c r="I346" s="218">
        <v>1</v>
      </c>
      <c r="J346" s="253">
        <v>14785.92</v>
      </c>
      <c r="K346" s="253">
        <v>9680.14</v>
      </c>
      <c r="L346" s="253">
        <v>311.39</v>
      </c>
      <c r="M346" s="253">
        <v>298.52999999999997</v>
      </c>
      <c r="N346" s="250">
        <f t="shared" si="30"/>
        <v>14474.53</v>
      </c>
      <c r="O346" s="250">
        <f t="shared" si="31"/>
        <v>9381.6099999999988</v>
      </c>
      <c r="P346" s="95">
        <f t="shared" si="32"/>
        <v>0.27833706105462297</v>
      </c>
      <c r="Q346" s="95">
        <f t="shared" si="33"/>
        <v>0.16209073672244925</v>
      </c>
      <c r="R346" s="133">
        <f t="shared" si="34"/>
        <v>1.5428620460667202</v>
      </c>
      <c r="T346" s="83">
        <v>198</v>
      </c>
    </row>
    <row r="347" spans="1:20">
      <c r="A347" s="219">
        <v>44756</v>
      </c>
      <c r="B347" s="81" t="str">
        <f>VLOOKUP(C347,'Master List'!A:C,3,FALSE)</f>
        <v>56-141</v>
      </c>
      <c r="C347" s="88">
        <v>572</v>
      </c>
      <c r="D347" s="88" t="s">
        <v>106</v>
      </c>
      <c r="E347" s="81">
        <f>VLOOKUP(C347,'Master List'!A:G,5,FALSE)</f>
        <v>5</v>
      </c>
      <c r="F347" s="43">
        <f>VLOOKUP(C347,'2022-002-bottles_csv'!E:L,8,FALSE)</f>
        <v>0.13</v>
      </c>
      <c r="G347" s="218">
        <v>304</v>
      </c>
      <c r="H347" s="218">
        <v>10</v>
      </c>
      <c r="I347" s="218">
        <v>1</v>
      </c>
      <c r="J347" s="253">
        <v>14390.42</v>
      </c>
      <c r="K347" s="253">
        <v>9253.19</v>
      </c>
      <c r="L347" s="253">
        <v>332.16</v>
      </c>
      <c r="M347" s="253">
        <v>344.15</v>
      </c>
      <c r="N347" s="250">
        <f t="shared" si="30"/>
        <v>14058.26</v>
      </c>
      <c r="O347" s="250">
        <f t="shared" si="31"/>
        <v>8909.0400000000009</v>
      </c>
      <c r="P347" s="95">
        <f t="shared" si="32"/>
        <v>0.28141395535835728</v>
      </c>
      <c r="Q347" s="95">
        <f t="shared" si="33"/>
        <v>0.13682863493348477</v>
      </c>
      <c r="R347" s="133">
        <f t="shared" si="34"/>
        <v>1.5779769761949658</v>
      </c>
      <c r="T347" s="83">
        <v>247</v>
      </c>
    </row>
    <row r="348" spans="1:20">
      <c r="A348" s="219">
        <v>44754</v>
      </c>
      <c r="B348" s="81" t="str">
        <f>VLOOKUP(C348,'Master List'!A:C,3,FALSE)</f>
        <v>57-141</v>
      </c>
      <c r="C348" s="88">
        <v>577</v>
      </c>
      <c r="D348" s="88" t="s">
        <v>105</v>
      </c>
      <c r="E348" s="81">
        <f>VLOOKUP(C348,'Master List'!A:G,5,FALSE)</f>
        <v>150</v>
      </c>
      <c r="F348" s="43">
        <f>VLOOKUP(C348,'2022-002-bottles_csv'!E:L,8,FALSE)</f>
        <v>0.05</v>
      </c>
      <c r="G348" s="218">
        <v>304</v>
      </c>
      <c r="H348" s="218">
        <v>10</v>
      </c>
      <c r="I348" s="218">
        <v>1</v>
      </c>
      <c r="J348" s="253">
        <v>1429.99</v>
      </c>
      <c r="K348" s="253">
        <v>1380.18</v>
      </c>
      <c r="L348" s="253">
        <v>296.26</v>
      </c>
      <c r="M348" s="253">
        <v>308.87</v>
      </c>
      <c r="N348" s="250">
        <f t="shared" si="30"/>
        <v>1133.73</v>
      </c>
      <c r="O348" s="250">
        <f t="shared" si="31"/>
        <v>1071.31</v>
      </c>
      <c r="P348" s="95">
        <f t="shared" si="32"/>
        <v>3.4113630983855186E-3</v>
      </c>
      <c r="Q348" s="95">
        <f t="shared" si="33"/>
        <v>4.6882211675726308E-2</v>
      </c>
      <c r="R348" s="133">
        <f t="shared" si="34"/>
        <v>1.0582651146726905</v>
      </c>
      <c r="T348" s="83">
        <v>157</v>
      </c>
    </row>
    <row r="349" spans="1:20">
      <c r="A349" s="219">
        <v>44761</v>
      </c>
      <c r="B349" s="81" t="str">
        <f>VLOOKUP(C349,'Master List'!A:C,3,FALSE)</f>
        <v>57-141</v>
      </c>
      <c r="C349" s="88">
        <v>577</v>
      </c>
      <c r="D349" s="88" t="s">
        <v>106</v>
      </c>
      <c r="E349" s="81">
        <f>VLOOKUP(C349,'Master List'!A:G,5,FALSE)</f>
        <v>150</v>
      </c>
      <c r="F349" s="43">
        <f>VLOOKUP(C349,'2022-002-bottles_csv'!E:L,8,FALSE)</f>
        <v>0.05</v>
      </c>
      <c r="G349" s="218">
        <v>304</v>
      </c>
      <c r="H349" s="218">
        <v>10</v>
      </c>
      <c r="I349" s="218">
        <v>1</v>
      </c>
      <c r="J349" s="253">
        <v>1416.86</v>
      </c>
      <c r="K349" s="253">
        <v>1367.75</v>
      </c>
      <c r="L349" s="253">
        <v>362.04</v>
      </c>
      <c r="M349" s="253">
        <v>363.93</v>
      </c>
      <c r="N349" s="250">
        <f t="shared" si="30"/>
        <v>1054.82</v>
      </c>
      <c r="O349" s="250">
        <f t="shared" si="31"/>
        <v>1003.8199999999999</v>
      </c>
      <c r="P349" s="95">
        <f t="shared" si="32"/>
        <v>2.7872399554255247E-3</v>
      </c>
      <c r="Q349" s="95">
        <f t="shared" si="33"/>
        <v>4.4337958380956041E-2</v>
      </c>
      <c r="R349" s="133">
        <f t="shared" si="34"/>
        <v>1.0508059213803271</v>
      </c>
      <c r="T349" s="83">
        <v>384</v>
      </c>
    </row>
    <row r="350" spans="1:20">
      <c r="A350" s="219">
        <v>44754</v>
      </c>
      <c r="B350" s="81" t="str">
        <f>VLOOKUP(C350,'Master List'!A:C,3,FALSE)</f>
        <v>57-141</v>
      </c>
      <c r="C350" s="88">
        <v>581</v>
      </c>
      <c r="D350" s="88" t="s">
        <v>105</v>
      </c>
      <c r="E350" s="81">
        <f>VLOOKUP(C350,'Master List'!A:G,5,FALSE)</f>
        <v>100</v>
      </c>
      <c r="F350" s="43">
        <f>VLOOKUP(C350,'2022-002-bottles_csv'!E:L,8,FALSE)</f>
        <v>0.05</v>
      </c>
      <c r="G350" s="218">
        <v>304</v>
      </c>
      <c r="H350" s="218">
        <v>10</v>
      </c>
      <c r="I350" s="218">
        <v>1</v>
      </c>
      <c r="J350" s="253">
        <v>2027.36</v>
      </c>
      <c r="K350" s="253">
        <v>1843.28</v>
      </c>
      <c r="L350" s="253">
        <v>296.26</v>
      </c>
      <c r="M350" s="253">
        <v>308.87</v>
      </c>
      <c r="N350" s="250">
        <f t="shared" si="30"/>
        <v>1731.1</v>
      </c>
      <c r="O350" s="250">
        <f t="shared" si="31"/>
        <v>1534.4099999999999</v>
      </c>
      <c r="P350" s="95">
        <f t="shared" si="32"/>
        <v>1.0749455428091111E-2</v>
      </c>
      <c r="Q350" s="95">
        <f t="shared" si="33"/>
        <v>6.1284749488454915E-2</v>
      </c>
      <c r="R350" s="133">
        <f t="shared" si="34"/>
        <v>1.1281860780365092</v>
      </c>
      <c r="T350" s="83">
        <v>156</v>
      </c>
    </row>
    <row r="351" spans="1:20">
      <c r="A351" s="219">
        <v>44756</v>
      </c>
      <c r="B351" s="81" t="str">
        <f>VLOOKUP(C351,'Master List'!A:C,3,FALSE)</f>
        <v>57-141</v>
      </c>
      <c r="C351" s="88">
        <v>581</v>
      </c>
      <c r="D351" s="88" t="s">
        <v>106</v>
      </c>
      <c r="E351" s="81">
        <f>VLOOKUP(C351,'Master List'!A:G,5,FALSE)</f>
        <v>100</v>
      </c>
      <c r="F351" s="43">
        <f>VLOOKUP(C351,'2022-002-bottles_csv'!E:L,8,FALSE)</f>
        <v>0.05</v>
      </c>
      <c r="G351" s="218">
        <v>304</v>
      </c>
      <c r="H351" s="218">
        <v>10</v>
      </c>
      <c r="I351" s="218">
        <v>1</v>
      </c>
      <c r="J351" s="253">
        <v>1972.96</v>
      </c>
      <c r="K351" s="253">
        <v>1710.14</v>
      </c>
      <c r="L351" s="253">
        <v>332.16</v>
      </c>
      <c r="M351" s="253">
        <v>344.15</v>
      </c>
      <c r="N351" s="250">
        <f t="shared" si="30"/>
        <v>1640.8</v>
      </c>
      <c r="O351" s="250">
        <f t="shared" si="31"/>
        <v>1365.9900000000002</v>
      </c>
      <c r="P351" s="95">
        <f t="shared" si="32"/>
        <v>1.5018851218637014E-2</v>
      </c>
      <c r="Q351" s="95">
        <f t="shared" si="33"/>
        <v>4.9108731092448517E-2</v>
      </c>
      <c r="R351" s="133">
        <f t="shared" si="34"/>
        <v>1.2011800964867969</v>
      </c>
      <c r="T351" s="83">
        <v>256</v>
      </c>
    </row>
    <row r="352" spans="1:20">
      <c r="A352" s="219">
        <v>44754</v>
      </c>
      <c r="B352" s="81" t="str">
        <f>VLOOKUP(C352,'Master List'!A:C,3,FALSE)</f>
        <v>57-141</v>
      </c>
      <c r="C352" s="88">
        <v>582</v>
      </c>
      <c r="D352" s="88" t="s">
        <v>105</v>
      </c>
      <c r="E352" s="81">
        <f>VLOOKUP(C352,'Master List'!A:G,5,FALSE)</f>
        <v>75</v>
      </c>
      <c r="F352" s="43">
        <f>VLOOKUP(C352,'2022-002-bottles_csv'!E:L,8,FALSE)</f>
        <v>7.0000000000000007E-2</v>
      </c>
      <c r="G352" s="218">
        <v>304</v>
      </c>
      <c r="H352" s="218">
        <v>10</v>
      </c>
      <c r="I352" s="218">
        <v>1</v>
      </c>
      <c r="J352" s="253">
        <v>8750.8700000000008</v>
      </c>
      <c r="K352" s="253">
        <v>6394.02</v>
      </c>
      <c r="L352" s="253">
        <v>296.26</v>
      </c>
      <c r="M352" s="253">
        <v>308.87</v>
      </c>
      <c r="N352" s="250">
        <f t="shared" si="30"/>
        <v>8454.61</v>
      </c>
      <c r="O352" s="250">
        <f t="shared" si="31"/>
        <v>6085.1500000000005</v>
      </c>
      <c r="P352" s="95">
        <f t="shared" si="32"/>
        <v>0.12949516832906988</v>
      </c>
      <c r="Q352" s="95">
        <f t="shared" si="33"/>
        <v>0.15617746287635767</v>
      </c>
      <c r="R352" s="133">
        <f t="shared" si="34"/>
        <v>1.3893839921776785</v>
      </c>
      <c r="T352" s="83">
        <v>150</v>
      </c>
    </row>
    <row r="353" spans="1:20">
      <c r="A353" s="219">
        <v>44761</v>
      </c>
      <c r="B353" s="81" t="str">
        <f>VLOOKUP(C353,'Master List'!A:C,3,FALSE)</f>
        <v>57-141</v>
      </c>
      <c r="C353" s="88">
        <v>582</v>
      </c>
      <c r="D353" s="88" t="s">
        <v>106</v>
      </c>
      <c r="E353" s="81">
        <f>VLOOKUP(C353,'Master List'!A:G,5,FALSE)</f>
        <v>75</v>
      </c>
      <c r="F353" s="43">
        <f>VLOOKUP(C353,'2022-002-bottles_csv'!E:L,8,FALSE)</f>
        <v>7.0000000000000007E-2</v>
      </c>
      <c r="G353" s="218">
        <v>304</v>
      </c>
      <c r="H353" s="218">
        <v>10</v>
      </c>
      <c r="I353" s="218">
        <v>1</v>
      </c>
      <c r="J353" s="253">
        <v>8443.6200000000008</v>
      </c>
      <c r="K353" s="253">
        <v>6221.86</v>
      </c>
      <c r="L353" s="253">
        <v>345.92</v>
      </c>
      <c r="M353" s="253">
        <v>349.76</v>
      </c>
      <c r="N353" s="250">
        <f t="shared" si="30"/>
        <v>8097.7000000000007</v>
      </c>
      <c r="O353" s="250">
        <f t="shared" si="31"/>
        <v>5872.0999999999995</v>
      </c>
      <c r="P353" s="95">
        <f t="shared" si="32"/>
        <v>0.1216329655842167</v>
      </c>
      <c r="Q353" s="95">
        <f t="shared" si="33"/>
        <v>0.15403784905492798</v>
      </c>
      <c r="R353" s="133">
        <f t="shared" si="34"/>
        <v>1.3790126189949083</v>
      </c>
      <c r="T353" s="83">
        <v>344</v>
      </c>
    </row>
    <row r="354" spans="1:20">
      <c r="A354" s="219">
        <v>44755</v>
      </c>
      <c r="B354" s="81" t="str">
        <f>VLOOKUP(C354,'Master List'!A:C,3,FALSE)</f>
        <v>57-141</v>
      </c>
      <c r="C354" s="88">
        <v>585</v>
      </c>
      <c r="D354" s="88" t="s">
        <v>105</v>
      </c>
      <c r="E354" s="81">
        <f>VLOOKUP(C354,'Master List'!A:G,5,FALSE)</f>
        <v>50</v>
      </c>
      <c r="F354" s="43">
        <f>VLOOKUP(C354,'2022-002-bottles_csv'!E:L,8,FALSE)</f>
        <v>0.12</v>
      </c>
      <c r="G354" s="218">
        <v>304</v>
      </c>
      <c r="H354" s="218">
        <v>10</v>
      </c>
      <c r="I354" s="218">
        <v>1</v>
      </c>
      <c r="J354" s="253">
        <v>21272.11</v>
      </c>
      <c r="K354" s="253">
        <v>14182.97</v>
      </c>
      <c r="L354" s="253">
        <v>311.39</v>
      </c>
      <c r="M354" s="253">
        <v>298.52999999999997</v>
      </c>
      <c r="N354" s="250">
        <f t="shared" si="30"/>
        <v>20960.72</v>
      </c>
      <c r="O354" s="250">
        <f t="shared" si="31"/>
        <v>13884.439999999999</v>
      </c>
      <c r="P354" s="95">
        <f t="shared" si="32"/>
        <v>0.38673118336820667</v>
      </c>
      <c r="Q354" s="95">
        <f t="shared" si="33"/>
        <v>0.26508586429929309</v>
      </c>
      <c r="R354" s="133">
        <f t="shared" si="34"/>
        <v>1.5096554128218354</v>
      </c>
      <c r="T354" s="83">
        <v>193</v>
      </c>
    </row>
    <row r="355" spans="1:20">
      <c r="A355" s="219">
        <v>44757</v>
      </c>
      <c r="B355" s="81" t="str">
        <f>VLOOKUP(C355,'Master List'!A:C,3,FALSE)</f>
        <v>57-141</v>
      </c>
      <c r="C355" s="88">
        <v>585</v>
      </c>
      <c r="D355" s="88" t="s">
        <v>106</v>
      </c>
      <c r="E355" s="81">
        <f>VLOOKUP(C355,'Master List'!A:G,5,FALSE)</f>
        <v>50</v>
      </c>
      <c r="F355" s="43">
        <f>VLOOKUP(C355,'2022-002-bottles_csv'!E:L,8,FALSE)</f>
        <v>0.12</v>
      </c>
      <c r="G355" s="218">
        <v>304</v>
      </c>
      <c r="H355" s="218">
        <v>10</v>
      </c>
      <c r="I355" s="218">
        <v>1</v>
      </c>
      <c r="J355" s="253">
        <v>19928.13</v>
      </c>
      <c r="K355" s="253">
        <v>13333.12</v>
      </c>
      <c r="L355" s="253">
        <v>351.09</v>
      </c>
      <c r="M355" s="253">
        <v>351.83</v>
      </c>
      <c r="N355" s="250">
        <f t="shared" si="30"/>
        <v>19577.04</v>
      </c>
      <c r="O355" s="250">
        <f t="shared" si="31"/>
        <v>12981.29</v>
      </c>
      <c r="P355" s="95">
        <f t="shared" si="32"/>
        <v>0.36046937129407658</v>
      </c>
      <c r="Q355" s="95">
        <f t="shared" si="33"/>
        <v>0.2489485182798378</v>
      </c>
      <c r="R355" s="133">
        <f t="shared" si="34"/>
        <v>1.5080966529520563</v>
      </c>
      <c r="T355" s="83">
        <v>282</v>
      </c>
    </row>
    <row r="356" spans="1:20">
      <c r="A356" s="219">
        <v>44754</v>
      </c>
      <c r="B356" s="81" t="str">
        <f>VLOOKUP(C356,'Master List'!A:C,3,FALSE)</f>
        <v>57-141</v>
      </c>
      <c r="C356" s="88">
        <v>587</v>
      </c>
      <c r="D356" s="88" t="s">
        <v>105</v>
      </c>
      <c r="E356" s="81">
        <f>VLOOKUP(C356,'Master List'!A:G,5,FALSE)</f>
        <v>25</v>
      </c>
      <c r="F356" s="43">
        <f>VLOOKUP(C356,'2022-002-bottles_csv'!E:L,8,FALSE)</f>
        <v>0.13</v>
      </c>
      <c r="G356" s="218">
        <v>304</v>
      </c>
      <c r="H356" s="218">
        <v>10</v>
      </c>
      <c r="I356" s="218">
        <v>1</v>
      </c>
      <c r="J356" s="253">
        <v>22396.78</v>
      </c>
      <c r="K356" s="253">
        <v>14641.68</v>
      </c>
      <c r="L356" s="253">
        <v>283.95999999999998</v>
      </c>
      <c r="M356" s="253">
        <v>294.02999999999997</v>
      </c>
      <c r="N356" s="250">
        <f t="shared" si="30"/>
        <v>22112.82</v>
      </c>
      <c r="O356" s="250">
        <f t="shared" si="31"/>
        <v>14347.65</v>
      </c>
      <c r="P356" s="95">
        <f t="shared" si="32"/>
        <v>0.42438023695434557</v>
      </c>
      <c r="Q356" s="95">
        <f t="shared" si="33"/>
        <v>0.24918260490075289</v>
      </c>
      <c r="R356" s="133">
        <f t="shared" si="34"/>
        <v>1.5412154603715591</v>
      </c>
      <c r="T356" s="83">
        <v>179</v>
      </c>
    </row>
    <row r="357" spans="1:20">
      <c r="A357" s="219">
        <v>44761</v>
      </c>
      <c r="B357" s="81" t="str">
        <f>VLOOKUP(C357,'Master List'!A:C,3,FALSE)</f>
        <v>57-141</v>
      </c>
      <c r="C357" s="88">
        <v>587</v>
      </c>
      <c r="D357" s="88" t="s">
        <v>106</v>
      </c>
      <c r="E357" s="81">
        <f>VLOOKUP(C357,'Master List'!A:G,5,FALSE)</f>
        <v>25</v>
      </c>
      <c r="F357" s="43">
        <f>VLOOKUP(C357,'2022-002-bottles_csv'!E:L,8,FALSE)</f>
        <v>0.13</v>
      </c>
      <c r="G357" s="218">
        <v>304</v>
      </c>
      <c r="H357" s="218">
        <v>10</v>
      </c>
      <c r="I357" s="218">
        <v>1</v>
      </c>
      <c r="J357" s="253">
        <v>23199.99</v>
      </c>
      <c r="K357" s="253">
        <v>14779.81</v>
      </c>
      <c r="L357" s="253">
        <v>334.87</v>
      </c>
      <c r="M357" s="253">
        <v>333.82</v>
      </c>
      <c r="N357" s="250">
        <f t="shared" si="30"/>
        <v>22865.120000000003</v>
      </c>
      <c r="O357" s="250">
        <f t="shared" si="31"/>
        <v>14445.99</v>
      </c>
      <c r="P357" s="95">
        <f t="shared" si="32"/>
        <v>0.46012030442983742</v>
      </c>
      <c r="Q357" s="95">
        <f t="shared" si="33"/>
        <v>0.21805919380230054</v>
      </c>
      <c r="R357" s="133">
        <f t="shared" si="34"/>
        <v>1.5828004865017906</v>
      </c>
      <c r="T357" s="83">
        <v>408</v>
      </c>
    </row>
    <row r="358" spans="1:20">
      <c r="A358" s="219">
        <v>44754</v>
      </c>
      <c r="B358" s="81" t="str">
        <f>VLOOKUP(C358,'Master List'!A:C,3,FALSE)</f>
        <v>57-141</v>
      </c>
      <c r="C358" s="88">
        <v>593</v>
      </c>
      <c r="D358" s="88" t="s">
        <v>105</v>
      </c>
      <c r="E358" s="81">
        <f>VLOOKUP(C358,'Master List'!A:G,5,FALSE)</f>
        <v>5</v>
      </c>
      <c r="F358" s="43">
        <f>VLOOKUP(C358,'2022-002-bottles_csv'!E:L,8,FALSE)</f>
        <v>0.13</v>
      </c>
      <c r="G358" s="218">
        <v>304</v>
      </c>
      <c r="H358" s="218">
        <v>10</v>
      </c>
      <c r="I358" s="218">
        <v>1</v>
      </c>
      <c r="J358" s="253">
        <v>25993.07</v>
      </c>
      <c r="K358" s="253">
        <v>16468.16</v>
      </c>
      <c r="L358" s="253">
        <v>283.95999999999998</v>
      </c>
      <c r="M358" s="253">
        <v>294.02999999999997</v>
      </c>
      <c r="N358" s="250">
        <f t="shared" si="30"/>
        <v>25709.11</v>
      </c>
      <c r="O358" s="250">
        <f t="shared" si="31"/>
        <v>16174.13</v>
      </c>
      <c r="P358" s="95">
        <f t="shared" si="32"/>
        <v>0.52110347510163291</v>
      </c>
      <c r="Q358" s="95">
        <f t="shared" si="33"/>
        <v>0.23820505049899204</v>
      </c>
      <c r="R358" s="133">
        <f t="shared" si="34"/>
        <v>1.5895204255190234</v>
      </c>
      <c r="T358" s="83">
        <v>170</v>
      </c>
    </row>
    <row r="359" spans="1:20">
      <c r="A359" s="219">
        <v>44761</v>
      </c>
      <c r="B359" s="81" t="str">
        <f>VLOOKUP(C359,'Master List'!A:C,3,FALSE)</f>
        <v>57-141</v>
      </c>
      <c r="C359" s="88">
        <v>593</v>
      </c>
      <c r="D359" s="88" t="s">
        <v>106</v>
      </c>
      <c r="E359" s="81">
        <f>VLOOKUP(C359,'Master List'!A:G,5,FALSE)</f>
        <v>5</v>
      </c>
      <c r="F359" s="43">
        <f>VLOOKUP(C359,'2022-002-bottles_csv'!E:L,8,FALSE)</f>
        <v>0.13</v>
      </c>
      <c r="G359" s="218">
        <v>304</v>
      </c>
      <c r="H359" s="218">
        <v>10</v>
      </c>
      <c r="I359" s="218">
        <v>1</v>
      </c>
      <c r="J359" s="253">
        <v>24762.75</v>
      </c>
      <c r="K359" s="253">
        <v>15810.98</v>
      </c>
      <c r="L359" s="253">
        <v>334.87</v>
      </c>
      <c r="M359" s="253">
        <v>333.82</v>
      </c>
      <c r="N359" s="250">
        <f t="shared" si="30"/>
        <v>24427.88</v>
      </c>
      <c r="O359" s="250">
        <f t="shared" si="31"/>
        <v>15477.16</v>
      </c>
      <c r="P359" s="95">
        <f t="shared" si="32"/>
        <v>0.48917263556522272</v>
      </c>
      <c r="Q359" s="95">
        <f t="shared" si="33"/>
        <v>0.23741603041464565</v>
      </c>
      <c r="R359" s="133">
        <f t="shared" si="34"/>
        <v>1.5783179859870933</v>
      </c>
      <c r="T359" s="83">
        <v>395</v>
      </c>
    </row>
    <row r="360" spans="1:20">
      <c r="A360" s="219">
        <v>44755</v>
      </c>
      <c r="B360" s="81" t="str">
        <f>VLOOKUP(C360,'Master List'!A:C,3,FALSE)</f>
        <v>57-144</v>
      </c>
      <c r="C360" s="88">
        <v>606</v>
      </c>
      <c r="D360" s="88" t="s">
        <v>105</v>
      </c>
      <c r="E360" s="81">
        <f>VLOOKUP(C360,'Master List'!A:G,5,FALSE)</f>
        <v>150</v>
      </c>
      <c r="F360" s="43">
        <f>VLOOKUP(C360,'2022-002-bottles_csv'!E:L,8,FALSE)</f>
        <v>0.06</v>
      </c>
      <c r="G360" s="218">
        <v>304</v>
      </c>
      <c r="H360" s="218">
        <v>10</v>
      </c>
      <c r="I360" s="218">
        <v>1</v>
      </c>
      <c r="J360" s="253">
        <v>1081.1199999999999</v>
      </c>
      <c r="K360" s="253">
        <v>973.83</v>
      </c>
      <c r="L360" s="253">
        <v>311.39</v>
      </c>
      <c r="M360" s="253">
        <v>298.52999999999997</v>
      </c>
      <c r="N360" s="250">
        <f t="shared" si="30"/>
        <v>769.7299999999999</v>
      </c>
      <c r="O360" s="250">
        <f t="shared" si="31"/>
        <v>675.30000000000007</v>
      </c>
      <c r="P360" s="95">
        <f t="shared" si="32"/>
        <v>5.1607660586437615E-3</v>
      </c>
      <c r="Q360" s="95">
        <f t="shared" si="33"/>
        <v>2.6541776664711501E-2</v>
      </c>
      <c r="R360" s="133">
        <f t="shared" si="34"/>
        <v>1.1398341477861689</v>
      </c>
      <c r="T360" s="83">
        <v>204</v>
      </c>
    </row>
    <row r="361" spans="1:20">
      <c r="A361" s="219">
        <v>44757</v>
      </c>
      <c r="B361" s="81" t="str">
        <f>VLOOKUP(C361,'Master List'!A:C,3,FALSE)</f>
        <v>57-144</v>
      </c>
      <c r="C361" s="88">
        <v>606</v>
      </c>
      <c r="D361" s="88" t="s">
        <v>106</v>
      </c>
      <c r="E361" s="81">
        <f>VLOOKUP(C361,'Master List'!A:G,5,FALSE)</f>
        <v>150</v>
      </c>
      <c r="F361" s="43">
        <f>VLOOKUP(C361,'2022-002-bottles_csv'!E:L,8,FALSE)</f>
        <v>0.06</v>
      </c>
      <c r="G361" s="218">
        <v>304</v>
      </c>
      <c r="H361" s="218">
        <v>10</v>
      </c>
      <c r="I361" s="218">
        <v>1</v>
      </c>
      <c r="J361" s="253">
        <v>1237.25</v>
      </c>
      <c r="K361" s="253">
        <v>1124.08</v>
      </c>
      <c r="L361" s="253">
        <v>338.28</v>
      </c>
      <c r="M361" s="253">
        <v>338.2</v>
      </c>
      <c r="N361" s="250">
        <f t="shared" si="30"/>
        <v>898.97</v>
      </c>
      <c r="O361" s="250">
        <f t="shared" si="31"/>
        <v>785.87999999999988</v>
      </c>
      <c r="P361" s="95">
        <f t="shared" si="32"/>
        <v>6.1805679717465293E-3</v>
      </c>
      <c r="Q361" s="95">
        <f t="shared" si="33"/>
        <v>3.0713248517858723E-2</v>
      </c>
      <c r="R361" s="133">
        <f t="shared" si="34"/>
        <v>1.1439023769532246</v>
      </c>
      <c r="T361" s="83">
        <v>330</v>
      </c>
    </row>
    <row r="362" spans="1:20">
      <c r="A362" s="219">
        <v>44755</v>
      </c>
      <c r="B362" s="81" t="str">
        <f>VLOOKUP(C362,'Master List'!A:C,3,FALSE)</f>
        <v>57-144</v>
      </c>
      <c r="C362" s="88">
        <v>608</v>
      </c>
      <c r="D362" s="88" t="s">
        <v>105</v>
      </c>
      <c r="E362" s="81">
        <f>VLOOKUP(C362,'Master List'!A:G,5,FALSE)</f>
        <v>100</v>
      </c>
      <c r="F362" s="43">
        <f>VLOOKUP(C362,'2022-002-bottles_csv'!E:L,8,FALSE)</f>
        <v>7.0000000000000007E-2</v>
      </c>
      <c r="G362" s="218">
        <v>304</v>
      </c>
      <c r="H362" s="218">
        <v>10</v>
      </c>
      <c r="I362" s="218">
        <v>1</v>
      </c>
      <c r="J362" s="253">
        <v>3334</v>
      </c>
      <c r="K362" s="253">
        <v>2580.0500000000002</v>
      </c>
      <c r="L362" s="253">
        <v>311.39</v>
      </c>
      <c r="M362" s="253">
        <v>298.52999999999997</v>
      </c>
      <c r="N362" s="250">
        <f t="shared" si="30"/>
        <v>3022.61</v>
      </c>
      <c r="O362" s="250">
        <f t="shared" si="31"/>
        <v>2281.5200000000004</v>
      </c>
      <c r="P362" s="95">
        <f t="shared" si="32"/>
        <v>4.0501875658162774E-2</v>
      </c>
      <c r="Q362" s="95">
        <f t="shared" si="33"/>
        <v>6.6606054556837213E-2</v>
      </c>
      <c r="R362" s="133">
        <f t="shared" si="34"/>
        <v>1.3248229250674988</v>
      </c>
      <c r="T362" s="83">
        <v>202</v>
      </c>
    </row>
    <row r="363" spans="1:20">
      <c r="A363" s="219">
        <v>44756</v>
      </c>
      <c r="B363" s="81" t="str">
        <f>VLOOKUP(C363,'Master List'!A:C,3,FALSE)</f>
        <v>57-144</v>
      </c>
      <c r="C363" s="88">
        <v>608</v>
      </c>
      <c r="D363" s="88" t="s">
        <v>106</v>
      </c>
      <c r="E363" s="81">
        <f>VLOOKUP(C363,'Master List'!A:G,5,FALSE)</f>
        <v>100</v>
      </c>
      <c r="F363" s="43">
        <f>VLOOKUP(C363,'2022-002-bottles_csv'!E:L,8,FALSE)</f>
        <v>7.0000000000000007E-2</v>
      </c>
      <c r="G363" s="218">
        <v>304</v>
      </c>
      <c r="H363" s="218">
        <v>10</v>
      </c>
      <c r="I363" s="218">
        <v>1</v>
      </c>
      <c r="J363" s="253">
        <v>3725.06</v>
      </c>
      <c r="K363" s="253">
        <v>2959.52</v>
      </c>
      <c r="L363" s="253">
        <v>332.16</v>
      </c>
      <c r="M363" s="253">
        <v>344.15</v>
      </c>
      <c r="N363" s="250">
        <f t="shared" si="30"/>
        <v>3392.9</v>
      </c>
      <c r="O363" s="250">
        <f t="shared" si="31"/>
        <v>2615.37</v>
      </c>
      <c r="P363" s="95">
        <f t="shared" si="32"/>
        <v>4.2493385932196252E-2</v>
      </c>
      <c r="Q363" s="95">
        <f t="shared" si="33"/>
        <v>8.0287421356981345E-2</v>
      </c>
      <c r="R363" s="133">
        <f t="shared" si="34"/>
        <v>1.2972925436936267</v>
      </c>
      <c r="T363" s="83">
        <v>246</v>
      </c>
    </row>
    <row r="364" spans="1:20">
      <c r="A364" s="219">
        <v>44755</v>
      </c>
      <c r="B364" s="81" t="str">
        <f>VLOOKUP(C364,'Master List'!A:C,3,FALSE)</f>
        <v>57-144</v>
      </c>
      <c r="C364" s="88">
        <v>609</v>
      </c>
      <c r="D364" s="88" t="s">
        <v>105</v>
      </c>
      <c r="E364" s="81">
        <f>VLOOKUP(C364,'Master List'!A:G,5,FALSE)</f>
        <v>75</v>
      </c>
      <c r="F364" s="43">
        <f>VLOOKUP(C364,'2022-002-bottles_csv'!E:L,8,FALSE)</f>
        <v>0.09</v>
      </c>
      <c r="G364" s="218">
        <v>304</v>
      </c>
      <c r="H364" s="218">
        <v>10</v>
      </c>
      <c r="I364" s="218">
        <v>1</v>
      </c>
      <c r="J364" s="253">
        <v>10626.41</v>
      </c>
      <c r="K364" s="253">
        <v>7924.26</v>
      </c>
      <c r="L364" s="253">
        <v>311.39</v>
      </c>
      <c r="M364" s="253">
        <v>298.52999999999997</v>
      </c>
      <c r="N364" s="250">
        <f t="shared" si="30"/>
        <v>10315.02</v>
      </c>
      <c r="O364" s="250">
        <f t="shared" si="31"/>
        <v>7625.7300000000005</v>
      </c>
      <c r="P364" s="95">
        <f t="shared" si="32"/>
        <v>0.14697444195541784</v>
      </c>
      <c r="Q364" s="95">
        <f t="shared" si="33"/>
        <v>0.21102205015441761</v>
      </c>
      <c r="R364" s="133">
        <f t="shared" si="34"/>
        <v>1.3526600076320563</v>
      </c>
      <c r="T364" s="83">
        <v>207</v>
      </c>
    </row>
    <row r="365" spans="1:20">
      <c r="A365" s="219">
        <v>44761</v>
      </c>
      <c r="B365" s="81" t="str">
        <f>VLOOKUP(C365,'Master List'!A:C,3,FALSE)</f>
        <v>57-144</v>
      </c>
      <c r="C365" s="88">
        <v>609</v>
      </c>
      <c r="D365" s="88" t="s">
        <v>106</v>
      </c>
      <c r="E365" s="81">
        <f>VLOOKUP(C365,'Master List'!A:G,5,FALSE)</f>
        <v>75</v>
      </c>
      <c r="F365" s="43">
        <f>VLOOKUP(C365,'2022-002-bottles_csv'!E:L,8,FALSE)</f>
        <v>0.09</v>
      </c>
      <c r="G365" s="218">
        <v>304</v>
      </c>
      <c r="H365" s="218">
        <v>10</v>
      </c>
      <c r="I365" s="218">
        <v>1</v>
      </c>
      <c r="J365" s="253">
        <v>10558.92</v>
      </c>
      <c r="K365" s="253">
        <v>7751.76</v>
      </c>
      <c r="L365" s="253">
        <v>345.92</v>
      </c>
      <c r="M365" s="253">
        <v>349.76</v>
      </c>
      <c r="N365" s="250">
        <f t="shared" si="30"/>
        <v>10213</v>
      </c>
      <c r="O365" s="250">
        <f t="shared" si="31"/>
        <v>7402</v>
      </c>
      <c r="P365" s="95">
        <f t="shared" si="32"/>
        <v>0.1536261081313951</v>
      </c>
      <c r="Q365" s="95">
        <f t="shared" si="33"/>
        <v>0.19386718557255217</v>
      </c>
      <c r="R365" s="133">
        <f t="shared" si="34"/>
        <v>1.3797622264252905</v>
      </c>
      <c r="T365" s="83">
        <v>362</v>
      </c>
    </row>
    <row r="366" spans="1:20">
      <c r="A366" s="219">
        <v>44755</v>
      </c>
      <c r="B366" s="81" t="str">
        <f>VLOOKUP(C366,'Master List'!A:C,3,FALSE)</f>
        <v>57-144</v>
      </c>
      <c r="C366" s="88">
        <v>611</v>
      </c>
      <c r="D366" s="88" t="s">
        <v>105</v>
      </c>
      <c r="E366" s="81">
        <f>VLOOKUP(C366,'Master List'!A:G,5,FALSE)</f>
        <v>50</v>
      </c>
      <c r="F366" s="43">
        <f>VLOOKUP(C366,'2022-002-bottles_csv'!E:L,8,FALSE)</f>
        <v>0.11</v>
      </c>
      <c r="G366" s="218">
        <v>304</v>
      </c>
      <c r="H366" s="218">
        <v>10</v>
      </c>
      <c r="I366" s="218">
        <v>1</v>
      </c>
      <c r="J366" s="253">
        <v>16253.15</v>
      </c>
      <c r="K366" s="253">
        <v>10593.54</v>
      </c>
      <c r="L366" s="253">
        <v>311.39</v>
      </c>
      <c r="M366" s="253">
        <v>298.52999999999997</v>
      </c>
      <c r="N366" s="250">
        <f t="shared" si="30"/>
        <v>15941.76</v>
      </c>
      <c r="O366" s="250">
        <f t="shared" si="31"/>
        <v>10295.01</v>
      </c>
      <c r="P366" s="95">
        <f t="shared" si="32"/>
        <v>0.30860484741762906</v>
      </c>
      <c r="Q366" s="95">
        <f t="shared" si="33"/>
        <v>0.17470330357062733</v>
      </c>
      <c r="R366" s="133">
        <f t="shared" si="34"/>
        <v>1.5484938819874872</v>
      </c>
      <c r="T366" s="83">
        <v>199</v>
      </c>
    </row>
    <row r="367" spans="1:20">
      <c r="A367" s="219">
        <v>44757</v>
      </c>
      <c r="B367" s="81" t="str">
        <f>VLOOKUP(C367,'Master List'!A:C,3,FALSE)</f>
        <v>57-144</v>
      </c>
      <c r="C367" s="88">
        <v>611</v>
      </c>
      <c r="D367" s="88" t="s">
        <v>106</v>
      </c>
      <c r="E367" s="81">
        <f>VLOOKUP(C367,'Master List'!A:G,5,FALSE)</f>
        <v>50</v>
      </c>
      <c r="F367" s="43">
        <f>VLOOKUP(C367,'2022-002-bottles_csv'!E:L,8,FALSE)</f>
        <v>0.11</v>
      </c>
      <c r="G367" s="218">
        <v>304</v>
      </c>
      <c r="H367" s="218">
        <v>10</v>
      </c>
      <c r="I367" s="218">
        <v>1</v>
      </c>
      <c r="J367" s="253">
        <v>15202.49</v>
      </c>
      <c r="K367" s="253">
        <v>9898.2199999999993</v>
      </c>
      <c r="L367" s="253">
        <v>338.28</v>
      </c>
      <c r="M367" s="253">
        <v>338.2</v>
      </c>
      <c r="N367" s="250">
        <f t="shared" si="30"/>
        <v>14864.21</v>
      </c>
      <c r="O367" s="250">
        <f t="shared" si="31"/>
        <v>9560.0199999999986</v>
      </c>
      <c r="P367" s="95">
        <f t="shared" si="32"/>
        <v>0.28988333919938269</v>
      </c>
      <c r="Q367" s="95">
        <f t="shared" si="33"/>
        <v>0.15892007037581449</v>
      </c>
      <c r="R367" s="133">
        <f t="shared" si="34"/>
        <v>1.5548304292250437</v>
      </c>
      <c r="T367" s="83">
        <v>320</v>
      </c>
    </row>
    <row r="368" spans="1:20">
      <c r="A368" s="219">
        <v>44754</v>
      </c>
      <c r="B368" s="81" t="str">
        <f>VLOOKUP(C368,'Master List'!A:C,3,FALSE)</f>
        <v>57-144</v>
      </c>
      <c r="C368" s="88">
        <v>612</v>
      </c>
      <c r="D368" s="88" t="s">
        <v>105</v>
      </c>
      <c r="E368" s="81">
        <f>VLOOKUP(C368,'Master List'!A:G,5,FALSE)</f>
        <v>25</v>
      </c>
      <c r="F368" s="43">
        <f>VLOOKUP(C368,'2022-002-bottles_csv'!E:L,8,FALSE)</f>
        <v>0.12</v>
      </c>
      <c r="G368" s="218">
        <v>304</v>
      </c>
      <c r="H368" s="218">
        <v>10</v>
      </c>
      <c r="I368" s="218">
        <v>1</v>
      </c>
      <c r="J368" s="253">
        <v>15861.94</v>
      </c>
      <c r="K368" s="253">
        <v>10303.73</v>
      </c>
      <c r="L368" s="253">
        <v>283.95999999999998</v>
      </c>
      <c r="M368" s="253">
        <v>294.02999999999997</v>
      </c>
      <c r="N368" s="250">
        <f t="shared" si="30"/>
        <v>15577.980000000001</v>
      </c>
      <c r="O368" s="250">
        <f t="shared" si="31"/>
        <v>10009.699999999999</v>
      </c>
      <c r="P368" s="95">
        <f t="shared" si="32"/>
        <v>0.30431632350974208</v>
      </c>
      <c r="Q368" s="95">
        <f t="shared" si="33"/>
        <v>0.16559770269782356</v>
      </c>
      <c r="R368" s="133">
        <f t="shared" si="34"/>
        <v>1.5562884002517561</v>
      </c>
      <c r="T368" s="83">
        <v>171</v>
      </c>
    </row>
    <row r="369" spans="1:20">
      <c r="A369" s="219">
        <v>44761</v>
      </c>
      <c r="B369" s="81" t="str">
        <f>VLOOKUP(C369,'Master List'!A:C,3,FALSE)</f>
        <v>57-144</v>
      </c>
      <c r="C369" s="88">
        <v>612</v>
      </c>
      <c r="D369" s="88" t="s">
        <v>106</v>
      </c>
      <c r="E369" s="81">
        <f>VLOOKUP(C369,'Master List'!A:G,5,FALSE)</f>
        <v>25</v>
      </c>
      <c r="F369" s="43">
        <f>VLOOKUP(C369,'2022-002-bottles_csv'!E:L,8,FALSE)</f>
        <v>0.12</v>
      </c>
      <c r="G369" s="218">
        <v>304</v>
      </c>
      <c r="H369" s="218">
        <v>10</v>
      </c>
      <c r="I369" s="218">
        <v>1</v>
      </c>
      <c r="J369" s="253">
        <v>16010.25</v>
      </c>
      <c r="K369" s="253">
        <v>10850.5</v>
      </c>
      <c r="L369" s="253">
        <v>345.92</v>
      </c>
      <c r="M369" s="253">
        <v>349.76</v>
      </c>
      <c r="N369" s="250">
        <f t="shared" si="30"/>
        <v>15664.33</v>
      </c>
      <c r="O369" s="250">
        <f t="shared" si="31"/>
        <v>10500.74</v>
      </c>
      <c r="P369" s="95">
        <f t="shared" si="32"/>
        <v>0.28219930120462128</v>
      </c>
      <c r="Q369" s="95">
        <f t="shared" si="33"/>
        <v>0.21076702261715483</v>
      </c>
      <c r="R369" s="133">
        <f t="shared" si="34"/>
        <v>1.491735820523125</v>
      </c>
      <c r="T369" s="83">
        <v>363</v>
      </c>
    </row>
    <row r="370" spans="1:20">
      <c r="A370" s="219">
        <v>44754</v>
      </c>
      <c r="B370" s="81" t="str">
        <f>VLOOKUP(C370,'Master List'!A:C,3,FALSE)</f>
        <v>57-144</v>
      </c>
      <c r="C370" s="88">
        <v>615</v>
      </c>
      <c r="D370" s="88" t="s">
        <v>105</v>
      </c>
      <c r="E370" s="81">
        <f>VLOOKUP(C370,'Master List'!A:G,5,FALSE)</f>
        <v>5</v>
      </c>
      <c r="F370" s="43">
        <f>VLOOKUP(C370,'2022-002-bottles_csv'!E:L,8,FALSE)</f>
        <v>0.1</v>
      </c>
      <c r="G370" s="218">
        <v>304</v>
      </c>
      <c r="H370" s="218">
        <v>10</v>
      </c>
      <c r="I370" s="218">
        <v>1</v>
      </c>
      <c r="J370" s="253">
        <v>16323.92</v>
      </c>
      <c r="K370" s="253">
        <v>10807.24</v>
      </c>
      <c r="L370" s="253">
        <v>283.95999999999998</v>
      </c>
      <c r="M370" s="253">
        <v>294.02999999999997</v>
      </c>
      <c r="N370" s="250">
        <f t="shared" si="30"/>
        <v>16039.960000000001</v>
      </c>
      <c r="O370" s="250">
        <f t="shared" si="31"/>
        <v>10513.21</v>
      </c>
      <c r="P370" s="95">
        <f t="shared" si="32"/>
        <v>0.30204663575780444</v>
      </c>
      <c r="Q370" s="95">
        <f t="shared" si="33"/>
        <v>0.19150510300216256</v>
      </c>
      <c r="R370" s="133">
        <f t="shared" si="34"/>
        <v>1.5256957675153453</v>
      </c>
      <c r="T370" s="83">
        <v>174</v>
      </c>
    </row>
    <row r="371" spans="1:20">
      <c r="A371" s="219">
        <v>44755</v>
      </c>
      <c r="B371" s="81" t="str">
        <f>VLOOKUP(C371,'Master List'!A:C,3,FALSE)</f>
        <v>57-144</v>
      </c>
      <c r="C371" s="88">
        <v>615</v>
      </c>
      <c r="D371" s="88" t="s">
        <v>106</v>
      </c>
      <c r="E371" s="81">
        <f>VLOOKUP(C371,'Master List'!A:G,5,FALSE)</f>
        <v>5</v>
      </c>
      <c r="F371" s="43">
        <f>VLOOKUP(C371,'2022-002-bottles_csv'!E:L,8,FALSE)</f>
        <v>0.1</v>
      </c>
      <c r="G371" s="218">
        <v>304</v>
      </c>
      <c r="H371" s="218">
        <v>10</v>
      </c>
      <c r="I371" s="218">
        <v>1</v>
      </c>
      <c r="J371" s="253">
        <v>16204.97</v>
      </c>
      <c r="K371" s="253">
        <v>10856.78</v>
      </c>
      <c r="L371" s="253">
        <v>311.39</v>
      </c>
      <c r="M371" s="253">
        <v>298.52999999999997</v>
      </c>
      <c r="N371" s="250">
        <f t="shared" si="30"/>
        <v>15893.58</v>
      </c>
      <c r="O371" s="250">
        <f t="shared" si="31"/>
        <v>10558.25</v>
      </c>
      <c r="P371" s="95">
        <f t="shared" si="32"/>
        <v>0.29158519512510717</v>
      </c>
      <c r="Q371" s="95">
        <f t="shared" si="33"/>
        <v>0.20408098540038613</v>
      </c>
      <c r="R371" s="133">
        <f t="shared" si="34"/>
        <v>1.505323325361684</v>
      </c>
      <c r="T371" s="83">
        <v>214</v>
      </c>
    </row>
    <row r="372" spans="1:20">
      <c r="A372" s="219">
        <v>44754</v>
      </c>
      <c r="B372" s="81" t="str">
        <f>VLOOKUP(C372,'Master List'!A:C,3,FALSE)</f>
        <v>56-144</v>
      </c>
      <c r="C372" s="88">
        <v>622</v>
      </c>
      <c r="D372" s="88" t="s">
        <v>105</v>
      </c>
      <c r="E372" s="81">
        <f>VLOOKUP(C372,'Master List'!A:G,5,FALSE)</f>
        <v>150</v>
      </c>
      <c r="F372" s="43">
        <f>VLOOKUP(C372,'2022-002-bottles_csv'!E:L,8,FALSE)</f>
        <v>0.05</v>
      </c>
      <c r="G372" s="218">
        <v>304</v>
      </c>
      <c r="H372" s="218">
        <v>10</v>
      </c>
      <c r="I372" s="218">
        <v>1</v>
      </c>
      <c r="J372" s="253">
        <v>1244.96</v>
      </c>
      <c r="K372" s="253">
        <v>1191.8</v>
      </c>
      <c r="L372" s="253">
        <v>296.26</v>
      </c>
      <c r="M372" s="253">
        <v>308.87</v>
      </c>
      <c r="N372" s="250">
        <f t="shared" si="30"/>
        <v>948.7</v>
      </c>
      <c r="O372" s="250">
        <f t="shared" si="31"/>
        <v>882.93</v>
      </c>
      <c r="P372" s="95">
        <f t="shared" si="32"/>
        <v>3.5944465072222948E-3</v>
      </c>
      <c r="Q372" s="95">
        <f t="shared" si="33"/>
        <v>3.7855466193402687E-2</v>
      </c>
      <c r="R372" s="133">
        <f t="shared" si="34"/>
        <v>1.074490616470162</v>
      </c>
      <c r="T372" s="83">
        <v>163</v>
      </c>
    </row>
    <row r="373" spans="1:20">
      <c r="A373" s="219">
        <v>44761</v>
      </c>
      <c r="B373" s="81" t="str">
        <f>VLOOKUP(C373,'Master List'!A:C,3,FALSE)</f>
        <v>56-144</v>
      </c>
      <c r="C373" s="88">
        <v>622</v>
      </c>
      <c r="D373" s="88" t="s">
        <v>106</v>
      </c>
      <c r="E373" s="81">
        <f>VLOOKUP(C373,'Master List'!A:G,5,FALSE)</f>
        <v>150</v>
      </c>
      <c r="F373" s="43">
        <f>VLOOKUP(C373,'2022-002-bottles_csv'!E:L,8,FALSE)</f>
        <v>0.05</v>
      </c>
      <c r="G373" s="218">
        <v>304</v>
      </c>
      <c r="H373" s="218">
        <v>10</v>
      </c>
      <c r="I373" s="218">
        <v>1</v>
      </c>
      <c r="J373" s="253">
        <v>1378.27</v>
      </c>
      <c r="K373" s="253">
        <v>1304.26</v>
      </c>
      <c r="L373" s="253">
        <v>362.04</v>
      </c>
      <c r="M373" s="253">
        <v>363.93</v>
      </c>
      <c r="N373" s="250">
        <f t="shared" si="30"/>
        <v>1016.23</v>
      </c>
      <c r="O373" s="250">
        <f t="shared" si="31"/>
        <v>940.32999999999993</v>
      </c>
      <c r="P373" s="95">
        <f t="shared" si="32"/>
        <v>4.1480688748391685E-3</v>
      </c>
      <c r="Q373" s="95">
        <f t="shared" si="33"/>
        <v>3.999653648433845E-2</v>
      </c>
      <c r="R373" s="133">
        <f t="shared" si="34"/>
        <v>1.0807163442621208</v>
      </c>
      <c r="T373" s="83">
        <v>376</v>
      </c>
    </row>
    <row r="374" spans="1:20">
      <c r="A374" s="219">
        <v>44755</v>
      </c>
      <c r="B374" s="81" t="str">
        <f>VLOOKUP(C374,'Master List'!A:C,3,FALSE)</f>
        <v>56-144</v>
      </c>
      <c r="C374" s="88">
        <v>626</v>
      </c>
      <c r="D374" s="88" t="s">
        <v>105</v>
      </c>
      <c r="E374" s="81">
        <f>VLOOKUP(C374,'Master List'!A:G,5,FALSE)</f>
        <v>100</v>
      </c>
      <c r="F374" s="43">
        <f>VLOOKUP(C374,'2022-002-bottles_csv'!E:L,8,FALSE)</f>
        <v>0.05</v>
      </c>
      <c r="G374" s="218">
        <v>304</v>
      </c>
      <c r="H374" s="218">
        <v>10</v>
      </c>
      <c r="I374" s="218">
        <v>1</v>
      </c>
      <c r="J374" s="253">
        <v>2892.92</v>
      </c>
      <c r="K374" s="253">
        <v>2243.35</v>
      </c>
      <c r="L374" s="253">
        <v>311.39</v>
      </c>
      <c r="M374" s="253">
        <v>298.52999999999997</v>
      </c>
      <c r="N374" s="250">
        <f t="shared" si="30"/>
        <v>2581.5300000000002</v>
      </c>
      <c r="O374" s="250">
        <f t="shared" si="31"/>
        <v>1944.82</v>
      </c>
      <c r="P374" s="95">
        <f t="shared" si="32"/>
        <v>3.4797324549391898E-2</v>
      </c>
      <c r="Q374" s="95">
        <f t="shared" si="33"/>
        <v>5.6503932875805463E-2</v>
      </c>
      <c r="R374" s="133">
        <f t="shared" si="34"/>
        <v>1.3273876245616563</v>
      </c>
      <c r="T374" s="83">
        <v>209</v>
      </c>
    </row>
    <row r="375" spans="1:20">
      <c r="A375" s="219">
        <v>44757</v>
      </c>
      <c r="B375" s="81" t="str">
        <f>VLOOKUP(C375,'Master List'!A:C,3,FALSE)</f>
        <v>56-144</v>
      </c>
      <c r="C375" s="88">
        <v>626</v>
      </c>
      <c r="D375" s="88" t="s">
        <v>106</v>
      </c>
      <c r="E375" s="81">
        <f>VLOOKUP(C375,'Master List'!A:G,5,FALSE)</f>
        <v>100</v>
      </c>
      <c r="F375" s="43">
        <f>VLOOKUP(C375,'2022-002-bottles_csv'!E:L,8,FALSE)</f>
        <v>0.05</v>
      </c>
      <c r="G375" s="218">
        <v>304</v>
      </c>
      <c r="H375" s="218">
        <v>10</v>
      </c>
      <c r="I375" s="218">
        <v>1</v>
      </c>
      <c r="J375" s="253">
        <v>3022.85</v>
      </c>
      <c r="K375" s="253">
        <v>2360.0700000000002</v>
      </c>
      <c r="L375" s="253">
        <v>305.45999999999998</v>
      </c>
      <c r="M375" s="253">
        <v>318.69</v>
      </c>
      <c r="N375" s="250">
        <f t="shared" si="30"/>
        <v>2717.39</v>
      </c>
      <c r="O375" s="250">
        <f t="shared" si="31"/>
        <v>2041.38</v>
      </c>
      <c r="P375" s="95">
        <f t="shared" si="32"/>
        <v>3.6945138867984485E-2</v>
      </c>
      <c r="Q375" s="95">
        <f t="shared" si="33"/>
        <v>5.8889211294318129E-2</v>
      </c>
      <c r="R375" s="133">
        <f t="shared" si="34"/>
        <v>1.3311534354211365</v>
      </c>
      <c r="T375" s="83">
        <v>304</v>
      </c>
    </row>
    <row r="376" spans="1:20">
      <c r="A376" s="219">
        <v>44755</v>
      </c>
      <c r="B376" s="81" t="str">
        <f>VLOOKUP(C376,'Master List'!A:C,3,FALSE)</f>
        <v>56-144</v>
      </c>
      <c r="C376" s="88">
        <v>627</v>
      </c>
      <c r="D376" s="88" t="s">
        <v>105</v>
      </c>
      <c r="E376" s="81">
        <f>VLOOKUP(C376,'Master List'!A:G,5,FALSE)</f>
        <v>75</v>
      </c>
      <c r="F376" s="43">
        <f>VLOOKUP(C376,'2022-002-bottles_csv'!E:L,8,FALSE)</f>
        <v>0.08</v>
      </c>
      <c r="G376" s="218">
        <v>304</v>
      </c>
      <c r="H376" s="218">
        <v>10</v>
      </c>
      <c r="I376" s="218">
        <v>1</v>
      </c>
      <c r="J376" s="253">
        <v>11103.54</v>
      </c>
      <c r="K376" s="253">
        <v>7901.56</v>
      </c>
      <c r="L376" s="253">
        <v>311.39</v>
      </c>
      <c r="M376" s="253">
        <v>298.52999999999997</v>
      </c>
      <c r="N376" s="250">
        <f t="shared" si="30"/>
        <v>10792.150000000001</v>
      </c>
      <c r="O376" s="250">
        <f t="shared" si="31"/>
        <v>7603.0300000000007</v>
      </c>
      <c r="P376" s="95">
        <f t="shared" si="32"/>
        <v>0.17429103307150301</v>
      </c>
      <c r="Q376" s="95">
        <f t="shared" si="33"/>
        <v>0.1826397878998457</v>
      </c>
      <c r="R376" s="133">
        <f t="shared" si="34"/>
        <v>1.419453823015298</v>
      </c>
      <c r="T376" s="83">
        <v>197</v>
      </c>
    </row>
    <row r="377" spans="1:20">
      <c r="A377" s="219">
        <v>44761</v>
      </c>
      <c r="B377" s="81" t="str">
        <f>VLOOKUP(C377,'Master List'!A:C,3,FALSE)</f>
        <v>56-144</v>
      </c>
      <c r="C377" s="88">
        <v>627</v>
      </c>
      <c r="D377" s="88" t="s">
        <v>106</v>
      </c>
      <c r="E377" s="81">
        <f>VLOOKUP(C377,'Master List'!A:G,5,FALSE)</f>
        <v>75</v>
      </c>
      <c r="F377" s="43">
        <f>VLOOKUP(C377,'2022-002-bottles_csv'!E:L,8,FALSE)</f>
        <v>0.08</v>
      </c>
      <c r="G377" s="218">
        <v>304</v>
      </c>
      <c r="H377" s="218">
        <v>10</v>
      </c>
      <c r="I377" s="218">
        <v>1</v>
      </c>
      <c r="J377" s="253">
        <v>11022.83</v>
      </c>
      <c r="K377" s="253">
        <v>7752.76</v>
      </c>
      <c r="L377" s="253">
        <v>362.04</v>
      </c>
      <c r="M377" s="253">
        <v>363.93</v>
      </c>
      <c r="N377" s="250">
        <f t="shared" si="30"/>
        <v>10660.789999999999</v>
      </c>
      <c r="O377" s="250">
        <f t="shared" si="31"/>
        <v>7388.83</v>
      </c>
      <c r="P377" s="95">
        <f t="shared" si="32"/>
        <v>0.17881838518733525</v>
      </c>
      <c r="Q377" s="95">
        <f t="shared" si="33"/>
        <v>0.16805663147282915</v>
      </c>
      <c r="R377" s="133">
        <f t="shared" si="34"/>
        <v>1.4428251834187549</v>
      </c>
      <c r="T377" s="83">
        <v>378</v>
      </c>
    </row>
    <row r="378" spans="1:20">
      <c r="A378" s="219">
        <v>44755</v>
      </c>
      <c r="B378" s="81" t="str">
        <f>VLOOKUP(C378,'Master List'!A:C,3,FALSE)</f>
        <v>56-144</v>
      </c>
      <c r="C378" s="88">
        <v>630</v>
      </c>
      <c r="D378" s="88" t="s">
        <v>105</v>
      </c>
      <c r="E378" s="81">
        <f>VLOOKUP(C378,'Master List'!A:G,5,FALSE)</f>
        <v>50</v>
      </c>
      <c r="F378" s="43">
        <f>VLOOKUP(C378,'2022-002-bottles_csv'!E:L,8,FALSE)</f>
        <v>0.11</v>
      </c>
      <c r="G378" s="218">
        <v>304</v>
      </c>
      <c r="H378" s="218">
        <v>10</v>
      </c>
      <c r="I378" s="218">
        <v>1</v>
      </c>
      <c r="J378" s="253">
        <v>15722.87</v>
      </c>
      <c r="K378" s="253">
        <v>10560.39</v>
      </c>
      <c r="L378" s="253">
        <v>311.39</v>
      </c>
      <c r="M378" s="253">
        <v>298.52999999999997</v>
      </c>
      <c r="N378" s="250">
        <f t="shared" si="30"/>
        <v>15411.480000000001</v>
      </c>
      <c r="O378" s="250">
        <f t="shared" si="31"/>
        <v>10261.859999999999</v>
      </c>
      <c r="P378" s="95">
        <f t="shared" si="32"/>
        <v>0.28143581606389018</v>
      </c>
      <c r="Q378" s="95">
        <f t="shared" si="33"/>
        <v>0.20031607949525443</v>
      </c>
      <c r="R378" s="133">
        <f t="shared" si="34"/>
        <v>1.5018213072483939</v>
      </c>
      <c r="T378" s="83">
        <v>200</v>
      </c>
    </row>
    <row r="379" spans="1:20">
      <c r="A379" s="219">
        <v>44761</v>
      </c>
      <c r="B379" s="81" t="str">
        <f>VLOOKUP(C379,'Master List'!A:C,3,FALSE)</f>
        <v>56-144</v>
      </c>
      <c r="C379" s="88">
        <v>630</v>
      </c>
      <c r="D379" s="88" t="s">
        <v>106</v>
      </c>
      <c r="E379" s="81">
        <f>VLOOKUP(C379,'Master List'!A:G,5,FALSE)</f>
        <v>50</v>
      </c>
      <c r="F379" s="43">
        <f>VLOOKUP(C379,'2022-002-bottles_csv'!E:L,8,FALSE)</f>
        <v>0.11</v>
      </c>
      <c r="G379" s="218">
        <v>304</v>
      </c>
      <c r="H379" s="218">
        <v>10</v>
      </c>
      <c r="I379" s="218">
        <v>1</v>
      </c>
      <c r="J379" s="253">
        <v>15774.24</v>
      </c>
      <c r="K379" s="253">
        <v>10668.21</v>
      </c>
      <c r="L379" s="253">
        <v>334.87</v>
      </c>
      <c r="M379" s="253">
        <v>333.82</v>
      </c>
      <c r="N379" s="250">
        <f t="shared" si="30"/>
        <v>15439.369999999999</v>
      </c>
      <c r="O379" s="250">
        <f t="shared" si="31"/>
        <v>10334.39</v>
      </c>
      <c r="P379" s="95">
        <f t="shared" si="32"/>
        <v>0.27899616132643518</v>
      </c>
      <c r="Q379" s="95">
        <f t="shared" si="33"/>
        <v>0.20616071783070275</v>
      </c>
      <c r="R379" s="133">
        <f t="shared" si="34"/>
        <v>1.4939798091614502</v>
      </c>
      <c r="T379" s="83">
        <v>405</v>
      </c>
    </row>
    <row r="380" spans="1:20">
      <c r="A380" s="219">
        <v>44754</v>
      </c>
      <c r="B380" s="81" t="str">
        <f>VLOOKUP(C380,'Master List'!A:C,3,FALSE)</f>
        <v>56-144</v>
      </c>
      <c r="C380" s="88">
        <v>632</v>
      </c>
      <c r="D380" s="88" t="s">
        <v>105</v>
      </c>
      <c r="E380" s="81">
        <f>VLOOKUP(C380,'Master List'!A:G,5,FALSE)</f>
        <v>25</v>
      </c>
      <c r="F380" s="43">
        <f>VLOOKUP(C380,'2022-002-bottles_csv'!E:L,8,FALSE)</f>
        <v>0.11</v>
      </c>
      <c r="G380" s="218">
        <v>304</v>
      </c>
      <c r="H380" s="218">
        <v>10</v>
      </c>
      <c r="I380" s="218">
        <v>1</v>
      </c>
      <c r="J380" s="253">
        <v>10987.67</v>
      </c>
      <c r="K380" s="253">
        <v>7371.9</v>
      </c>
      <c r="L380" s="253">
        <v>283.95999999999998</v>
      </c>
      <c r="M380" s="253">
        <v>294.02999999999997</v>
      </c>
      <c r="N380" s="250">
        <f t="shared" si="30"/>
        <v>10703.710000000001</v>
      </c>
      <c r="O380" s="250">
        <f t="shared" si="31"/>
        <v>7077.87</v>
      </c>
      <c r="P380" s="95">
        <f t="shared" si="32"/>
        <v>0.1981585513721586</v>
      </c>
      <c r="Q380" s="95">
        <f t="shared" si="33"/>
        <v>0.13411817906669002</v>
      </c>
      <c r="R380" s="133">
        <f t="shared" si="34"/>
        <v>1.5122784114429908</v>
      </c>
      <c r="T380" s="83">
        <v>184</v>
      </c>
    </row>
    <row r="381" spans="1:20">
      <c r="A381" s="219">
        <v>44761</v>
      </c>
      <c r="B381" s="81" t="str">
        <f>VLOOKUP(C381,'Master List'!A:C,3,FALSE)</f>
        <v>56-144</v>
      </c>
      <c r="C381" s="88">
        <v>632</v>
      </c>
      <c r="D381" s="88" t="s">
        <v>106</v>
      </c>
      <c r="E381" s="81">
        <f>VLOOKUP(C381,'Master List'!A:G,5,FALSE)</f>
        <v>25</v>
      </c>
      <c r="F381" s="43">
        <f>VLOOKUP(C381,'2022-002-bottles_csv'!E:L,8,FALSE)</f>
        <v>0.11</v>
      </c>
      <c r="G381" s="218">
        <v>304</v>
      </c>
      <c r="H381" s="218">
        <v>10</v>
      </c>
      <c r="I381" s="218">
        <v>1</v>
      </c>
      <c r="J381" s="253">
        <v>16734.16</v>
      </c>
      <c r="K381" s="253">
        <v>10953.26</v>
      </c>
      <c r="L381" s="253">
        <v>334.87</v>
      </c>
      <c r="M381" s="253">
        <v>333.82</v>
      </c>
      <c r="N381" s="250">
        <f t="shared" si="30"/>
        <v>16399.29</v>
      </c>
      <c r="O381" s="250">
        <f t="shared" si="31"/>
        <v>10619.44</v>
      </c>
      <c r="P381" s="95">
        <f t="shared" si="32"/>
        <v>0.31587899718365137</v>
      </c>
      <c r="Q381" s="95">
        <f t="shared" si="33"/>
        <v>0.1826598008292433</v>
      </c>
      <c r="R381" s="133">
        <f t="shared" si="34"/>
        <v>1.5442706960065691</v>
      </c>
      <c r="T381" s="83">
        <v>396</v>
      </c>
    </row>
    <row r="382" spans="1:20">
      <c r="A382" s="219">
        <v>44754</v>
      </c>
      <c r="B382" s="81" t="str">
        <f>VLOOKUP(C382,'Master List'!A:C,3,FALSE)</f>
        <v>56-144</v>
      </c>
      <c r="C382" s="88">
        <v>638</v>
      </c>
      <c r="D382" s="88" t="s">
        <v>105</v>
      </c>
      <c r="E382" s="81">
        <f>VLOOKUP(C382,'Master List'!A:G,5,FALSE)</f>
        <v>5</v>
      </c>
      <c r="F382" s="43">
        <f>VLOOKUP(C382,'2022-002-bottles_csv'!E:L,8,FALSE)</f>
        <v>0.12</v>
      </c>
      <c r="G382" s="218">
        <v>304</v>
      </c>
      <c r="H382" s="218">
        <v>10</v>
      </c>
      <c r="I382" s="218">
        <v>1</v>
      </c>
      <c r="J382" s="253">
        <v>16199.42</v>
      </c>
      <c r="K382" s="253">
        <v>10480.15</v>
      </c>
      <c r="L382" s="253">
        <v>283.95999999999998</v>
      </c>
      <c r="M382" s="253">
        <v>294.02999999999997</v>
      </c>
      <c r="N382" s="250">
        <f t="shared" si="30"/>
        <v>15915.460000000001</v>
      </c>
      <c r="O382" s="250">
        <f t="shared" si="31"/>
        <v>10186.119999999999</v>
      </c>
      <c r="P382" s="95">
        <f t="shared" si="32"/>
        <v>0.3131185365925036</v>
      </c>
      <c r="Q382" s="95">
        <f t="shared" si="33"/>
        <v>0.1650776791415752</v>
      </c>
      <c r="R382" s="133">
        <f t="shared" si="34"/>
        <v>1.5624653940852848</v>
      </c>
      <c r="T382" s="83">
        <v>173</v>
      </c>
    </row>
    <row r="383" spans="1:20">
      <c r="A383" s="219">
        <v>44757</v>
      </c>
      <c r="B383" s="81" t="str">
        <f>VLOOKUP(C383,'Master List'!A:C,3,FALSE)</f>
        <v>56-144</v>
      </c>
      <c r="C383" s="88">
        <v>638</v>
      </c>
      <c r="D383" s="88" t="s">
        <v>106</v>
      </c>
      <c r="E383" s="81">
        <f>VLOOKUP(C383,'Master List'!A:G,5,FALSE)</f>
        <v>5</v>
      </c>
      <c r="F383" s="43">
        <f>VLOOKUP(C383,'2022-002-bottles_csv'!E:L,8,FALSE)</f>
        <v>0.12</v>
      </c>
      <c r="G383" s="218">
        <v>304</v>
      </c>
      <c r="H383" s="218">
        <v>10</v>
      </c>
      <c r="I383" s="218">
        <v>1</v>
      </c>
      <c r="J383" s="253">
        <v>16836.68</v>
      </c>
      <c r="K383" s="253">
        <v>11032.75</v>
      </c>
      <c r="L383" s="253">
        <v>305.45999999999998</v>
      </c>
      <c r="M383" s="253">
        <v>318.69</v>
      </c>
      <c r="N383" s="250">
        <f t="shared" si="30"/>
        <v>16531.22</v>
      </c>
      <c r="O383" s="250">
        <f t="shared" si="31"/>
        <v>10714.06</v>
      </c>
      <c r="P383" s="95">
        <f t="shared" si="32"/>
        <v>0.3179180544922186</v>
      </c>
      <c r="Q383" s="95">
        <f t="shared" si="33"/>
        <v>0.18506276127942597</v>
      </c>
      <c r="R383" s="133">
        <f t="shared" si="34"/>
        <v>1.5429463714035578</v>
      </c>
      <c r="T383" s="83">
        <v>292</v>
      </c>
    </row>
    <row r="384" spans="1:20">
      <c r="A384" s="219">
        <v>44754</v>
      </c>
      <c r="B384" s="81" t="str">
        <f>VLOOKUP(C384,'Master List'!A:C,3,FALSE)</f>
        <v>55-144</v>
      </c>
      <c r="C384" s="88">
        <v>651</v>
      </c>
      <c r="D384" s="88" t="s">
        <v>105</v>
      </c>
      <c r="E384" s="81">
        <f>VLOOKUP(C384,'Master List'!A:G,5,FALSE)</f>
        <v>150</v>
      </c>
      <c r="F384" s="43">
        <f>VLOOKUP(C384,'2022-002-bottles_csv'!E:L,8,FALSE)</f>
        <v>0.06</v>
      </c>
      <c r="G384" s="218">
        <v>304</v>
      </c>
      <c r="H384" s="218">
        <v>10</v>
      </c>
      <c r="I384" s="218">
        <v>1</v>
      </c>
      <c r="J384" s="253">
        <v>1268.79</v>
      </c>
      <c r="K384" s="253">
        <v>1204.22</v>
      </c>
      <c r="L384" s="253">
        <v>283.95999999999998</v>
      </c>
      <c r="M384" s="253">
        <v>294.02999999999997</v>
      </c>
      <c r="N384" s="250">
        <f t="shared" si="30"/>
        <v>984.82999999999993</v>
      </c>
      <c r="O384" s="250">
        <f t="shared" si="31"/>
        <v>910.19</v>
      </c>
      <c r="P384" s="95">
        <f t="shared" si="32"/>
        <v>4.0792076524109964E-3</v>
      </c>
      <c r="Q384" s="95">
        <f t="shared" si="33"/>
        <v>3.8650449331700837E-2</v>
      </c>
      <c r="R384" s="133">
        <f t="shared" si="34"/>
        <v>1.0820048561289399</v>
      </c>
      <c r="T384" s="83">
        <v>190</v>
      </c>
    </row>
    <row r="385" spans="1:20">
      <c r="A385" s="219">
        <v>44761</v>
      </c>
      <c r="B385" s="81" t="str">
        <f>VLOOKUP(C385,'Master List'!A:C,3,FALSE)</f>
        <v>55-144</v>
      </c>
      <c r="C385" s="88">
        <v>651</v>
      </c>
      <c r="D385" s="88" t="s">
        <v>106</v>
      </c>
      <c r="E385" s="81">
        <f>VLOOKUP(C385,'Master List'!A:G,5,FALSE)</f>
        <v>150</v>
      </c>
      <c r="F385" s="43">
        <f>VLOOKUP(C385,'2022-002-bottles_csv'!E:L,8,FALSE)</f>
        <v>0.06</v>
      </c>
      <c r="G385" s="218">
        <v>304</v>
      </c>
      <c r="H385" s="218">
        <v>10</v>
      </c>
      <c r="I385" s="218">
        <v>1</v>
      </c>
      <c r="J385" s="253">
        <v>1261.0999999999999</v>
      </c>
      <c r="K385" s="253">
        <v>1174.3900000000001</v>
      </c>
      <c r="L385" s="253">
        <v>362.04</v>
      </c>
      <c r="M385" s="253">
        <v>363.93</v>
      </c>
      <c r="N385" s="250">
        <f t="shared" si="30"/>
        <v>899.06</v>
      </c>
      <c r="O385" s="250">
        <f t="shared" si="31"/>
        <v>810.46</v>
      </c>
      <c r="P385" s="95">
        <f t="shared" si="32"/>
        <v>4.8421462755039463E-3</v>
      </c>
      <c r="Q385" s="95">
        <f t="shared" si="33"/>
        <v>3.3205599579035523E-2</v>
      </c>
      <c r="R385" s="133">
        <f t="shared" si="34"/>
        <v>1.1093206327270932</v>
      </c>
      <c r="T385" s="83">
        <v>383</v>
      </c>
    </row>
    <row r="386" spans="1:20">
      <c r="A386" s="219">
        <v>44754</v>
      </c>
      <c r="B386" s="81" t="str">
        <f>VLOOKUP(C386,'Master List'!A:C,3,FALSE)</f>
        <v>55-144</v>
      </c>
      <c r="C386" s="88">
        <v>653</v>
      </c>
      <c r="D386" s="88" t="s">
        <v>105</v>
      </c>
      <c r="E386" s="81">
        <f>VLOOKUP(C386,'Master List'!A:G,5,FALSE)</f>
        <v>100</v>
      </c>
      <c r="F386" s="43">
        <f>VLOOKUP(C386,'2022-002-bottles_csv'!E:L,8,FALSE)</f>
        <v>7.0000000000000007E-2</v>
      </c>
      <c r="G386" s="218">
        <v>304</v>
      </c>
      <c r="H386" s="218">
        <v>10</v>
      </c>
      <c r="I386" s="218">
        <v>1</v>
      </c>
      <c r="J386" s="253">
        <v>4193.07</v>
      </c>
      <c r="K386" s="253">
        <v>3180.45</v>
      </c>
      <c r="L386" s="253">
        <v>283.95999999999998</v>
      </c>
      <c r="M386" s="253">
        <v>294.02999999999997</v>
      </c>
      <c r="N386" s="250">
        <f t="shared" si="30"/>
        <v>3909.1099999999997</v>
      </c>
      <c r="O386" s="250">
        <f t="shared" si="31"/>
        <v>2886.42</v>
      </c>
      <c r="P386" s="95">
        <f t="shared" si="32"/>
        <v>5.5891812353218218E-2</v>
      </c>
      <c r="Q386" s="95">
        <f t="shared" si="33"/>
        <v>7.9613671679873849E-2</v>
      </c>
      <c r="R386" s="133">
        <f t="shared" si="34"/>
        <v>1.3543108764490266</v>
      </c>
      <c r="T386" s="83">
        <v>177</v>
      </c>
    </row>
    <row r="387" spans="1:20">
      <c r="A387" s="219">
        <v>44755</v>
      </c>
      <c r="B387" s="81" t="str">
        <f>VLOOKUP(C387,'Master List'!A:C,3,FALSE)</f>
        <v>55-144</v>
      </c>
      <c r="C387" s="88">
        <v>653</v>
      </c>
      <c r="D387" s="88" t="s">
        <v>106</v>
      </c>
      <c r="E387" s="81">
        <f>VLOOKUP(C387,'Master List'!A:G,5,FALSE)</f>
        <v>100</v>
      </c>
      <c r="F387" s="43">
        <f>VLOOKUP(C387,'2022-002-bottles_csv'!E:L,8,FALSE)</f>
        <v>7.0000000000000007E-2</v>
      </c>
      <c r="G387" s="218">
        <v>304</v>
      </c>
      <c r="H387" s="218">
        <v>10</v>
      </c>
      <c r="I387" s="218">
        <v>1</v>
      </c>
      <c r="J387" s="253">
        <v>4015.13</v>
      </c>
      <c r="K387" s="253">
        <v>3050.38</v>
      </c>
      <c r="L387" s="253">
        <v>332.42</v>
      </c>
      <c r="M387" s="253">
        <v>348.04</v>
      </c>
      <c r="N387" s="250">
        <f t="shared" si="30"/>
        <v>3682.71</v>
      </c>
      <c r="O387" s="250">
        <f t="shared" si="31"/>
        <v>2702.34</v>
      </c>
      <c r="P387" s="95">
        <f t="shared" si="32"/>
        <v>5.357894970785336E-2</v>
      </c>
      <c r="Q387" s="95">
        <f t="shared" si="33"/>
        <v>7.3284739471817656E-2</v>
      </c>
      <c r="R387" s="133">
        <f t="shared" si="34"/>
        <v>1.3627855858256177</v>
      </c>
      <c r="T387" s="83">
        <v>221</v>
      </c>
    </row>
    <row r="388" spans="1:20">
      <c r="A388" s="219">
        <v>44754</v>
      </c>
      <c r="B388" s="81" t="str">
        <f>VLOOKUP(C388,'Master List'!A:C,3,FALSE)</f>
        <v>55-144</v>
      </c>
      <c r="C388" s="88">
        <v>654</v>
      </c>
      <c r="D388" s="88" t="s">
        <v>105</v>
      </c>
      <c r="E388" s="81">
        <f>VLOOKUP(C388,'Master List'!A:G,5,FALSE)</f>
        <v>75</v>
      </c>
      <c r="F388" s="43">
        <f>VLOOKUP(C388,'2022-002-bottles_csv'!E:L,8,FALSE)</f>
        <v>0.09</v>
      </c>
      <c r="G388" s="218">
        <v>304</v>
      </c>
      <c r="H388" s="218">
        <v>10</v>
      </c>
      <c r="I388" s="218">
        <v>1</v>
      </c>
      <c r="J388" s="253">
        <v>10941.85</v>
      </c>
      <c r="K388" s="253">
        <v>7729.77</v>
      </c>
      <c r="L388" s="253">
        <v>283.95999999999998</v>
      </c>
      <c r="M388" s="253">
        <v>294.02999999999997</v>
      </c>
      <c r="N388" s="250">
        <f t="shared" si="30"/>
        <v>10657.890000000001</v>
      </c>
      <c r="O388" s="250">
        <f t="shared" si="31"/>
        <v>7435.7400000000007</v>
      </c>
      <c r="P388" s="95">
        <f t="shared" si="32"/>
        <v>0.17609618083086975</v>
      </c>
      <c r="Q388" s="95">
        <f t="shared" si="33"/>
        <v>0.17298106636261704</v>
      </c>
      <c r="R388" s="133">
        <f t="shared" si="34"/>
        <v>1.4333327953909094</v>
      </c>
      <c r="T388" s="83">
        <v>182</v>
      </c>
    </row>
    <row r="389" spans="1:20">
      <c r="A389" s="219">
        <v>44761</v>
      </c>
      <c r="B389" s="81" t="str">
        <f>VLOOKUP(C389,'Master List'!A:C,3,FALSE)</f>
        <v>55-144</v>
      </c>
      <c r="C389" s="88">
        <v>654</v>
      </c>
      <c r="D389" s="88" t="s">
        <v>106</v>
      </c>
      <c r="E389" s="81">
        <f>VLOOKUP(C389,'Master List'!A:G,5,FALSE)</f>
        <v>75</v>
      </c>
      <c r="F389" s="43">
        <f>VLOOKUP(C389,'2022-002-bottles_csv'!E:L,8,FALSE)</f>
        <v>0.09</v>
      </c>
      <c r="G389" s="218">
        <v>304</v>
      </c>
      <c r="H389" s="218">
        <v>10</v>
      </c>
      <c r="I389" s="218">
        <v>1</v>
      </c>
      <c r="J389" s="253">
        <v>10579.54</v>
      </c>
      <c r="K389" s="253">
        <v>7304.7</v>
      </c>
      <c r="L389" s="253">
        <v>345.92</v>
      </c>
      <c r="M389" s="253">
        <v>349.76</v>
      </c>
      <c r="N389" s="250">
        <f t="shared" si="30"/>
        <v>10233.620000000001</v>
      </c>
      <c r="O389" s="250">
        <f t="shared" si="31"/>
        <v>6954.94</v>
      </c>
      <c r="P389" s="95">
        <f t="shared" si="32"/>
        <v>0.17918564504028556</v>
      </c>
      <c r="Q389" s="95">
        <f t="shared" si="33"/>
        <v>0.14732003019793805</v>
      </c>
      <c r="R389" s="133">
        <f t="shared" si="34"/>
        <v>1.4714174385400882</v>
      </c>
      <c r="T389" s="83">
        <v>346</v>
      </c>
    </row>
    <row r="390" spans="1:20">
      <c r="A390" s="219">
        <v>44754</v>
      </c>
      <c r="B390" s="81" t="str">
        <f>VLOOKUP(C390,'Master List'!A:C,3,FALSE)</f>
        <v>55-144</v>
      </c>
      <c r="C390" s="88">
        <v>656</v>
      </c>
      <c r="D390" s="88" t="s">
        <v>105</v>
      </c>
      <c r="E390" s="81">
        <f>VLOOKUP(C390,'Master List'!A:G,5,FALSE)</f>
        <v>50</v>
      </c>
      <c r="F390" s="43">
        <f>VLOOKUP(C390,'2022-002-bottles_csv'!E:L,8,FALSE)</f>
        <v>0.11</v>
      </c>
      <c r="G390" s="218">
        <v>304</v>
      </c>
      <c r="H390" s="218">
        <v>10</v>
      </c>
      <c r="I390" s="218">
        <v>1</v>
      </c>
      <c r="J390" s="253">
        <v>14578.71</v>
      </c>
      <c r="K390" s="253">
        <v>10135.219999999999</v>
      </c>
      <c r="L390" s="253">
        <v>283.95999999999998</v>
      </c>
      <c r="M390" s="253">
        <v>294.02999999999997</v>
      </c>
      <c r="N390" s="250">
        <f t="shared" si="30"/>
        <v>14294.75</v>
      </c>
      <c r="O390" s="250">
        <f t="shared" si="31"/>
        <v>9841.1899999999987</v>
      </c>
      <c r="P390" s="95">
        <f t="shared" si="32"/>
        <v>0.24339490933107655</v>
      </c>
      <c r="Q390" s="95">
        <f t="shared" si="33"/>
        <v>0.21860826914316683</v>
      </c>
      <c r="R390" s="133">
        <f t="shared" si="34"/>
        <v>1.4525428327265302</v>
      </c>
      <c r="T390" s="83">
        <v>187</v>
      </c>
    </row>
    <row r="391" spans="1:20">
      <c r="A391" s="219">
        <v>44757</v>
      </c>
      <c r="B391" s="81" t="str">
        <f>VLOOKUP(C391,'Master List'!A:C,3,FALSE)</f>
        <v>55-144</v>
      </c>
      <c r="C391" s="88">
        <v>656</v>
      </c>
      <c r="D391" s="88" t="s">
        <v>106</v>
      </c>
      <c r="E391" s="81">
        <f>VLOOKUP(C391,'Master List'!A:G,5,FALSE)</f>
        <v>50</v>
      </c>
      <c r="F391" s="43">
        <f>VLOOKUP(C391,'2022-002-bottles_csv'!E:L,8,FALSE)</f>
        <v>0.11</v>
      </c>
      <c r="G391" s="218">
        <v>304</v>
      </c>
      <c r="H391" s="218">
        <v>10</v>
      </c>
      <c r="I391" s="218">
        <v>1</v>
      </c>
      <c r="J391" s="253">
        <v>14110.75</v>
      </c>
      <c r="K391" s="253">
        <v>9572.91</v>
      </c>
      <c r="L391" s="253">
        <v>338.28</v>
      </c>
      <c r="M391" s="253">
        <v>338.2</v>
      </c>
      <c r="N391" s="250">
        <f t="shared" si="30"/>
        <v>13772.47</v>
      </c>
      <c r="O391" s="250">
        <f t="shared" si="31"/>
        <v>9234.7099999999991</v>
      </c>
      <c r="P391" s="95">
        <f t="shared" si="32"/>
        <v>0.24799658784572021</v>
      </c>
      <c r="Q391" s="95">
        <f t="shared" si="33"/>
        <v>0.18553486234352298</v>
      </c>
      <c r="R391" s="133">
        <f t="shared" si="34"/>
        <v>1.4913808879759083</v>
      </c>
      <c r="T391" s="83">
        <v>334</v>
      </c>
    </row>
    <row r="392" spans="1:20">
      <c r="A392" s="219">
        <v>44754</v>
      </c>
      <c r="B392" s="81" t="str">
        <f>VLOOKUP(C392,'Master List'!A:C,3,FALSE)</f>
        <v>55-144</v>
      </c>
      <c r="C392" s="88">
        <v>657</v>
      </c>
      <c r="D392" s="88" t="s">
        <v>105</v>
      </c>
      <c r="E392" s="81">
        <f>VLOOKUP(C392,'Master List'!A:G,5,FALSE)</f>
        <v>25</v>
      </c>
      <c r="F392" s="43" t="e">
        <f>VLOOKUP(C392,'2022-002-bottles_csv'!E:L,8,FALSE)</f>
        <v>#N/A</v>
      </c>
      <c r="G392" s="218">
        <v>304</v>
      </c>
      <c r="H392" s="218">
        <v>10</v>
      </c>
      <c r="I392" s="218">
        <v>1</v>
      </c>
      <c r="J392" s="253">
        <v>14587.05</v>
      </c>
      <c r="K392" s="253">
        <v>9401.34</v>
      </c>
      <c r="L392" s="253">
        <v>283.95999999999998</v>
      </c>
      <c r="M392" s="253">
        <v>294.02999999999997</v>
      </c>
      <c r="N392" s="250">
        <f t="shared" si="30"/>
        <v>14303.09</v>
      </c>
      <c r="O392" s="250">
        <f t="shared" si="31"/>
        <v>9107.31</v>
      </c>
      <c r="P392" s="95">
        <f t="shared" si="32"/>
        <v>0.28395854148236932</v>
      </c>
      <c r="Q392" s="95">
        <f t="shared" si="33"/>
        <v>0.14359200548911075</v>
      </c>
      <c r="R392" s="133">
        <f t="shared" si="34"/>
        <v>1.5705065491347061</v>
      </c>
      <c r="T392" s="83">
        <v>175</v>
      </c>
    </row>
    <row r="393" spans="1:20">
      <c r="A393" s="219">
        <v>44761</v>
      </c>
      <c r="B393" s="81" t="str">
        <f>VLOOKUP(C393,'Master List'!A:C,3,FALSE)</f>
        <v>55-144</v>
      </c>
      <c r="C393" s="88">
        <v>657</v>
      </c>
      <c r="D393" s="88" t="s">
        <v>106</v>
      </c>
      <c r="E393" s="81">
        <f>VLOOKUP(C393,'Master List'!A:G,5,FALSE)</f>
        <v>25</v>
      </c>
      <c r="F393" s="43" t="e">
        <f>VLOOKUP(C393,'2022-002-bottles_csv'!E:L,8,FALSE)</f>
        <v>#N/A</v>
      </c>
      <c r="G393" s="218">
        <v>304</v>
      </c>
      <c r="H393" s="218">
        <v>10</v>
      </c>
      <c r="I393" s="218">
        <v>1</v>
      </c>
      <c r="J393" s="253">
        <v>14074.14</v>
      </c>
      <c r="K393" s="253">
        <v>9392.23</v>
      </c>
      <c r="L393" s="253">
        <v>345.92</v>
      </c>
      <c r="M393" s="253">
        <v>349.76</v>
      </c>
      <c r="N393" s="250">
        <f t="shared" si="30"/>
        <v>13728.22</v>
      </c>
      <c r="O393" s="250">
        <f t="shared" si="31"/>
        <v>9042.4699999999993</v>
      </c>
      <c r="P393" s="95">
        <f t="shared" si="32"/>
        <v>0.25608450237519909</v>
      </c>
      <c r="Q393" s="95">
        <f t="shared" si="33"/>
        <v>0.16842207470114942</v>
      </c>
      <c r="R393" s="133">
        <f t="shared" si="34"/>
        <v>1.5181935909104483</v>
      </c>
      <c r="T393" s="83">
        <v>361</v>
      </c>
    </row>
    <row r="394" spans="1:20">
      <c r="A394" s="219">
        <v>44754</v>
      </c>
      <c r="B394" s="81" t="str">
        <f>VLOOKUP(C394,'Master List'!A:C,3,FALSE)</f>
        <v>55-144</v>
      </c>
      <c r="C394" s="88">
        <v>660</v>
      </c>
      <c r="D394" s="88" t="s">
        <v>105</v>
      </c>
      <c r="E394" s="81">
        <f>VLOOKUP(C394,'Master List'!A:G,5,FALSE)</f>
        <v>5</v>
      </c>
      <c r="F394" s="43">
        <f>VLOOKUP(C394,'2022-002-bottles_csv'!E:L,8,FALSE)</f>
        <v>0.11</v>
      </c>
      <c r="G394" s="218">
        <v>304</v>
      </c>
      <c r="H394" s="218">
        <v>10</v>
      </c>
      <c r="I394" s="218">
        <v>1</v>
      </c>
      <c r="J394" s="253">
        <v>14988.77</v>
      </c>
      <c r="K394" s="253">
        <v>10216.4</v>
      </c>
      <c r="L394" s="253">
        <v>283.95999999999998</v>
      </c>
      <c r="M394" s="253">
        <v>294.02999999999997</v>
      </c>
      <c r="N394" s="250">
        <f t="shared" si="30"/>
        <v>14704.810000000001</v>
      </c>
      <c r="O394" s="250">
        <f t="shared" si="31"/>
        <v>9922.369999999999</v>
      </c>
      <c r="P394" s="95">
        <f t="shared" si="32"/>
        <v>0.261368781420103</v>
      </c>
      <c r="Q394" s="95">
        <f t="shared" si="33"/>
        <v>0.20444546238552189</v>
      </c>
      <c r="R394" s="133">
        <f t="shared" si="34"/>
        <v>1.481985654636947</v>
      </c>
      <c r="T394" s="83">
        <v>192</v>
      </c>
    </row>
    <row r="395" spans="1:20">
      <c r="A395" s="219">
        <v>44757</v>
      </c>
      <c r="B395" s="81" t="str">
        <f>VLOOKUP(C395,'Master List'!A:C,3,FALSE)</f>
        <v>55-144</v>
      </c>
      <c r="C395" s="88">
        <v>660</v>
      </c>
      <c r="D395" s="88" t="s">
        <v>106</v>
      </c>
      <c r="E395" s="81">
        <f>VLOOKUP(C395,'Master List'!A:G,5,FALSE)</f>
        <v>5</v>
      </c>
      <c r="F395" s="43">
        <f>VLOOKUP(C395,'2022-002-bottles_csv'!E:L,8,FALSE)</f>
        <v>0.11</v>
      </c>
      <c r="G395" s="218">
        <v>304</v>
      </c>
      <c r="H395" s="218">
        <v>10</v>
      </c>
      <c r="I395" s="218">
        <v>1</v>
      </c>
      <c r="J395" s="253">
        <v>14664.58</v>
      </c>
      <c r="K395" s="253">
        <v>9531.18</v>
      </c>
      <c r="L395" s="253">
        <v>351.09</v>
      </c>
      <c r="M395" s="253">
        <v>351.83</v>
      </c>
      <c r="N395" s="250">
        <f t="shared" si="30"/>
        <v>14313.49</v>
      </c>
      <c r="O395" s="250">
        <f t="shared" si="31"/>
        <v>9179.35</v>
      </c>
      <c r="P395" s="95">
        <f t="shared" si="32"/>
        <v>0.28058980675977263</v>
      </c>
      <c r="Q395" s="95">
        <f t="shared" si="33"/>
        <v>0.15034272033578661</v>
      </c>
      <c r="R395" s="133">
        <f t="shared" si="34"/>
        <v>1.5593141126550354</v>
      </c>
      <c r="T395" s="83">
        <v>284</v>
      </c>
    </row>
    <row r="396" spans="1:20">
      <c r="A396" s="219">
        <v>44754</v>
      </c>
      <c r="B396" s="81" t="str">
        <f>VLOOKUP(C396,'Master List'!A:C,3,FALSE)</f>
        <v>54-144</v>
      </c>
      <c r="C396" s="88">
        <v>667</v>
      </c>
      <c r="D396" s="88" t="s">
        <v>105</v>
      </c>
      <c r="E396" s="81">
        <f>VLOOKUP(C396,'Master List'!A:G,5,FALSE)</f>
        <v>150</v>
      </c>
      <c r="F396" s="43">
        <f>VLOOKUP(C396,'2022-002-bottles_csv'!E:L,8,FALSE)</f>
        <v>0.05</v>
      </c>
      <c r="G396" s="218">
        <v>304</v>
      </c>
      <c r="H396" s="218">
        <v>10</v>
      </c>
      <c r="I396" s="218">
        <v>1</v>
      </c>
      <c r="J396" s="253">
        <v>1172.26</v>
      </c>
      <c r="K396" s="253">
        <v>1030.1600000000001</v>
      </c>
      <c r="L396" s="253">
        <v>283.95999999999998</v>
      </c>
      <c r="M396" s="253">
        <v>294.02999999999997</v>
      </c>
      <c r="N396" s="250">
        <f t="shared" si="30"/>
        <v>888.3</v>
      </c>
      <c r="O396" s="250">
        <f t="shared" si="31"/>
        <v>736.13000000000011</v>
      </c>
      <c r="P396" s="95">
        <f t="shared" si="32"/>
        <v>8.3163589022961105E-3</v>
      </c>
      <c r="Q396" s="95">
        <f t="shared" si="33"/>
        <v>2.62419007970131E-2</v>
      </c>
      <c r="R396" s="133">
        <f t="shared" si="34"/>
        <v>1.206716205018135</v>
      </c>
      <c r="T396" s="83">
        <v>169</v>
      </c>
    </row>
    <row r="397" spans="1:20">
      <c r="A397" s="219">
        <v>44755</v>
      </c>
      <c r="B397" s="81" t="str">
        <f>VLOOKUP(C397,'Master List'!A:C,3,FALSE)</f>
        <v>54-144</v>
      </c>
      <c r="C397" s="88">
        <v>667</v>
      </c>
      <c r="D397" s="88" t="s">
        <v>106</v>
      </c>
      <c r="E397" s="81">
        <f>VLOOKUP(C397,'Master List'!A:G,5,FALSE)</f>
        <v>150</v>
      </c>
      <c r="F397" s="43">
        <f>VLOOKUP(C397,'2022-002-bottles_csv'!E:L,8,FALSE)</f>
        <v>0.05</v>
      </c>
      <c r="G397" s="218">
        <v>304</v>
      </c>
      <c r="H397" s="218">
        <v>10</v>
      </c>
      <c r="I397" s="218">
        <v>1</v>
      </c>
      <c r="J397" s="253">
        <v>1400.17</v>
      </c>
      <c r="K397" s="253">
        <v>1194.6099999999999</v>
      </c>
      <c r="L397" s="253">
        <v>332.42</v>
      </c>
      <c r="M397" s="253">
        <v>348.04</v>
      </c>
      <c r="N397" s="250">
        <f t="shared" ref="N397:N431" si="35">J397-L397</f>
        <v>1067.75</v>
      </c>
      <c r="O397" s="250">
        <f t="shared" ref="O397:O431" si="36">K397-M397</f>
        <v>846.56999999999994</v>
      </c>
      <c r="P397" s="95">
        <f t="shared" ref="P397:P431" si="37">0.0007677*(1.859/(1.859-1))*(N397-O397)*(H397/G397)*I397</f>
        <v>1.2087877124333683E-2</v>
      </c>
      <c r="Q397" s="95">
        <f t="shared" ref="Q397:Q431" si="38">0.0007677*(1.859/(1.859-1))*((1.859*O397)-N397)*(H397/G397)*I397</f>
        <v>2.7655083920107099E-2</v>
      </c>
      <c r="R397" s="133">
        <f t="shared" ref="R397:R431" si="39">N397/O397</f>
        <v>1.2612660500608339</v>
      </c>
      <c r="T397" s="83">
        <v>229</v>
      </c>
    </row>
    <row r="398" spans="1:20">
      <c r="A398" s="219">
        <v>44754</v>
      </c>
      <c r="B398" s="81" t="str">
        <f>VLOOKUP(C398,'Master List'!A:C,3,FALSE)</f>
        <v>54-144</v>
      </c>
      <c r="C398" s="88">
        <v>671</v>
      </c>
      <c r="D398" s="88" t="s">
        <v>105</v>
      </c>
      <c r="E398" s="81">
        <f>VLOOKUP(C398,'Master List'!A:G,5,FALSE)</f>
        <v>100</v>
      </c>
      <c r="F398" s="43">
        <f>VLOOKUP(C398,'2022-002-bottles_csv'!E:L,8,FALSE)</f>
        <v>0.06</v>
      </c>
      <c r="G398" s="218">
        <v>304</v>
      </c>
      <c r="H398" s="218">
        <v>10</v>
      </c>
      <c r="I398" s="218">
        <v>1</v>
      </c>
      <c r="J398" s="253">
        <v>4799.47</v>
      </c>
      <c r="K398" s="253">
        <v>3731.96</v>
      </c>
      <c r="L398" s="253">
        <v>283.95999999999998</v>
      </c>
      <c r="M398" s="253">
        <v>294.02999999999997</v>
      </c>
      <c r="N398" s="250">
        <f t="shared" si="35"/>
        <v>4515.51</v>
      </c>
      <c r="O398" s="250">
        <f t="shared" si="36"/>
        <v>3437.9300000000003</v>
      </c>
      <c r="P398" s="95">
        <f t="shared" si="37"/>
        <v>5.8891647669949747E-2</v>
      </c>
      <c r="Q398" s="95">
        <f t="shared" si="38"/>
        <v>0.10250495044185945</v>
      </c>
      <c r="R398" s="133">
        <f t="shared" si="39"/>
        <v>1.3134386098611663</v>
      </c>
      <c r="T398" s="83">
        <v>185</v>
      </c>
    </row>
    <row r="399" spans="1:20">
      <c r="A399" s="219">
        <v>44756</v>
      </c>
      <c r="B399" s="81" t="str">
        <f>VLOOKUP(C399,'Master List'!A:C,3,FALSE)</f>
        <v>54-144</v>
      </c>
      <c r="C399" s="88">
        <v>671</v>
      </c>
      <c r="D399" s="88" t="s">
        <v>106</v>
      </c>
      <c r="E399" s="81">
        <f>VLOOKUP(C399,'Master List'!A:G,5,FALSE)</f>
        <v>100</v>
      </c>
      <c r="F399" s="43">
        <f>VLOOKUP(C399,'2022-002-bottles_csv'!E:L,8,FALSE)</f>
        <v>0.06</v>
      </c>
      <c r="G399" s="218">
        <v>304</v>
      </c>
      <c r="H399" s="218">
        <v>10</v>
      </c>
      <c r="I399" s="218">
        <v>1</v>
      </c>
      <c r="J399" s="253">
        <v>4493.1499999999996</v>
      </c>
      <c r="K399" s="253">
        <v>3387.46</v>
      </c>
      <c r="L399" s="253">
        <v>332.16</v>
      </c>
      <c r="M399" s="253">
        <v>344.15</v>
      </c>
      <c r="N399" s="250">
        <f t="shared" si="35"/>
        <v>4160.99</v>
      </c>
      <c r="O399" s="250">
        <f t="shared" si="36"/>
        <v>3043.31</v>
      </c>
      <c r="P399" s="95">
        <f t="shared" si="37"/>
        <v>6.1083183399607853E-2</v>
      </c>
      <c r="Q399" s="95">
        <f t="shared" si="38"/>
        <v>8.1787637413977654E-2</v>
      </c>
      <c r="R399" s="133">
        <f t="shared" si="39"/>
        <v>1.3672580184075891</v>
      </c>
      <c r="T399" s="83">
        <v>244</v>
      </c>
    </row>
    <row r="400" spans="1:20">
      <c r="A400" s="219">
        <v>44754</v>
      </c>
      <c r="B400" s="81" t="str">
        <f>VLOOKUP(C400,'Master List'!A:C,3,FALSE)</f>
        <v>54-144</v>
      </c>
      <c r="C400" s="88">
        <v>672</v>
      </c>
      <c r="D400" s="88" t="s">
        <v>105</v>
      </c>
      <c r="E400" s="81">
        <f>VLOOKUP(C400,'Master List'!A:G,5,FALSE)</f>
        <v>75</v>
      </c>
      <c r="F400" s="43">
        <f>VLOOKUP(C400,'2022-002-bottles_csv'!E:L,8,FALSE)</f>
        <v>0.09</v>
      </c>
      <c r="G400" s="218">
        <v>304</v>
      </c>
      <c r="H400" s="218">
        <v>10</v>
      </c>
      <c r="I400" s="218">
        <v>1</v>
      </c>
      <c r="J400" s="253">
        <v>12436.71</v>
      </c>
      <c r="K400" s="253">
        <v>8614.56</v>
      </c>
      <c r="L400" s="253">
        <v>283.95999999999998</v>
      </c>
      <c r="M400" s="253">
        <v>294.02999999999997</v>
      </c>
      <c r="N400" s="250">
        <f t="shared" si="35"/>
        <v>12152.75</v>
      </c>
      <c r="O400" s="250">
        <f t="shared" si="36"/>
        <v>8320.5299999999988</v>
      </c>
      <c r="P400" s="95">
        <f t="shared" si="37"/>
        <v>0.20943758239178056</v>
      </c>
      <c r="Q400" s="95">
        <f t="shared" si="38"/>
        <v>0.18117689681147595</v>
      </c>
      <c r="R400" s="133">
        <f t="shared" si="39"/>
        <v>1.4605740259334443</v>
      </c>
      <c r="T400" s="83">
        <v>181</v>
      </c>
    </row>
    <row r="401" spans="1:20">
      <c r="A401" s="219">
        <v>44761</v>
      </c>
      <c r="B401" s="81" t="str">
        <f>VLOOKUP(C401,'Master List'!A:C,3,FALSE)</f>
        <v>54-144</v>
      </c>
      <c r="C401" s="88">
        <v>672</v>
      </c>
      <c r="D401" s="88" t="s">
        <v>106</v>
      </c>
      <c r="E401" s="81">
        <f>VLOOKUP(C401,'Master List'!A:G,5,FALSE)</f>
        <v>75</v>
      </c>
      <c r="F401" s="43">
        <f>VLOOKUP(C401,'2022-002-bottles_csv'!E:L,8,FALSE)</f>
        <v>0.09</v>
      </c>
      <c r="G401" s="218">
        <v>304</v>
      </c>
      <c r="H401" s="218">
        <v>10</v>
      </c>
      <c r="I401" s="218">
        <v>1</v>
      </c>
      <c r="J401" s="253">
        <v>12415.31</v>
      </c>
      <c r="K401" s="253">
        <v>8614.92</v>
      </c>
      <c r="L401" s="253">
        <v>334.87</v>
      </c>
      <c r="M401" s="253">
        <v>333.82</v>
      </c>
      <c r="N401" s="250">
        <f t="shared" si="35"/>
        <v>12080.439999999999</v>
      </c>
      <c r="O401" s="250">
        <f t="shared" si="36"/>
        <v>8281.1</v>
      </c>
      <c r="P401" s="95">
        <f t="shared" si="37"/>
        <v>0.20764063239698841</v>
      </c>
      <c r="Q401" s="95">
        <f t="shared" si="38"/>
        <v>0.18112277134412999</v>
      </c>
      <c r="R401" s="133">
        <f t="shared" si="39"/>
        <v>1.4587965366919851</v>
      </c>
      <c r="T401" s="83">
        <v>398</v>
      </c>
    </row>
    <row r="402" spans="1:20">
      <c r="A402" s="219">
        <v>44754</v>
      </c>
      <c r="B402" s="81" t="str">
        <f>VLOOKUP(C402,'Master List'!A:C,3,FALSE)</f>
        <v>54-144</v>
      </c>
      <c r="C402" s="88">
        <v>675</v>
      </c>
      <c r="D402" s="88" t="s">
        <v>105</v>
      </c>
      <c r="E402" s="81">
        <f>VLOOKUP(C402,'Master List'!A:G,5,FALSE)</f>
        <v>50</v>
      </c>
      <c r="F402" s="43">
        <f>VLOOKUP(C402,'2022-002-bottles_csv'!E:L,8,FALSE)</f>
        <v>0.11</v>
      </c>
      <c r="G402" s="218">
        <v>304</v>
      </c>
      <c r="H402" s="218">
        <v>10</v>
      </c>
      <c r="I402" s="218">
        <v>1</v>
      </c>
      <c r="J402" s="253">
        <v>13995.77</v>
      </c>
      <c r="K402" s="253">
        <v>9284.8799999999992</v>
      </c>
      <c r="L402" s="253">
        <v>283.95999999999998</v>
      </c>
      <c r="M402" s="253">
        <v>294.02999999999997</v>
      </c>
      <c r="N402" s="250">
        <f t="shared" si="35"/>
        <v>13711.810000000001</v>
      </c>
      <c r="O402" s="250">
        <f t="shared" si="36"/>
        <v>8990.8499999999985</v>
      </c>
      <c r="P402" s="95">
        <f t="shared" si="37"/>
        <v>0.25800879097971952</v>
      </c>
      <c r="Q402" s="95">
        <f t="shared" si="38"/>
        <v>0.16407444053853698</v>
      </c>
      <c r="R402" s="133">
        <f t="shared" si="39"/>
        <v>1.5250849474743771</v>
      </c>
      <c r="T402" s="83">
        <v>176</v>
      </c>
    </row>
    <row r="403" spans="1:20">
      <c r="A403" s="219">
        <v>44757</v>
      </c>
      <c r="B403" s="81" t="str">
        <f>VLOOKUP(C403,'Master List'!A:C,3,FALSE)</f>
        <v>54-144</v>
      </c>
      <c r="C403" s="88">
        <v>675</v>
      </c>
      <c r="D403" s="88" t="s">
        <v>106</v>
      </c>
      <c r="E403" s="81">
        <f>VLOOKUP(C403,'Master List'!A:G,5,FALSE)</f>
        <v>50</v>
      </c>
      <c r="F403" s="43">
        <f>VLOOKUP(C403,'2022-002-bottles_csv'!E:L,8,FALSE)</f>
        <v>0.11</v>
      </c>
      <c r="G403" s="218">
        <v>304</v>
      </c>
      <c r="H403" s="218">
        <v>10</v>
      </c>
      <c r="I403" s="218">
        <v>1</v>
      </c>
      <c r="J403" s="253">
        <v>13350.71</v>
      </c>
      <c r="K403" s="253">
        <v>8585.2999999999993</v>
      </c>
      <c r="L403" s="253">
        <v>338.28</v>
      </c>
      <c r="M403" s="253">
        <v>338.2</v>
      </c>
      <c r="N403" s="250">
        <f t="shared" si="35"/>
        <v>13012.429999999998</v>
      </c>
      <c r="O403" s="250">
        <f t="shared" si="36"/>
        <v>8247.0999999999985</v>
      </c>
      <c r="P403" s="95">
        <f t="shared" si="37"/>
        <v>0.2604336897409395</v>
      </c>
      <c r="Q403" s="95">
        <f t="shared" si="38"/>
        <v>0.12673355458570507</v>
      </c>
      <c r="R403" s="133">
        <f t="shared" si="39"/>
        <v>1.5778188696632756</v>
      </c>
      <c r="T403" s="83">
        <v>329</v>
      </c>
    </row>
    <row r="404" spans="1:20">
      <c r="A404" s="219">
        <v>44754</v>
      </c>
      <c r="B404" s="81" t="str">
        <f>VLOOKUP(C404,'Master List'!A:C,3,FALSE)</f>
        <v>54-144</v>
      </c>
      <c r="C404" s="88">
        <v>677</v>
      </c>
      <c r="D404" s="88" t="s">
        <v>105</v>
      </c>
      <c r="E404" s="81">
        <f>VLOOKUP(C404,'Master List'!A:G,5,FALSE)</f>
        <v>25</v>
      </c>
      <c r="F404" s="43">
        <f>VLOOKUP(C404,'2022-002-bottles_csv'!E:L,8,FALSE)</f>
        <v>0.11</v>
      </c>
      <c r="G404" s="218">
        <v>304</v>
      </c>
      <c r="H404" s="218">
        <v>10</v>
      </c>
      <c r="I404" s="218">
        <v>1</v>
      </c>
      <c r="J404" s="253">
        <v>14005.51</v>
      </c>
      <c r="K404" s="253">
        <v>9069.4699999999993</v>
      </c>
      <c r="L404" s="253">
        <v>283.95999999999998</v>
      </c>
      <c r="M404" s="253">
        <v>294.02999999999997</v>
      </c>
      <c r="N404" s="250">
        <f t="shared" si="35"/>
        <v>13721.550000000001</v>
      </c>
      <c r="O404" s="250">
        <f t="shared" si="36"/>
        <v>8775.4399999999987</v>
      </c>
      <c r="P404" s="95">
        <f t="shared" si="37"/>
        <v>0.27031363560646565</v>
      </c>
      <c r="Q404" s="95">
        <f t="shared" si="38"/>
        <v>0.14165698710379732</v>
      </c>
      <c r="R404" s="133">
        <f t="shared" si="39"/>
        <v>1.5636309974200728</v>
      </c>
      <c r="T404" s="83">
        <v>188</v>
      </c>
    </row>
    <row r="405" spans="1:20">
      <c r="A405" s="219">
        <v>44757</v>
      </c>
      <c r="B405" s="81" t="str">
        <f>VLOOKUP(C405,'Master List'!A:C,3,FALSE)</f>
        <v>54-144</v>
      </c>
      <c r="C405" s="88">
        <v>677</v>
      </c>
      <c r="D405" s="88" t="s">
        <v>106</v>
      </c>
      <c r="E405" s="81">
        <f>VLOOKUP(C405,'Master List'!A:G,5,FALSE)</f>
        <v>25</v>
      </c>
      <c r="F405" s="43">
        <f>VLOOKUP(C405,'2022-002-bottles_csv'!E:L,8,FALSE)</f>
        <v>0.11</v>
      </c>
      <c r="G405" s="218">
        <v>304</v>
      </c>
      <c r="H405" s="218">
        <v>10</v>
      </c>
      <c r="I405" s="218">
        <v>1</v>
      </c>
      <c r="J405" s="253">
        <v>13898.69</v>
      </c>
      <c r="K405" s="253">
        <v>8919.84</v>
      </c>
      <c r="L405" s="253">
        <v>338.28</v>
      </c>
      <c r="M405" s="253">
        <v>338.2</v>
      </c>
      <c r="N405" s="250">
        <f t="shared" si="35"/>
        <v>13560.41</v>
      </c>
      <c r="O405" s="250">
        <f t="shared" si="36"/>
        <v>8581.64</v>
      </c>
      <c r="P405" s="95">
        <f t="shared" si="37"/>
        <v>0.27209856221321455</v>
      </c>
      <c r="Q405" s="95">
        <f t="shared" si="38"/>
        <v>0.13077395183454851</v>
      </c>
      <c r="R405" s="133">
        <f t="shared" si="39"/>
        <v>1.5801653297038796</v>
      </c>
      <c r="T405" s="83">
        <v>336</v>
      </c>
    </row>
    <row r="406" spans="1:20">
      <c r="A406" s="219">
        <v>44754</v>
      </c>
      <c r="B406" s="81" t="str">
        <f>VLOOKUP(C406,'Master List'!A:C,3,FALSE)</f>
        <v>54-144</v>
      </c>
      <c r="C406" s="88">
        <v>683</v>
      </c>
      <c r="D406" s="88" t="s">
        <v>105</v>
      </c>
      <c r="E406" s="81">
        <f>VLOOKUP(C406,'Master List'!A:G,5,FALSE)</f>
        <v>5</v>
      </c>
      <c r="F406" s="43">
        <f>VLOOKUP(C406,'2022-002-bottles_csv'!E:L,8,FALSE)</f>
        <v>0.11</v>
      </c>
      <c r="G406" s="218">
        <v>304</v>
      </c>
      <c r="H406" s="218">
        <v>10</v>
      </c>
      <c r="I406" s="218">
        <v>1</v>
      </c>
      <c r="J406" s="253">
        <v>14006.71</v>
      </c>
      <c r="K406" s="253">
        <v>9286.0499999999993</v>
      </c>
      <c r="L406" s="253">
        <v>283.95999999999998</v>
      </c>
      <c r="M406" s="253">
        <v>294.02999999999997</v>
      </c>
      <c r="N406" s="250">
        <f t="shared" si="35"/>
        <v>13722.75</v>
      </c>
      <c r="O406" s="250">
        <f t="shared" si="36"/>
        <v>8992.0199999999986</v>
      </c>
      <c r="P406" s="95">
        <f t="shared" si="37"/>
        <v>0.25854273871235683</v>
      </c>
      <c r="Q406" s="95">
        <f t="shared" si="38"/>
        <v>0.16359541946810352</v>
      </c>
      <c r="R406" s="133">
        <f t="shared" si="39"/>
        <v>1.5261031447883793</v>
      </c>
      <c r="T406" s="83">
        <v>191</v>
      </c>
    </row>
    <row r="407" spans="1:20">
      <c r="A407" s="219">
        <v>44757</v>
      </c>
      <c r="B407" s="81" t="str">
        <f>VLOOKUP(C407,'Master List'!A:C,3,FALSE)</f>
        <v>54-144</v>
      </c>
      <c r="C407" s="88">
        <v>683</v>
      </c>
      <c r="D407" s="88" t="s">
        <v>106</v>
      </c>
      <c r="E407" s="81">
        <f>VLOOKUP(C407,'Master List'!A:G,5,FALSE)</f>
        <v>5</v>
      </c>
      <c r="F407" s="43">
        <f>VLOOKUP(C407,'2022-002-bottles_csv'!E:L,8,FALSE)</f>
        <v>0.11</v>
      </c>
      <c r="G407" s="218">
        <v>304</v>
      </c>
      <c r="H407" s="218">
        <v>10</v>
      </c>
      <c r="I407" s="218">
        <v>1</v>
      </c>
      <c r="J407" s="253">
        <v>13410.62</v>
      </c>
      <c r="K407" s="253">
        <v>8465.8799999999992</v>
      </c>
      <c r="L407" s="253">
        <v>338.28</v>
      </c>
      <c r="M407" s="253">
        <v>338.2</v>
      </c>
      <c r="N407" s="250">
        <f t="shared" si="35"/>
        <v>13072.34</v>
      </c>
      <c r="O407" s="250">
        <f t="shared" si="36"/>
        <v>8127.6799999999994</v>
      </c>
      <c r="P407" s="95">
        <f t="shared" si="37"/>
        <v>0.27023439054890935</v>
      </c>
      <c r="Q407" s="95">
        <f t="shared" si="38"/>
        <v>0.11132657856372209</v>
      </c>
      <c r="R407" s="133">
        <f t="shared" si="39"/>
        <v>1.6083728690105912</v>
      </c>
      <c r="T407" s="83">
        <v>332</v>
      </c>
    </row>
    <row r="408" spans="1:20">
      <c r="A408" s="219">
        <v>44754</v>
      </c>
      <c r="B408" s="81" t="str">
        <f>VLOOKUP(C408,'Master List'!A:C,3,FALSE)</f>
        <v>53-144</v>
      </c>
      <c r="C408" s="88">
        <v>696</v>
      </c>
      <c r="D408" s="88" t="s">
        <v>105</v>
      </c>
      <c r="E408" s="81">
        <f>VLOOKUP(C408,'Master List'!A:G,5,FALSE)</f>
        <v>150</v>
      </c>
      <c r="F408" s="43">
        <f>VLOOKUP(C408,'2022-002-bottles_csv'!E:L,8,FALSE)</f>
        <v>0.06</v>
      </c>
      <c r="G408" s="218">
        <v>304</v>
      </c>
      <c r="H408" s="218">
        <v>10</v>
      </c>
      <c r="I408" s="218">
        <v>1</v>
      </c>
      <c r="J408" s="253">
        <v>2506.6999999999998</v>
      </c>
      <c r="K408" s="253">
        <v>2006.91</v>
      </c>
      <c r="L408" s="253">
        <v>283.95999999999998</v>
      </c>
      <c r="M408" s="253">
        <v>294.02999999999997</v>
      </c>
      <c r="N408" s="250">
        <f t="shared" si="35"/>
        <v>2222.7399999999998</v>
      </c>
      <c r="O408" s="250">
        <f t="shared" si="36"/>
        <v>1712.88</v>
      </c>
      <c r="P408" s="95">
        <f t="shared" si="37"/>
        <v>2.7864748307318769E-2</v>
      </c>
      <c r="Q408" s="95">
        <f t="shared" si="38"/>
        <v>5.2547885159260177E-2</v>
      </c>
      <c r="R408" s="133">
        <f>N408/O408</f>
        <v>1.2976624165148753</v>
      </c>
      <c r="T408" s="83">
        <v>178</v>
      </c>
    </row>
    <row r="409" spans="1:20">
      <c r="A409" s="219">
        <v>44755</v>
      </c>
      <c r="B409" s="81" t="str">
        <f>VLOOKUP(C409,'Master List'!A:C,3,FALSE)</f>
        <v>53-144</v>
      </c>
      <c r="C409" s="88">
        <v>696</v>
      </c>
      <c r="D409" s="88" t="s">
        <v>106</v>
      </c>
      <c r="E409" s="81">
        <f>VLOOKUP(C409,'Master List'!A:G,5,FALSE)</f>
        <v>150</v>
      </c>
      <c r="F409" s="43">
        <f>VLOOKUP(C409,'2022-002-bottles_csv'!E:L,8,FALSE)</f>
        <v>0.06</v>
      </c>
      <c r="G409" s="218">
        <v>304</v>
      </c>
      <c r="H409" s="218">
        <v>10</v>
      </c>
      <c r="I409" s="218">
        <v>1</v>
      </c>
      <c r="J409" s="254"/>
      <c r="K409" s="253">
        <v>2269.2199999999998</v>
      </c>
      <c r="L409" s="253">
        <v>332.42</v>
      </c>
      <c r="M409" s="253">
        <v>348.04</v>
      </c>
      <c r="N409" s="250"/>
      <c r="O409" s="250">
        <f t="shared" si="36"/>
        <v>1921.1799999999998</v>
      </c>
      <c r="P409" s="95">
        <v>-99</v>
      </c>
      <c r="Q409" s="95">
        <v>-99</v>
      </c>
      <c r="R409" s="133"/>
      <c r="S409" s="44" t="s">
        <v>215</v>
      </c>
      <c r="T409" s="83">
        <v>238</v>
      </c>
    </row>
    <row r="410" spans="1:20">
      <c r="A410" s="219">
        <v>44754</v>
      </c>
      <c r="B410" s="81" t="str">
        <f>VLOOKUP(C410,'Master List'!A:C,3,FALSE)</f>
        <v>53-144</v>
      </c>
      <c r="C410" s="88">
        <v>698</v>
      </c>
      <c r="D410" s="88" t="s">
        <v>105</v>
      </c>
      <c r="E410" s="81">
        <f>VLOOKUP(C410,'Master List'!A:G,5,FALSE)</f>
        <v>100</v>
      </c>
      <c r="F410" s="43">
        <f>VLOOKUP(C410,'2022-002-bottles_csv'!E:L,8,FALSE)</f>
        <v>0.08</v>
      </c>
      <c r="G410" s="218">
        <v>304</v>
      </c>
      <c r="H410" s="218">
        <v>10</v>
      </c>
      <c r="I410" s="218">
        <v>1</v>
      </c>
      <c r="J410" s="253">
        <v>9172.36</v>
      </c>
      <c r="K410" s="253">
        <v>6779.89</v>
      </c>
      <c r="L410" s="253">
        <v>283.95999999999998</v>
      </c>
      <c r="M410" s="253">
        <v>294.02999999999997</v>
      </c>
      <c r="N410" s="250">
        <f t="shared" si="35"/>
        <v>8888.4000000000015</v>
      </c>
      <c r="O410" s="250">
        <f t="shared" si="36"/>
        <v>6485.8600000000006</v>
      </c>
      <c r="P410" s="95">
        <f t="shared" si="37"/>
        <v>0.13130304867662829</v>
      </c>
      <c r="Q410" s="95">
        <f t="shared" si="38"/>
        <v>0.17318126014567431</v>
      </c>
      <c r="R410" s="133">
        <f t="shared" si="39"/>
        <v>1.3704273604425627</v>
      </c>
      <c r="T410" s="83">
        <v>186</v>
      </c>
    </row>
    <row r="411" spans="1:20">
      <c r="A411" s="219">
        <v>44755</v>
      </c>
      <c r="B411" s="81" t="str">
        <f>VLOOKUP(C411,'Master List'!A:C,3,FALSE)</f>
        <v>53-144</v>
      </c>
      <c r="C411" s="88">
        <v>698</v>
      </c>
      <c r="D411" s="88" t="s">
        <v>106</v>
      </c>
      <c r="E411" s="81">
        <f>VLOOKUP(C411,'Master List'!A:G,5,FALSE)</f>
        <v>100</v>
      </c>
      <c r="F411" s="43">
        <f>VLOOKUP(C411,'2022-002-bottles_csv'!E:L,8,FALSE)</f>
        <v>0.08</v>
      </c>
      <c r="G411" s="218">
        <v>304</v>
      </c>
      <c r="H411" s="218">
        <v>10</v>
      </c>
      <c r="I411" s="218">
        <v>1</v>
      </c>
      <c r="J411" s="253">
        <v>8289.66</v>
      </c>
      <c r="K411" s="253">
        <v>6190.62</v>
      </c>
      <c r="L411" s="253">
        <v>332.42</v>
      </c>
      <c r="M411" s="253">
        <v>348.04</v>
      </c>
      <c r="N411" s="250">
        <f t="shared" si="35"/>
        <v>7957.24</v>
      </c>
      <c r="O411" s="250">
        <f t="shared" si="36"/>
        <v>5842.58</v>
      </c>
      <c r="P411" s="95">
        <f t="shared" si="37"/>
        <v>0.11556989890470863</v>
      </c>
      <c r="Q411" s="95">
        <f t="shared" si="38"/>
        <v>0.15871507379575184</v>
      </c>
      <c r="R411" s="133">
        <f t="shared" si="39"/>
        <v>1.361939417175289</v>
      </c>
      <c r="T411" s="83">
        <v>223</v>
      </c>
    </row>
    <row r="412" spans="1:20">
      <c r="A412" s="219">
        <v>44754</v>
      </c>
      <c r="B412" s="81" t="str">
        <f>VLOOKUP(C412,'Master List'!A:C,3,FALSE)</f>
        <v>53-144</v>
      </c>
      <c r="C412" s="88">
        <v>699</v>
      </c>
      <c r="D412" s="88" t="s">
        <v>105</v>
      </c>
      <c r="E412" s="81">
        <f>VLOOKUP(C412,'Master List'!A:G,5,FALSE)</f>
        <v>75</v>
      </c>
      <c r="F412" s="43">
        <f>VLOOKUP(C412,'2022-002-bottles_csv'!E:L,8,FALSE)</f>
        <v>0.09</v>
      </c>
      <c r="G412" s="218">
        <v>304</v>
      </c>
      <c r="H412" s="218">
        <v>10</v>
      </c>
      <c r="I412" s="218">
        <v>1</v>
      </c>
      <c r="J412" s="253">
        <v>11413.17</v>
      </c>
      <c r="K412" s="253">
        <v>8019.83</v>
      </c>
      <c r="L412" s="253">
        <v>283.95999999999998</v>
      </c>
      <c r="M412" s="253">
        <v>294.02999999999997</v>
      </c>
      <c r="N412" s="250">
        <f t="shared" si="35"/>
        <v>11129.210000000001</v>
      </c>
      <c r="O412" s="250">
        <f t="shared" si="36"/>
        <v>7725.8</v>
      </c>
      <c r="P412" s="95">
        <f t="shared" si="37"/>
        <v>0.18600235954303507</v>
      </c>
      <c r="Q412" s="95">
        <f t="shared" si="38"/>
        <v>0.17669200529051757</v>
      </c>
      <c r="R412" s="133">
        <f t="shared" si="39"/>
        <v>1.4405252530482282</v>
      </c>
      <c r="T412" s="83">
        <v>189</v>
      </c>
    </row>
    <row r="413" spans="1:20">
      <c r="A413" s="219">
        <v>44757</v>
      </c>
      <c r="B413" s="81" t="str">
        <f>VLOOKUP(C413,'Master List'!A:C,3,FALSE)</f>
        <v>53-144</v>
      </c>
      <c r="C413" s="88">
        <v>699</v>
      </c>
      <c r="D413" s="88" t="s">
        <v>106</v>
      </c>
      <c r="E413" s="81">
        <f>VLOOKUP(C413,'Master List'!A:G,5,FALSE)</f>
        <v>75</v>
      </c>
      <c r="F413" s="43">
        <f>VLOOKUP(C413,'2022-002-bottles_csv'!E:L,8,FALSE)</f>
        <v>0.09</v>
      </c>
      <c r="G413" s="218">
        <v>304</v>
      </c>
      <c r="H413" s="218">
        <v>10</v>
      </c>
      <c r="I413" s="218">
        <v>1</v>
      </c>
      <c r="J413" s="253">
        <v>10894.7</v>
      </c>
      <c r="K413" s="253">
        <v>7591.53</v>
      </c>
      <c r="L413" s="253">
        <v>338.28</v>
      </c>
      <c r="M413" s="253">
        <v>338.2</v>
      </c>
      <c r="N413" s="250">
        <f t="shared" si="35"/>
        <v>10556.42</v>
      </c>
      <c r="O413" s="250">
        <f t="shared" si="36"/>
        <v>7253.33</v>
      </c>
      <c r="P413" s="95">
        <f t="shared" si="37"/>
        <v>0.18051969459542153</v>
      </c>
      <c r="Q413" s="95">
        <f t="shared" si="38"/>
        <v>0.15999415733941391</v>
      </c>
      <c r="R413" s="133">
        <f t="shared" si="39"/>
        <v>1.4553894556017719</v>
      </c>
      <c r="T413" s="83">
        <v>331</v>
      </c>
    </row>
    <row r="414" spans="1:20">
      <c r="A414" s="219">
        <v>44749</v>
      </c>
      <c r="B414" s="81" t="str">
        <f>VLOOKUP(C414,'Master List'!A:C,3,FALSE)</f>
        <v>53-144</v>
      </c>
      <c r="C414" s="88">
        <v>701</v>
      </c>
      <c r="D414" s="88" t="s">
        <v>105</v>
      </c>
      <c r="E414" s="81">
        <f>VLOOKUP(C414,'Master List'!A:G,5,FALSE)</f>
        <v>50</v>
      </c>
      <c r="F414" s="43">
        <f>VLOOKUP(C414,'2022-002-bottles_csv'!E:L,8,FALSE)</f>
        <v>0.12</v>
      </c>
      <c r="G414" s="218">
        <v>304</v>
      </c>
      <c r="H414" s="218">
        <v>10</v>
      </c>
      <c r="I414" s="218">
        <v>1</v>
      </c>
      <c r="J414" s="253">
        <v>15352.17</v>
      </c>
      <c r="K414" s="253">
        <v>10052.56</v>
      </c>
      <c r="L414" s="253">
        <v>347.66</v>
      </c>
      <c r="M414" s="253">
        <v>357.34</v>
      </c>
      <c r="N414" s="250">
        <f t="shared" si="35"/>
        <v>15004.51</v>
      </c>
      <c r="O414" s="250">
        <f t="shared" si="36"/>
        <v>9695.2199999999993</v>
      </c>
      <c r="P414" s="95">
        <f t="shared" si="37"/>
        <v>0.29016206319492527</v>
      </c>
      <c r="Q414" s="95">
        <f t="shared" si="38"/>
        <v>0.16498842734606142</v>
      </c>
      <c r="R414" s="133">
        <f t="shared" si="39"/>
        <v>1.547619342315079</v>
      </c>
      <c r="T414" s="83">
        <v>65</v>
      </c>
    </row>
    <row r="415" spans="1:20">
      <c r="A415" s="219">
        <v>44757</v>
      </c>
      <c r="B415" s="81" t="str">
        <f>VLOOKUP(C415,'Master List'!A:C,3,FALSE)</f>
        <v>53-144</v>
      </c>
      <c r="C415" s="88">
        <v>701</v>
      </c>
      <c r="D415" s="88" t="s">
        <v>106</v>
      </c>
      <c r="E415" s="81">
        <f>VLOOKUP(C415,'Master List'!A:G,5,FALSE)</f>
        <v>50</v>
      </c>
      <c r="F415" s="43">
        <f>VLOOKUP(C415,'2022-002-bottles_csv'!E:L,8,FALSE)</f>
        <v>0.12</v>
      </c>
      <c r="G415" s="218">
        <v>304</v>
      </c>
      <c r="H415" s="218">
        <v>10</v>
      </c>
      <c r="I415" s="218">
        <v>1</v>
      </c>
      <c r="J415" s="253">
        <v>13261.91</v>
      </c>
      <c r="K415" s="253">
        <v>8437.02</v>
      </c>
      <c r="L415" s="253">
        <v>351.09</v>
      </c>
      <c r="M415" s="253">
        <v>351.83</v>
      </c>
      <c r="N415" s="250">
        <f t="shared" si="35"/>
        <v>12910.82</v>
      </c>
      <c r="O415" s="250">
        <f t="shared" si="36"/>
        <v>8085.1900000000005</v>
      </c>
      <c r="P415" s="95">
        <f t="shared" si="37"/>
        <v>0.26372919110000148</v>
      </c>
      <c r="Q415" s="95">
        <f t="shared" si="38"/>
        <v>0.11583704820318928</v>
      </c>
      <c r="R415" s="133">
        <f t="shared" si="39"/>
        <v>1.5968480641765992</v>
      </c>
      <c r="T415" s="83">
        <v>287</v>
      </c>
    </row>
    <row r="416" spans="1:20">
      <c r="A416" s="219">
        <v>44749</v>
      </c>
      <c r="B416" s="81" t="str">
        <f>VLOOKUP(C416,'Master List'!A:C,3,FALSE)</f>
        <v>53-144</v>
      </c>
      <c r="C416" s="88">
        <v>702</v>
      </c>
      <c r="D416" s="88" t="s">
        <v>105</v>
      </c>
      <c r="E416" s="81">
        <f>VLOOKUP(C416,'Master List'!A:G,5,FALSE)</f>
        <v>25</v>
      </c>
      <c r="F416" s="43">
        <f>VLOOKUP(C416,'2022-002-bottles_csv'!E:L,8,FALSE)</f>
        <v>0.12</v>
      </c>
      <c r="G416" s="218">
        <v>304</v>
      </c>
      <c r="H416" s="218">
        <v>10</v>
      </c>
      <c r="I416" s="218">
        <v>1</v>
      </c>
      <c r="J416" s="253">
        <v>14688.23</v>
      </c>
      <c r="K416" s="253">
        <v>9229.57</v>
      </c>
      <c r="L416" s="253">
        <v>347.66</v>
      </c>
      <c r="M416" s="253">
        <v>357.34</v>
      </c>
      <c r="N416" s="250">
        <f t="shared" si="35"/>
        <v>14340.57</v>
      </c>
      <c r="O416" s="250">
        <f t="shared" si="36"/>
        <v>8872.23</v>
      </c>
      <c r="P416" s="95">
        <f t="shared" si="37"/>
        <v>0.29885442623238462</v>
      </c>
      <c r="Q416" s="95">
        <f t="shared" si="38"/>
        <v>0.11766008676396394</v>
      </c>
      <c r="R416" s="133">
        <f t="shared" si="39"/>
        <v>1.6163433544892323</v>
      </c>
      <c r="T416" s="83">
        <v>63</v>
      </c>
    </row>
    <row r="417" spans="1:20">
      <c r="A417" s="219">
        <v>44757</v>
      </c>
      <c r="B417" s="81" t="str">
        <f>VLOOKUP(C417,'Master List'!A:C,3,FALSE)</f>
        <v>53-144</v>
      </c>
      <c r="C417" s="88">
        <v>702</v>
      </c>
      <c r="D417" s="88" t="s">
        <v>106</v>
      </c>
      <c r="E417" s="81">
        <f>VLOOKUP(C417,'Master List'!A:G,5,FALSE)</f>
        <v>25</v>
      </c>
      <c r="F417" s="43">
        <f>VLOOKUP(C417,'2022-002-bottles_csv'!E:L,8,FALSE)</f>
        <v>0.12</v>
      </c>
      <c r="G417" s="218">
        <v>304</v>
      </c>
      <c r="H417" s="218">
        <v>10</v>
      </c>
      <c r="I417" s="218">
        <v>1</v>
      </c>
      <c r="J417" s="253">
        <v>13282.21</v>
      </c>
      <c r="K417" s="253">
        <v>8392.07</v>
      </c>
      <c r="L417" s="253">
        <v>305.45999999999998</v>
      </c>
      <c r="M417" s="253">
        <v>318.69</v>
      </c>
      <c r="N417" s="250">
        <f t="shared" si="35"/>
        <v>12976.75</v>
      </c>
      <c r="O417" s="250">
        <f t="shared" si="36"/>
        <v>8073.38</v>
      </c>
      <c r="P417" s="95">
        <f t="shared" si="37"/>
        <v>0.26797781922029129</v>
      </c>
      <c r="Q417" s="95">
        <f t="shared" si="38"/>
        <v>0.11103398941569552</v>
      </c>
      <c r="R417" s="133">
        <f t="shared" si="39"/>
        <v>1.6073503291062727</v>
      </c>
      <c r="T417" s="83">
        <v>295</v>
      </c>
    </row>
    <row r="418" spans="1:20">
      <c r="A418" s="219">
        <v>44749</v>
      </c>
      <c r="B418" s="81" t="str">
        <f>VLOOKUP(C418,'Master List'!A:C,3,FALSE)</f>
        <v>53-144</v>
      </c>
      <c r="C418" s="88">
        <v>705</v>
      </c>
      <c r="D418" s="88" t="s">
        <v>105</v>
      </c>
      <c r="E418" s="81">
        <f>VLOOKUP(C418,'Master List'!A:G,5,FALSE)</f>
        <v>5</v>
      </c>
      <c r="F418" s="43">
        <f>VLOOKUP(C418,'2022-002-bottles_csv'!E:L,8,FALSE)</f>
        <v>0.12</v>
      </c>
      <c r="G418" s="218">
        <v>304</v>
      </c>
      <c r="H418" s="218">
        <v>10</v>
      </c>
      <c r="I418" s="218">
        <v>1</v>
      </c>
      <c r="J418" s="253">
        <v>15293.19</v>
      </c>
      <c r="K418" s="253">
        <v>9796.1</v>
      </c>
      <c r="L418" s="253">
        <v>347.66</v>
      </c>
      <c r="M418" s="253">
        <v>357.34</v>
      </c>
      <c r="N418" s="250">
        <f t="shared" si="35"/>
        <v>14945.53</v>
      </c>
      <c r="O418" s="250">
        <f t="shared" si="36"/>
        <v>9438.76</v>
      </c>
      <c r="P418" s="95">
        <f t="shared" si="37"/>
        <v>0.30095469351644349</v>
      </c>
      <c r="Q418" s="95">
        <f t="shared" si="38"/>
        <v>0.14215606045289847</v>
      </c>
      <c r="R418" s="133">
        <f t="shared" si="39"/>
        <v>1.583420915459234</v>
      </c>
      <c r="T418" s="83">
        <v>60</v>
      </c>
    </row>
    <row r="419" spans="1:20">
      <c r="A419" s="219">
        <v>44761</v>
      </c>
      <c r="B419" s="81" t="str">
        <f>VLOOKUP(C419,'Master List'!A:C,3,FALSE)</f>
        <v>53-144</v>
      </c>
      <c r="C419" s="88">
        <v>705</v>
      </c>
      <c r="D419" s="88" t="s">
        <v>106</v>
      </c>
      <c r="E419" s="81">
        <f>VLOOKUP(C419,'Master List'!A:G,5,FALSE)</f>
        <v>5</v>
      </c>
      <c r="F419" s="43">
        <f>VLOOKUP(C419,'2022-002-bottles_csv'!E:L,8,FALSE)</f>
        <v>0.12</v>
      </c>
      <c r="G419" s="218">
        <v>304</v>
      </c>
      <c r="H419" s="218">
        <v>10</v>
      </c>
      <c r="I419" s="218">
        <v>1</v>
      </c>
      <c r="J419" s="253">
        <v>13755.86</v>
      </c>
      <c r="K419" s="253">
        <v>8372.7800000000007</v>
      </c>
      <c r="L419" s="253">
        <v>345.92</v>
      </c>
      <c r="M419" s="253">
        <v>349.76</v>
      </c>
      <c r="N419" s="250">
        <f t="shared" si="35"/>
        <v>13409.94</v>
      </c>
      <c r="O419" s="250">
        <f t="shared" si="36"/>
        <v>8023.02</v>
      </c>
      <c r="P419" s="95">
        <f t="shared" si="37"/>
        <v>0.29440467962119349</v>
      </c>
      <c r="Q419" s="95">
        <f t="shared" si="38"/>
        <v>8.2242935246766971E-2</v>
      </c>
      <c r="R419" s="133">
        <f t="shared" si="39"/>
        <v>1.6714329516815363</v>
      </c>
      <c r="T419" s="83">
        <v>351</v>
      </c>
    </row>
    <row r="420" spans="1:20">
      <c r="A420" s="219">
        <v>44749</v>
      </c>
      <c r="B420" s="81" t="str">
        <f>VLOOKUP(C420,'Master List'!A:C,3,FALSE)</f>
        <v>51-132</v>
      </c>
      <c r="C420" s="88">
        <v>712</v>
      </c>
      <c r="D420" s="88" t="s">
        <v>105</v>
      </c>
      <c r="E420" s="81">
        <f>VLOOKUP(C420,'Master List'!A:G,5,FALSE)</f>
        <v>150</v>
      </c>
      <c r="F420" s="43">
        <f>VLOOKUP(C420,'2022-002-bottles_csv'!E:L,8,FALSE)</f>
        <v>0.06</v>
      </c>
      <c r="G420" s="218">
        <v>304</v>
      </c>
      <c r="H420" s="218">
        <v>10</v>
      </c>
      <c r="I420" s="218">
        <v>1</v>
      </c>
      <c r="J420" s="253">
        <v>2464.4299999999998</v>
      </c>
      <c r="K420" s="253">
        <v>2205.3000000000002</v>
      </c>
      <c r="L420" s="253">
        <v>347.66</v>
      </c>
      <c r="M420" s="253">
        <v>357.34</v>
      </c>
      <c r="N420" s="250">
        <f t="shared" si="35"/>
        <v>2116.77</v>
      </c>
      <c r="O420" s="250">
        <f t="shared" si="36"/>
        <v>1847.9600000000003</v>
      </c>
      <c r="P420" s="95">
        <f t="shared" si="37"/>
        <v>1.4690940635645775E-2</v>
      </c>
      <c r="Q420" s="95">
        <f t="shared" si="38"/>
        <v>7.2063140292906863E-2</v>
      </c>
      <c r="R420" s="133">
        <f t="shared" si="39"/>
        <v>1.1454631052620186</v>
      </c>
      <c r="T420" s="83">
        <v>62</v>
      </c>
    </row>
    <row r="421" spans="1:20">
      <c r="A421" s="219">
        <v>44755</v>
      </c>
      <c r="B421" s="81" t="str">
        <f>VLOOKUP(C421,'Master List'!A:C,3,FALSE)</f>
        <v>51-132</v>
      </c>
      <c r="C421" s="88">
        <v>712</v>
      </c>
      <c r="D421" s="88" t="s">
        <v>106</v>
      </c>
      <c r="E421" s="81">
        <f>VLOOKUP(C421,'Master List'!A:G,5,FALSE)</f>
        <v>150</v>
      </c>
      <c r="F421" s="43">
        <f>VLOOKUP(C421,'2022-002-bottles_csv'!E:L,8,FALSE)</f>
        <v>0.06</v>
      </c>
      <c r="G421" s="218">
        <v>304</v>
      </c>
      <c r="H421" s="218">
        <v>10</v>
      </c>
      <c r="I421" s="218">
        <v>1</v>
      </c>
      <c r="J421" s="253">
        <v>2074.4499999999998</v>
      </c>
      <c r="K421" s="253">
        <v>1848.5</v>
      </c>
      <c r="L421" s="253">
        <v>332.42</v>
      </c>
      <c r="M421" s="253">
        <v>348.04</v>
      </c>
      <c r="N421" s="250">
        <f t="shared" si="35"/>
        <v>1742.0299999999997</v>
      </c>
      <c r="O421" s="250">
        <f t="shared" si="36"/>
        <v>1500.46</v>
      </c>
      <c r="P421" s="95">
        <f t="shared" si="37"/>
        <v>1.3202226588865553E-2</v>
      </c>
      <c r="Q421" s="95">
        <f t="shared" si="38"/>
        <v>5.7238166206463388E-2</v>
      </c>
      <c r="R421" s="133">
        <f t="shared" si="39"/>
        <v>1.160997294163123</v>
      </c>
      <c r="T421" s="83">
        <v>224</v>
      </c>
    </row>
    <row r="422" spans="1:20">
      <c r="A422" s="219">
        <v>44749</v>
      </c>
      <c r="B422" s="81" t="str">
        <f>VLOOKUP(C422,'Master List'!A:C,3,FALSE)</f>
        <v>51-132</v>
      </c>
      <c r="C422" s="88">
        <v>716</v>
      </c>
      <c r="D422" s="88" t="s">
        <v>105</v>
      </c>
      <c r="E422" s="81">
        <f>VLOOKUP(C422,'Master List'!A:G,5,FALSE)</f>
        <v>100</v>
      </c>
      <c r="F422" s="43">
        <f>VLOOKUP(C422,'2022-002-bottles_csv'!E:L,8,FALSE)</f>
        <v>0.08</v>
      </c>
      <c r="G422" s="218">
        <v>304</v>
      </c>
      <c r="H422" s="218">
        <v>10</v>
      </c>
      <c r="I422" s="218">
        <v>1</v>
      </c>
      <c r="J422" s="253">
        <v>7941.15</v>
      </c>
      <c r="K422" s="253">
        <v>5666.54</v>
      </c>
      <c r="L422" s="253">
        <v>347.66</v>
      </c>
      <c r="M422" s="253">
        <v>357.34</v>
      </c>
      <c r="N422" s="250">
        <f t="shared" si="35"/>
        <v>7593.49</v>
      </c>
      <c r="O422" s="250">
        <f t="shared" si="36"/>
        <v>5309.2</v>
      </c>
      <c r="P422" s="95">
        <f t="shared" si="37"/>
        <v>0.12484047760350926</v>
      </c>
      <c r="Q422" s="95">
        <f t="shared" si="38"/>
        <v>0.12440450955306961</v>
      </c>
      <c r="R422" s="133">
        <f t="shared" si="39"/>
        <v>1.4302512619603707</v>
      </c>
      <c r="T422" s="83">
        <v>58</v>
      </c>
    </row>
    <row r="423" spans="1:20">
      <c r="A423" s="219">
        <v>44757</v>
      </c>
      <c r="B423" s="81" t="str">
        <f>VLOOKUP(C423,'Master List'!A:C,3,FALSE)</f>
        <v>51-132</v>
      </c>
      <c r="C423" s="88">
        <v>716</v>
      </c>
      <c r="D423" s="88" t="s">
        <v>106</v>
      </c>
      <c r="E423" s="81">
        <f>VLOOKUP(C423,'Master List'!A:G,5,FALSE)</f>
        <v>100</v>
      </c>
      <c r="F423" s="43">
        <f>VLOOKUP(C423,'2022-002-bottles_csv'!E:L,8,FALSE)</f>
        <v>0.08</v>
      </c>
      <c r="G423" s="218">
        <v>304</v>
      </c>
      <c r="H423" s="218">
        <v>10</v>
      </c>
      <c r="I423" s="218">
        <v>1</v>
      </c>
      <c r="J423" s="253">
        <v>7124.95</v>
      </c>
      <c r="K423" s="253">
        <v>5277.19</v>
      </c>
      <c r="L423" s="253">
        <v>351.09</v>
      </c>
      <c r="M423" s="253">
        <v>351.83</v>
      </c>
      <c r="N423" s="250">
        <f t="shared" si="35"/>
        <v>6773.86</v>
      </c>
      <c r="O423" s="250">
        <f t="shared" si="36"/>
        <v>4925.3599999999997</v>
      </c>
      <c r="P423" s="95">
        <f t="shared" si="37"/>
        <v>0.10102378544321731</v>
      </c>
      <c r="Q423" s="95">
        <f t="shared" si="38"/>
        <v>0.13020150084125634</v>
      </c>
      <c r="R423" s="133">
        <f t="shared" si="39"/>
        <v>1.3753025159582244</v>
      </c>
      <c r="T423" s="83">
        <v>273</v>
      </c>
    </row>
    <row r="424" spans="1:20">
      <c r="A424" s="219">
        <v>44749</v>
      </c>
      <c r="B424" s="81" t="str">
        <f>VLOOKUP(C424,'Master List'!A:C,3,FALSE)</f>
        <v>51-132</v>
      </c>
      <c r="C424" s="88">
        <v>717</v>
      </c>
      <c r="D424" s="88" t="s">
        <v>105</v>
      </c>
      <c r="E424" s="81">
        <f>VLOOKUP(C424,'Master List'!A:G,5,FALSE)</f>
        <v>75</v>
      </c>
      <c r="F424" s="43">
        <f>VLOOKUP(C424,'2022-002-bottles_csv'!E:L,8,FALSE)</f>
        <v>0.1</v>
      </c>
      <c r="G424" s="218">
        <v>304</v>
      </c>
      <c r="H424" s="218">
        <v>10</v>
      </c>
      <c r="I424" s="218">
        <v>1</v>
      </c>
      <c r="J424" s="253">
        <v>14069</v>
      </c>
      <c r="K424" s="253">
        <v>9550.41</v>
      </c>
      <c r="L424" s="253">
        <v>347.66</v>
      </c>
      <c r="M424" s="253">
        <v>357.34</v>
      </c>
      <c r="N424" s="250">
        <f t="shared" si="35"/>
        <v>13721.34</v>
      </c>
      <c r="O424" s="250">
        <f t="shared" si="36"/>
        <v>9193.07</v>
      </c>
      <c r="P424" s="95">
        <f t="shared" si="37"/>
        <v>0.24747794260695574</v>
      </c>
      <c r="Q424" s="95">
        <f t="shared" si="38"/>
        <v>0.18409868175820857</v>
      </c>
      <c r="R424" s="133">
        <f t="shared" si="39"/>
        <v>1.4925742978134617</v>
      </c>
      <c r="T424" s="83">
        <v>56</v>
      </c>
    </row>
    <row r="425" spans="1:20">
      <c r="A425" s="219">
        <v>44757</v>
      </c>
      <c r="B425" s="81" t="str">
        <f>VLOOKUP(C425,'Master List'!A:C,3,FALSE)</f>
        <v>51-132</v>
      </c>
      <c r="C425" s="88">
        <v>717</v>
      </c>
      <c r="D425" s="88" t="s">
        <v>106</v>
      </c>
      <c r="E425" s="81">
        <f>VLOOKUP(C425,'Master List'!A:G,5,FALSE)</f>
        <v>75</v>
      </c>
      <c r="F425" s="43">
        <f>VLOOKUP(C425,'2022-002-bottles_csv'!E:L,8,FALSE)</f>
        <v>0.1</v>
      </c>
      <c r="G425" s="218">
        <v>304</v>
      </c>
      <c r="H425" s="218">
        <v>10</v>
      </c>
      <c r="I425" s="218">
        <v>1</v>
      </c>
      <c r="J425" s="253">
        <v>11293.22</v>
      </c>
      <c r="K425" s="253">
        <v>7511.95</v>
      </c>
      <c r="L425" s="253">
        <v>338.28</v>
      </c>
      <c r="M425" s="253">
        <v>338.2</v>
      </c>
      <c r="N425" s="250">
        <f t="shared" si="35"/>
        <v>10954.939999999999</v>
      </c>
      <c r="O425" s="250">
        <f t="shared" si="36"/>
        <v>7173.75</v>
      </c>
      <c r="P425" s="95">
        <f t="shared" si="37"/>
        <v>0.20664870288343992</v>
      </c>
      <c r="Q425" s="95">
        <f t="shared" si="38"/>
        <v>0.13012919710422444</v>
      </c>
      <c r="R425" s="133">
        <f t="shared" si="39"/>
        <v>1.5270869489458092</v>
      </c>
      <c r="T425" s="83">
        <v>319</v>
      </c>
    </row>
    <row r="426" spans="1:20">
      <c r="A426" s="219">
        <v>44749</v>
      </c>
      <c r="B426" s="81" t="str">
        <f>VLOOKUP(C426,'Master List'!A:C,3,FALSE)</f>
        <v>51-132</v>
      </c>
      <c r="C426" s="88">
        <v>720</v>
      </c>
      <c r="D426" s="88" t="s">
        <v>105</v>
      </c>
      <c r="E426" s="81">
        <f>VLOOKUP(C426,'Master List'!A:G,5,FALSE)</f>
        <v>50</v>
      </c>
      <c r="F426" s="43">
        <f>VLOOKUP(C426,'2022-002-bottles_csv'!E:L,8,FALSE)</f>
        <v>0.12</v>
      </c>
      <c r="G426" s="218">
        <v>304</v>
      </c>
      <c r="H426" s="218">
        <v>10</v>
      </c>
      <c r="I426" s="218">
        <v>1</v>
      </c>
      <c r="J426" s="253">
        <v>15239.11</v>
      </c>
      <c r="K426" s="253">
        <v>9786.0499999999993</v>
      </c>
      <c r="L426" s="253">
        <v>347.66</v>
      </c>
      <c r="M426" s="253">
        <v>357.34</v>
      </c>
      <c r="N426" s="250">
        <f t="shared" si="35"/>
        <v>14891.45</v>
      </c>
      <c r="O426" s="250">
        <f t="shared" si="36"/>
        <v>9428.7099999999991</v>
      </c>
      <c r="P426" s="95">
        <f t="shared" si="37"/>
        <v>0.2985483763549262</v>
      </c>
      <c r="Q426" s="95">
        <f t="shared" si="38"/>
        <v>0.14409057166984335</v>
      </c>
      <c r="R426" s="133">
        <f t="shared" si="39"/>
        <v>1.5793730001240893</v>
      </c>
      <c r="T426" s="83">
        <v>55</v>
      </c>
    </row>
    <row r="427" spans="1:20">
      <c r="A427" s="219">
        <v>44757</v>
      </c>
      <c r="B427" s="81" t="str">
        <f>VLOOKUP(C427,'Master List'!A:C,3,FALSE)</f>
        <v>51-132</v>
      </c>
      <c r="C427" s="88">
        <v>720</v>
      </c>
      <c r="D427" s="88" t="s">
        <v>106</v>
      </c>
      <c r="E427" s="81">
        <f>VLOOKUP(C427,'Master List'!A:G,5,FALSE)</f>
        <v>50</v>
      </c>
      <c r="F427" s="43">
        <f>VLOOKUP(C427,'2022-002-bottles_csv'!E:L,8,FALSE)</f>
        <v>0.12</v>
      </c>
      <c r="G427" s="218">
        <v>304</v>
      </c>
      <c r="H427" s="218">
        <v>10</v>
      </c>
      <c r="I427" s="218">
        <v>1</v>
      </c>
      <c r="J427" s="253">
        <v>13086.85</v>
      </c>
      <c r="K427" s="253">
        <v>8105.62</v>
      </c>
      <c r="L427" s="253">
        <v>351.09</v>
      </c>
      <c r="M427" s="253">
        <v>351.83</v>
      </c>
      <c r="N427" s="250">
        <f t="shared" si="35"/>
        <v>12735.76</v>
      </c>
      <c r="O427" s="250">
        <f t="shared" si="36"/>
        <v>7753.79</v>
      </c>
      <c r="P427" s="95">
        <f t="shared" si="37"/>
        <v>0.27227344785747654</v>
      </c>
      <c r="Q427" s="95">
        <f t="shared" si="38"/>
        <v>9.1734931741108888E-2</v>
      </c>
      <c r="R427" s="133">
        <f t="shared" si="39"/>
        <v>1.6425206253973863</v>
      </c>
      <c r="T427" s="83">
        <v>269</v>
      </c>
    </row>
    <row r="428" spans="1:20">
      <c r="A428" s="219">
        <v>44749</v>
      </c>
      <c r="B428" s="81" t="str">
        <f>VLOOKUP(C428,'Master List'!A:C,3,FALSE)</f>
        <v>51-132</v>
      </c>
      <c r="C428" s="88">
        <v>722</v>
      </c>
      <c r="D428" s="88" t="s">
        <v>105</v>
      </c>
      <c r="E428" s="81">
        <f>VLOOKUP(C428,'Master List'!A:G,5,FALSE)</f>
        <v>25</v>
      </c>
      <c r="F428" s="43">
        <f>VLOOKUP(C428,'2022-002-bottles_csv'!E:L,8,FALSE)</f>
        <v>0.15</v>
      </c>
      <c r="G428" s="218">
        <v>304</v>
      </c>
      <c r="H428" s="218">
        <v>10</v>
      </c>
      <c r="I428" s="218">
        <v>1</v>
      </c>
      <c r="J428" s="253">
        <v>28195.61</v>
      </c>
      <c r="K428" s="253">
        <v>17119.45</v>
      </c>
      <c r="L428" s="253">
        <v>347.66</v>
      </c>
      <c r="M428" s="253">
        <v>357.34</v>
      </c>
      <c r="N428" s="250">
        <f t="shared" si="35"/>
        <v>27847.95</v>
      </c>
      <c r="O428" s="250">
        <f t="shared" si="36"/>
        <v>16762.11</v>
      </c>
      <c r="P428" s="95">
        <f t="shared" si="37"/>
        <v>0.60586070955793137</v>
      </c>
      <c r="Q428" s="95">
        <f t="shared" si="38"/>
        <v>0.18105104582275927</v>
      </c>
      <c r="R428" s="133">
        <f t="shared" si="39"/>
        <v>1.6613630384241602</v>
      </c>
      <c r="T428" s="83">
        <v>54</v>
      </c>
    </row>
    <row r="429" spans="1:20">
      <c r="A429" s="219">
        <v>44761</v>
      </c>
      <c r="B429" s="81" t="str">
        <f>VLOOKUP(C429,'Master List'!A:C,3,FALSE)</f>
        <v>51-132</v>
      </c>
      <c r="C429" s="88">
        <v>722</v>
      </c>
      <c r="D429" s="88" t="s">
        <v>106</v>
      </c>
      <c r="E429" s="81">
        <f>VLOOKUP(C429,'Master List'!A:G,5,FALSE)</f>
        <v>25</v>
      </c>
      <c r="F429" s="43">
        <f>VLOOKUP(C429,'2022-002-bottles_csv'!E:L,8,FALSE)</f>
        <v>0.15</v>
      </c>
      <c r="G429" s="218">
        <v>304</v>
      </c>
      <c r="H429" s="218">
        <v>10</v>
      </c>
      <c r="I429" s="218">
        <v>1</v>
      </c>
      <c r="J429" s="253">
        <v>31179.85</v>
      </c>
      <c r="K429" s="253">
        <v>19112.11</v>
      </c>
      <c r="L429" s="253">
        <v>334.87</v>
      </c>
      <c r="M429" s="253">
        <v>333.82</v>
      </c>
      <c r="N429" s="250">
        <f t="shared" si="35"/>
        <v>30844.98</v>
      </c>
      <c r="O429" s="250">
        <f t="shared" si="36"/>
        <v>18778.29</v>
      </c>
      <c r="P429" s="95">
        <f t="shared" si="37"/>
        <v>0.65946589211242401</v>
      </c>
      <c r="Q429" s="95">
        <f t="shared" si="38"/>
        <v>0.22209717762925352</v>
      </c>
      <c r="R429" s="133">
        <f t="shared" si="39"/>
        <v>1.6425872643355703</v>
      </c>
      <c r="T429" s="83">
        <v>394</v>
      </c>
    </row>
    <row r="430" spans="1:20">
      <c r="A430" s="219">
        <v>44749</v>
      </c>
      <c r="B430" s="81" t="str">
        <f>VLOOKUP(C430,'Master List'!A:C,3,FALSE)</f>
        <v>51-132</v>
      </c>
      <c r="C430" s="88">
        <v>728</v>
      </c>
      <c r="D430" s="88" t="s">
        <v>105</v>
      </c>
      <c r="E430" s="81">
        <f>VLOOKUP(C430,'Master List'!A:G,5,FALSE)</f>
        <v>5</v>
      </c>
      <c r="F430" s="43">
        <f>VLOOKUP(C430,'2022-002-bottles_csv'!E:L,8,FALSE)</f>
        <v>0.14000000000000001</v>
      </c>
      <c r="G430" s="218">
        <v>304</v>
      </c>
      <c r="H430" s="218">
        <v>10</v>
      </c>
      <c r="I430" s="218">
        <v>1</v>
      </c>
      <c r="J430" s="253">
        <v>29380.87</v>
      </c>
      <c r="K430" s="253">
        <v>18302.39</v>
      </c>
      <c r="L430" s="253">
        <v>347.66</v>
      </c>
      <c r="M430" s="253">
        <v>357.34</v>
      </c>
      <c r="N430" s="250">
        <f t="shared" si="35"/>
        <v>29033.21</v>
      </c>
      <c r="O430" s="250">
        <f t="shared" si="36"/>
        <v>17945.05</v>
      </c>
      <c r="P430" s="95">
        <f t="shared" si="37"/>
        <v>0.60598750165002135</v>
      </c>
      <c r="Q430" s="95">
        <f t="shared" si="38"/>
        <v>0.2364583954294191</v>
      </c>
      <c r="R430" s="133">
        <f t="shared" si="39"/>
        <v>1.6178951855804247</v>
      </c>
      <c r="T430" s="83">
        <v>53</v>
      </c>
    </row>
    <row r="431" spans="1:20">
      <c r="A431" s="219">
        <v>44755</v>
      </c>
      <c r="B431" s="81" t="str">
        <f>VLOOKUP(C431,'Master List'!A:C,3,FALSE)</f>
        <v>51-132</v>
      </c>
      <c r="C431" s="88">
        <v>728</v>
      </c>
      <c r="D431" s="88" t="s">
        <v>106</v>
      </c>
      <c r="E431" s="81">
        <f>VLOOKUP(C431,'Master List'!A:G,5,FALSE)</f>
        <v>5</v>
      </c>
      <c r="F431" s="43">
        <f>VLOOKUP(C431,'2022-002-bottles_csv'!E:L,8,FALSE)</f>
        <v>0.14000000000000001</v>
      </c>
      <c r="G431" s="218">
        <v>304</v>
      </c>
      <c r="H431" s="218">
        <v>10</v>
      </c>
      <c r="I431" s="218">
        <v>1</v>
      </c>
      <c r="J431" s="253">
        <v>28454.12</v>
      </c>
      <c r="K431" s="253">
        <v>18297.87</v>
      </c>
      <c r="L431" s="253">
        <v>332.42</v>
      </c>
      <c r="M431" s="253">
        <v>348.04</v>
      </c>
      <c r="N431" s="250">
        <f t="shared" si="35"/>
        <v>28121.7</v>
      </c>
      <c r="O431" s="250">
        <f t="shared" si="36"/>
        <v>17949.829999999998</v>
      </c>
      <c r="P431" s="95">
        <f t="shared" si="37"/>
        <v>0.5559106369685145</v>
      </c>
      <c r="Q431" s="95">
        <f t="shared" si="38"/>
        <v>0.2867596613462548</v>
      </c>
      <c r="R431" s="133">
        <f t="shared" si="39"/>
        <v>1.566683361346598</v>
      </c>
      <c r="T431" s="83">
        <v>240</v>
      </c>
    </row>
    <row r="432" spans="1:20">
      <c r="B432" s="81"/>
      <c r="E432" s="81"/>
      <c r="F432" s="43"/>
      <c r="G432" s="218"/>
      <c r="H432" s="218"/>
      <c r="I432" s="218"/>
    </row>
    <row r="433" spans="2:9">
      <c r="B433" s="81"/>
      <c r="E433" s="81"/>
      <c r="F433" s="43"/>
      <c r="G433" s="218"/>
      <c r="H433" s="218"/>
      <c r="I433" s="218"/>
    </row>
    <row r="434" spans="2:9">
      <c r="B434" s="81"/>
      <c r="E434" s="81"/>
      <c r="F434" s="43"/>
      <c r="G434" s="218"/>
      <c r="H434" s="218"/>
      <c r="I434" s="218"/>
    </row>
    <row r="435" spans="2:9">
      <c r="B435" s="81"/>
      <c r="E435" s="81"/>
      <c r="F435" s="43"/>
      <c r="G435" s="218"/>
      <c r="H435" s="218"/>
      <c r="I435" s="218"/>
    </row>
    <row r="436" spans="2:9">
      <c r="B436" s="81"/>
      <c r="E436" s="81"/>
      <c r="F436" s="43"/>
      <c r="G436" s="218"/>
      <c r="H436" s="218"/>
      <c r="I436" s="218"/>
    </row>
    <row r="437" spans="2:9">
      <c r="B437" s="81"/>
      <c r="E437" s="81"/>
      <c r="F437" s="43"/>
      <c r="G437" s="218"/>
      <c r="H437" s="218"/>
      <c r="I437" s="218"/>
    </row>
    <row r="438" spans="2:9">
      <c r="B438" s="81"/>
      <c r="E438" s="81"/>
      <c r="F438" s="43"/>
      <c r="G438" s="218"/>
      <c r="H438" s="218"/>
      <c r="I438" s="218"/>
    </row>
    <row r="439" spans="2:9">
      <c r="B439" s="81"/>
      <c r="E439" s="81"/>
      <c r="F439" s="43"/>
      <c r="G439" s="218"/>
      <c r="H439" s="218"/>
      <c r="I439" s="218"/>
    </row>
    <row r="440" spans="2:9">
      <c r="B440" s="81"/>
      <c r="E440" s="81"/>
      <c r="F440" s="43"/>
      <c r="G440" s="218"/>
      <c r="H440" s="218"/>
      <c r="I440" s="218"/>
    </row>
    <row r="441" spans="2:9">
      <c r="B441" s="81"/>
      <c r="E441" s="81"/>
      <c r="F441" s="43"/>
      <c r="G441" s="218"/>
      <c r="H441" s="218"/>
      <c r="I441" s="218"/>
    </row>
    <row r="442" spans="2:9">
      <c r="B442" s="81"/>
      <c r="E442" s="81"/>
      <c r="F442" s="43"/>
      <c r="G442" s="218"/>
      <c r="H442" s="218"/>
      <c r="I442" s="218"/>
    </row>
    <row r="443" spans="2:9">
      <c r="B443" s="81"/>
      <c r="E443" s="81"/>
      <c r="F443" s="43"/>
      <c r="G443" s="218"/>
      <c r="H443" s="218"/>
      <c r="I443" s="218"/>
    </row>
    <row r="444" spans="2:9">
      <c r="B444" s="81"/>
      <c r="E444" s="81"/>
      <c r="F444" s="43"/>
      <c r="G444" s="218"/>
      <c r="H444" s="218"/>
      <c r="I444" s="218"/>
    </row>
    <row r="445" spans="2:9">
      <c r="B445" s="81"/>
      <c r="E445" s="81"/>
      <c r="F445" s="43"/>
      <c r="G445" s="218"/>
      <c r="H445" s="218"/>
      <c r="I445" s="218"/>
    </row>
    <row r="446" spans="2:9">
      <c r="B446" s="81"/>
      <c r="E446" s="81"/>
      <c r="F446" s="43"/>
      <c r="G446" s="218"/>
      <c r="H446" s="218"/>
      <c r="I446" s="218"/>
    </row>
    <row r="447" spans="2:9">
      <c r="B447" s="81"/>
      <c r="E447" s="81"/>
      <c r="F447" s="43"/>
      <c r="G447" s="218"/>
      <c r="H447" s="218"/>
      <c r="I447" s="218"/>
    </row>
    <row r="448" spans="2:9">
      <c r="B448" s="81"/>
      <c r="E448" s="81"/>
      <c r="F448" s="43"/>
      <c r="G448" s="218"/>
      <c r="H448" s="218"/>
      <c r="I448" s="218"/>
    </row>
    <row r="449" spans="2:9">
      <c r="B449" s="81"/>
      <c r="E449" s="81"/>
      <c r="F449" s="43"/>
      <c r="G449" s="218"/>
      <c r="H449" s="218"/>
      <c r="I449" s="218"/>
    </row>
    <row r="450" spans="2:9">
      <c r="B450" s="81"/>
      <c r="E450" s="81"/>
      <c r="F450" s="43"/>
      <c r="G450" s="218"/>
      <c r="H450" s="218"/>
      <c r="I450" s="218"/>
    </row>
    <row r="451" spans="2:9">
      <c r="B451" s="81"/>
      <c r="E451" s="81"/>
      <c r="F451" s="43"/>
      <c r="G451" s="218"/>
      <c r="H451" s="218"/>
      <c r="I451" s="218"/>
    </row>
    <row r="452" spans="2:9">
      <c r="B452" s="81"/>
      <c r="E452" s="81"/>
      <c r="F452" s="43"/>
      <c r="G452" s="218"/>
      <c r="H452" s="218"/>
      <c r="I452" s="218"/>
    </row>
    <row r="453" spans="2:9">
      <c r="B453" s="81"/>
      <c r="E453" s="81"/>
      <c r="F453" s="43"/>
      <c r="G453" s="218"/>
      <c r="H453" s="218"/>
      <c r="I453" s="218"/>
    </row>
    <row r="454" spans="2:9">
      <c r="B454" s="81"/>
      <c r="E454" s="81"/>
      <c r="F454" s="43"/>
      <c r="G454" s="218"/>
      <c r="H454" s="218"/>
      <c r="I454" s="218"/>
    </row>
    <row r="455" spans="2:9">
      <c r="B455" s="81"/>
      <c r="E455" s="81"/>
      <c r="F455" s="43"/>
      <c r="G455" s="218"/>
      <c r="H455" s="218"/>
      <c r="I455" s="218"/>
    </row>
    <row r="456" spans="2:9">
      <c r="B456" s="81"/>
      <c r="E456" s="81"/>
      <c r="F456" s="43"/>
      <c r="G456" s="218"/>
      <c r="H456" s="218"/>
      <c r="I456" s="218"/>
    </row>
    <row r="457" spans="2:9">
      <c r="B457" s="81"/>
      <c r="E457" s="81"/>
      <c r="F457" s="43"/>
      <c r="G457" s="218"/>
      <c r="H457" s="218"/>
      <c r="I457" s="218"/>
    </row>
    <row r="458" spans="2:9">
      <c r="B458" s="81"/>
      <c r="E458" s="81"/>
      <c r="F458" s="43"/>
      <c r="G458" s="218"/>
      <c r="H458" s="218"/>
      <c r="I458" s="218"/>
    </row>
    <row r="459" spans="2:9">
      <c r="B459" s="81"/>
      <c r="E459" s="81"/>
      <c r="F459" s="43"/>
      <c r="G459" s="218"/>
      <c r="H459" s="218"/>
      <c r="I459" s="218"/>
    </row>
    <row r="460" spans="2:9">
      <c r="B460" s="81"/>
      <c r="E460" s="81"/>
      <c r="F460" s="43"/>
      <c r="G460" s="218"/>
      <c r="H460" s="218"/>
      <c r="I460" s="218"/>
    </row>
    <row r="461" spans="2:9">
      <c r="B461" s="81"/>
      <c r="E461" s="81"/>
      <c r="F461" s="43"/>
      <c r="G461" s="218"/>
      <c r="H461" s="218"/>
      <c r="I461" s="218"/>
    </row>
    <row r="462" spans="2:9">
      <c r="B462" s="81"/>
      <c r="E462" s="81"/>
      <c r="F462" s="43"/>
      <c r="G462" s="218"/>
      <c r="H462" s="218"/>
      <c r="I462" s="218"/>
    </row>
    <row r="463" spans="2:9">
      <c r="B463" s="81"/>
      <c r="E463" s="81"/>
      <c r="F463" s="43"/>
      <c r="G463" s="218"/>
      <c r="H463" s="218"/>
      <c r="I463" s="218"/>
    </row>
    <row r="464" spans="2:9">
      <c r="B464" s="81"/>
      <c r="E464" s="81"/>
      <c r="F464" s="43"/>
      <c r="G464" s="218"/>
      <c r="H464" s="218"/>
      <c r="I464" s="218"/>
    </row>
    <row r="465" spans="2:9">
      <c r="B465" s="81"/>
      <c r="E465" s="81"/>
      <c r="F465" s="43"/>
      <c r="G465" s="218"/>
      <c r="H465" s="218"/>
      <c r="I465" s="218"/>
    </row>
    <row r="466" spans="2:9">
      <c r="B466" s="81"/>
      <c r="E466" s="81"/>
      <c r="F466" s="43"/>
      <c r="G466" s="218"/>
      <c r="H466" s="218"/>
      <c r="I466" s="218"/>
    </row>
    <row r="467" spans="2:9">
      <c r="B467" s="81"/>
      <c r="E467" s="81"/>
      <c r="F467" s="43"/>
      <c r="G467" s="218"/>
      <c r="H467" s="218"/>
      <c r="I467" s="218"/>
    </row>
    <row r="468" spans="2:9">
      <c r="B468" s="81"/>
      <c r="E468" s="81"/>
      <c r="F468" s="43"/>
      <c r="G468" s="218"/>
      <c r="H468" s="218"/>
      <c r="I468" s="218"/>
    </row>
    <row r="469" spans="2:9">
      <c r="B469" s="81"/>
      <c r="E469" s="81"/>
      <c r="F469" s="43"/>
      <c r="G469" s="218"/>
      <c r="H469" s="218"/>
      <c r="I469" s="218"/>
    </row>
    <row r="470" spans="2:9">
      <c r="B470" s="81"/>
      <c r="E470" s="81"/>
      <c r="F470" s="43"/>
      <c r="G470" s="218"/>
      <c r="H470" s="218"/>
      <c r="I470" s="218"/>
    </row>
    <row r="471" spans="2:9">
      <c r="B471" s="81"/>
      <c r="E471" s="81"/>
      <c r="F471" s="43"/>
      <c r="G471" s="218"/>
      <c r="H471" s="218"/>
      <c r="I471" s="218"/>
    </row>
    <row r="472" spans="2:9">
      <c r="B472" s="81"/>
      <c r="E472" s="81"/>
      <c r="F472" s="43"/>
      <c r="G472" s="218"/>
      <c r="H472" s="218"/>
      <c r="I472" s="218"/>
    </row>
    <row r="473" spans="2:9">
      <c r="B473" s="81"/>
      <c r="E473" s="81"/>
      <c r="F473" s="43"/>
      <c r="G473" s="218"/>
      <c r="H473" s="218"/>
      <c r="I473" s="218"/>
    </row>
    <row r="474" spans="2:9">
      <c r="B474" s="81"/>
      <c r="E474" s="81"/>
      <c r="F474" s="43"/>
      <c r="G474" s="218"/>
      <c r="H474" s="218"/>
      <c r="I474" s="218"/>
    </row>
    <row r="475" spans="2:9">
      <c r="B475" s="81"/>
      <c r="E475" s="81"/>
      <c r="F475" s="43"/>
      <c r="G475" s="218"/>
      <c r="H475" s="218"/>
      <c r="I475" s="218"/>
    </row>
    <row r="476" spans="2:9">
      <c r="B476" s="81"/>
      <c r="E476" s="81"/>
      <c r="F476" s="43"/>
      <c r="G476" s="218"/>
      <c r="H476" s="218"/>
      <c r="I476" s="218"/>
    </row>
    <row r="477" spans="2:9">
      <c r="B477" s="81"/>
      <c r="E477" s="81"/>
      <c r="F477" s="43"/>
      <c r="G477" s="218"/>
      <c r="H477" s="218"/>
      <c r="I477" s="218"/>
    </row>
    <row r="478" spans="2:9">
      <c r="B478" s="81"/>
      <c r="E478" s="81"/>
      <c r="F478" s="43"/>
      <c r="G478" s="218"/>
      <c r="H478" s="218"/>
      <c r="I478" s="218"/>
    </row>
    <row r="479" spans="2:9">
      <c r="B479" s="81"/>
      <c r="E479" s="81"/>
      <c r="F479" s="43"/>
      <c r="G479" s="218"/>
      <c r="H479" s="218"/>
      <c r="I479" s="218"/>
    </row>
    <row r="480" spans="2:9">
      <c r="B480" s="81"/>
      <c r="E480" s="81"/>
      <c r="F480" s="43"/>
      <c r="G480" s="218"/>
      <c r="H480" s="218"/>
      <c r="I480" s="218"/>
    </row>
    <row r="481" spans="2:9">
      <c r="B481" s="81"/>
      <c r="E481" s="81"/>
      <c r="F481" s="43"/>
      <c r="G481" s="218"/>
      <c r="H481" s="218"/>
      <c r="I481" s="218"/>
    </row>
    <row r="482" spans="2:9">
      <c r="B482" s="81"/>
      <c r="E482" s="81"/>
      <c r="F482" s="43"/>
      <c r="G482" s="218"/>
      <c r="H482" s="218"/>
      <c r="I482" s="218"/>
    </row>
    <row r="483" spans="2:9">
      <c r="B483" s="81"/>
      <c r="E483" s="81"/>
      <c r="F483" s="43"/>
      <c r="G483" s="218"/>
      <c r="H483" s="218"/>
      <c r="I483" s="218"/>
    </row>
    <row r="484" spans="2:9">
      <c r="B484" s="81"/>
      <c r="E484" s="81"/>
      <c r="F484" s="43"/>
      <c r="G484" s="218"/>
      <c r="H484" s="218"/>
      <c r="I484" s="218"/>
    </row>
    <row r="485" spans="2:9">
      <c r="B485" s="81"/>
      <c r="E485" s="81"/>
      <c r="F485" s="43"/>
      <c r="G485" s="218"/>
      <c r="H485" s="218"/>
      <c r="I485" s="218"/>
    </row>
    <row r="486" spans="2:9">
      <c r="B486" s="81"/>
      <c r="E486" s="81"/>
      <c r="F486" s="43"/>
      <c r="G486" s="218"/>
      <c r="H486" s="218"/>
      <c r="I486" s="218"/>
    </row>
    <row r="487" spans="2:9">
      <c r="B487" s="81"/>
      <c r="E487" s="81"/>
      <c r="F487" s="43"/>
      <c r="G487" s="218"/>
      <c r="H487" s="218"/>
      <c r="I487" s="218"/>
    </row>
    <row r="488" spans="2:9">
      <c r="B488" s="81"/>
      <c r="E488" s="81"/>
      <c r="F488" s="43"/>
      <c r="G488" s="218"/>
      <c r="H488" s="218"/>
      <c r="I488" s="218"/>
    </row>
    <row r="489" spans="2:9">
      <c r="B489" s="81"/>
      <c r="E489" s="81"/>
      <c r="F489" s="43"/>
      <c r="G489" s="218"/>
      <c r="H489" s="218"/>
      <c r="I489" s="218"/>
    </row>
    <row r="490" spans="2:9">
      <c r="B490" s="81"/>
      <c r="E490" s="81"/>
      <c r="F490" s="43"/>
      <c r="G490" s="218"/>
      <c r="H490" s="218"/>
      <c r="I490" s="218"/>
    </row>
    <row r="491" spans="2:9">
      <c r="B491" s="81"/>
      <c r="E491" s="81"/>
      <c r="F491" s="43"/>
      <c r="G491" s="218"/>
      <c r="H491" s="218"/>
      <c r="I491" s="218"/>
    </row>
    <row r="492" spans="2:9">
      <c r="B492" s="81"/>
      <c r="E492" s="81"/>
      <c r="F492" s="43"/>
      <c r="G492" s="218"/>
      <c r="H492" s="218"/>
      <c r="I492" s="218"/>
    </row>
    <row r="493" spans="2:9">
      <c r="B493" s="81"/>
      <c r="E493" s="81"/>
      <c r="F493" s="43"/>
      <c r="G493" s="218"/>
      <c r="H493" s="218"/>
      <c r="I493" s="218"/>
    </row>
    <row r="494" spans="2:9">
      <c r="B494" s="81"/>
      <c r="E494" s="81"/>
      <c r="F494" s="43"/>
      <c r="G494" s="218"/>
      <c r="H494" s="218"/>
      <c r="I494" s="218"/>
    </row>
    <row r="495" spans="2:9">
      <c r="B495" s="81"/>
      <c r="E495" s="81"/>
      <c r="F495" s="43"/>
      <c r="G495" s="218"/>
      <c r="H495" s="218"/>
      <c r="I495" s="218"/>
    </row>
    <row r="496" spans="2:9">
      <c r="B496" s="81"/>
      <c r="E496" s="81"/>
      <c r="F496" s="43"/>
      <c r="G496" s="218"/>
      <c r="H496" s="218"/>
      <c r="I496" s="218"/>
    </row>
    <row r="497" spans="2:9">
      <c r="B497" s="81"/>
      <c r="E497" s="81"/>
      <c r="F497" s="43"/>
      <c r="G497" s="218"/>
      <c r="H497" s="218"/>
      <c r="I497" s="218"/>
    </row>
    <row r="498" spans="2:9">
      <c r="B498" s="81"/>
      <c r="E498" s="81"/>
      <c r="F498" s="43"/>
      <c r="G498" s="218"/>
      <c r="H498" s="218"/>
      <c r="I498" s="218"/>
    </row>
    <row r="499" spans="2:9">
      <c r="B499" s="81"/>
      <c r="E499" s="81"/>
      <c r="F499" s="43"/>
      <c r="G499" s="218"/>
      <c r="H499" s="218"/>
      <c r="I499" s="218"/>
    </row>
    <row r="500" spans="2:9">
      <c r="B500" s="81"/>
      <c r="E500" s="81"/>
      <c r="F500" s="43"/>
      <c r="G500" s="218"/>
      <c r="H500" s="218"/>
      <c r="I500" s="218"/>
    </row>
    <row r="501" spans="2:9">
      <c r="B501" s="81"/>
      <c r="E501" s="81"/>
      <c r="F501" s="43"/>
      <c r="G501" s="218"/>
      <c r="H501" s="218"/>
      <c r="I501" s="218"/>
    </row>
    <row r="502" spans="2:9">
      <c r="B502" s="81"/>
      <c r="E502" s="81"/>
      <c r="F502" s="43"/>
      <c r="G502" s="218"/>
      <c r="H502" s="218"/>
      <c r="I502" s="218"/>
    </row>
    <row r="503" spans="2:9">
      <c r="B503" s="81"/>
      <c r="E503" s="81"/>
      <c r="F503" s="43"/>
      <c r="G503" s="218"/>
      <c r="H503" s="218"/>
      <c r="I503" s="218"/>
    </row>
    <row r="504" spans="2:9">
      <c r="B504" s="81"/>
      <c r="E504" s="81"/>
      <c r="F504" s="43"/>
      <c r="G504" s="218"/>
      <c r="H504" s="218"/>
      <c r="I504" s="218"/>
    </row>
    <row r="505" spans="2:9">
      <c r="B505" s="81"/>
      <c r="E505" s="81"/>
      <c r="F505" s="43"/>
      <c r="G505" s="218"/>
      <c r="H505" s="218"/>
      <c r="I505" s="218"/>
    </row>
    <row r="506" spans="2:9">
      <c r="B506" s="81"/>
      <c r="E506" s="81"/>
      <c r="F506" s="43"/>
      <c r="G506" s="218"/>
      <c r="H506" s="218"/>
      <c r="I506" s="218"/>
    </row>
    <row r="507" spans="2:9">
      <c r="B507" s="81"/>
      <c r="E507" s="81"/>
      <c r="F507" s="43"/>
      <c r="G507" s="218"/>
      <c r="H507" s="218"/>
      <c r="I507" s="218"/>
    </row>
    <row r="508" spans="2:9">
      <c r="B508" s="81"/>
      <c r="E508" s="81"/>
      <c r="F508" s="43"/>
      <c r="G508" s="218"/>
      <c r="H508" s="218"/>
      <c r="I508" s="218"/>
    </row>
    <row r="509" spans="2:9">
      <c r="B509" s="81"/>
      <c r="E509" s="81"/>
      <c r="F509" s="43"/>
      <c r="G509" s="218"/>
      <c r="H509" s="218"/>
      <c r="I509" s="218"/>
    </row>
    <row r="510" spans="2:9">
      <c r="B510" s="81"/>
      <c r="E510" s="81"/>
      <c r="F510" s="43"/>
      <c r="G510" s="218"/>
      <c r="H510" s="218"/>
      <c r="I510" s="218"/>
    </row>
    <row r="511" spans="2:9">
      <c r="B511" s="81"/>
      <c r="E511" s="81"/>
      <c r="F511" s="43"/>
      <c r="G511" s="218"/>
      <c r="H511" s="218"/>
      <c r="I511" s="218"/>
    </row>
    <row r="512" spans="2:9">
      <c r="B512" s="81"/>
      <c r="E512" s="81"/>
      <c r="F512" s="43"/>
      <c r="G512" s="218"/>
      <c r="H512" s="218"/>
      <c r="I512" s="218"/>
    </row>
    <row r="513" spans="2:6">
      <c r="B513" s="81"/>
      <c r="E513" s="81"/>
      <c r="F513" s="43"/>
    </row>
    <row r="514" spans="2:6">
      <c r="B514" s="81"/>
      <c r="E514" s="81"/>
      <c r="F514" s="43"/>
    </row>
    <row r="515" spans="2:6">
      <c r="B515" s="81"/>
      <c r="E515" s="81"/>
      <c r="F515" s="43"/>
    </row>
    <row r="516" spans="2:6">
      <c r="B516" s="81"/>
      <c r="E516" s="81"/>
      <c r="F516" s="43"/>
    </row>
    <row r="517" spans="2:6">
      <c r="B517" s="81"/>
      <c r="E517" s="81"/>
      <c r="F517" s="43"/>
    </row>
    <row r="518" spans="2:6">
      <c r="B518" s="81"/>
      <c r="E518" s="81"/>
      <c r="F518" s="43"/>
    </row>
    <row r="519" spans="2:6">
      <c r="B519" s="29"/>
      <c r="E519" s="81"/>
    </row>
    <row r="520" spans="2:6">
      <c r="B520" s="29"/>
      <c r="E520" s="81"/>
    </row>
    <row r="521" spans="2:6">
      <c r="B521" s="29"/>
      <c r="E521" s="81"/>
    </row>
    <row r="522" spans="2:6">
      <c r="B522" s="29"/>
      <c r="E522" s="81"/>
    </row>
    <row r="523" spans="2:6">
      <c r="B523" s="29"/>
    </row>
    <row r="524" spans="2:6">
      <c r="B524" s="29"/>
    </row>
    <row r="525" spans="2:6">
      <c r="B525" s="29"/>
    </row>
    <row r="526" spans="2:6">
      <c r="B526" s="29"/>
    </row>
    <row r="527" spans="2:6">
      <c r="B527" s="29"/>
    </row>
    <row r="528" spans="2:6">
      <c r="B528" s="29"/>
    </row>
    <row r="529" spans="2:2">
      <c r="B529" s="29"/>
    </row>
    <row r="530" spans="2:2">
      <c r="B530" s="29"/>
    </row>
    <row r="531" spans="2:2">
      <c r="B531" s="29"/>
    </row>
    <row r="532" spans="2:2">
      <c r="B532" s="29"/>
    </row>
    <row r="533" spans="2:2">
      <c r="B533" s="29"/>
    </row>
    <row r="534" spans="2:2">
      <c r="B534" s="29"/>
    </row>
    <row r="535" spans="2:2">
      <c r="B535" s="29"/>
    </row>
    <row r="536" spans="2:2">
      <c r="B536" s="29"/>
    </row>
    <row r="537" spans="2:2">
      <c r="B537" s="29"/>
    </row>
    <row r="538" spans="2:2">
      <c r="B538" s="29"/>
    </row>
    <row r="539" spans="2:2">
      <c r="B539" s="29"/>
    </row>
    <row r="540" spans="2:2">
      <c r="B540" s="29"/>
    </row>
    <row r="541" spans="2:2">
      <c r="B541" s="29"/>
    </row>
    <row r="542" spans="2:2">
      <c r="B542" s="29"/>
    </row>
    <row r="543" spans="2:2">
      <c r="B543" s="29"/>
    </row>
    <row r="544" spans="2:2">
      <c r="B544" s="29"/>
    </row>
    <row r="545" spans="2:2">
      <c r="B545" s="29"/>
    </row>
    <row r="546" spans="2:2">
      <c r="B546" s="29"/>
    </row>
    <row r="547" spans="2:2">
      <c r="B547" s="29"/>
    </row>
    <row r="548" spans="2:2">
      <c r="B548" s="29"/>
    </row>
    <row r="549" spans="2:2">
      <c r="B549" s="29"/>
    </row>
    <row r="550" spans="2:2">
      <c r="B550" s="29"/>
    </row>
    <row r="551" spans="2:2">
      <c r="B551" s="29"/>
    </row>
    <row r="552" spans="2:2">
      <c r="B552" s="29"/>
    </row>
    <row r="553" spans="2:2">
      <c r="B553" s="29"/>
    </row>
    <row r="554" spans="2:2">
      <c r="B554" s="29"/>
    </row>
    <row r="555" spans="2:2">
      <c r="B555" s="29"/>
    </row>
    <row r="556" spans="2:2">
      <c r="B556" s="29"/>
    </row>
    <row r="557" spans="2:2">
      <c r="B557" s="29"/>
    </row>
    <row r="558" spans="2:2">
      <c r="B558" s="29"/>
    </row>
    <row r="559" spans="2:2">
      <c r="B559" s="29"/>
    </row>
    <row r="560" spans="2:2">
      <c r="B560" s="29"/>
    </row>
    <row r="561" spans="2:2">
      <c r="B561" s="29"/>
    </row>
    <row r="562" spans="2:2">
      <c r="B562" s="29"/>
    </row>
    <row r="563" spans="2:2">
      <c r="B563" s="29"/>
    </row>
    <row r="564" spans="2:2">
      <c r="B564" s="29"/>
    </row>
    <row r="565" spans="2:2">
      <c r="B565" s="29"/>
    </row>
    <row r="566" spans="2:2">
      <c r="B566" s="29"/>
    </row>
    <row r="567" spans="2:2">
      <c r="B567" s="29"/>
    </row>
    <row r="568" spans="2:2">
      <c r="B568" s="29"/>
    </row>
    <row r="569" spans="2:2">
      <c r="B569" s="29"/>
    </row>
    <row r="570" spans="2:2">
      <c r="B570" s="29"/>
    </row>
    <row r="571" spans="2:2">
      <c r="B571" s="29"/>
    </row>
    <row r="572" spans="2:2">
      <c r="B572" s="29"/>
    </row>
    <row r="573" spans="2:2">
      <c r="B573" s="29"/>
    </row>
    <row r="574" spans="2:2">
      <c r="B574" s="29"/>
    </row>
    <row r="575" spans="2:2">
      <c r="B575" s="29"/>
    </row>
    <row r="576" spans="2:2">
      <c r="B576" s="29"/>
    </row>
    <row r="577" spans="2:2">
      <c r="B577" s="29"/>
    </row>
    <row r="578" spans="2:2">
      <c r="B578" s="29"/>
    </row>
    <row r="579" spans="2:2">
      <c r="B579" s="29"/>
    </row>
    <row r="580" spans="2:2">
      <c r="B580" s="29"/>
    </row>
    <row r="581" spans="2:2">
      <c r="B581" s="29"/>
    </row>
    <row r="582" spans="2:2">
      <c r="B582" s="29"/>
    </row>
    <row r="583" spans="2:2">
      <c r="B583" s="29"/>
    </row>
    <row r="584" spans="2:2">
      <c r="B584" s="29"/>
    </row>
    <row r="585" spans="2:2">
      <c r="B585" s="29"/>
    </row>
    <row r="586" spans="2:2">
      <c r="B586" s="29"/>
    </row>
    <row r="587" spans="2:2">
      <c r="B587" s="29"/>
    </row>
    <row r="588" spans="2:2">
      <c r="B588" s="29"/>
    </row>
    <row r="589" spans="2:2">
      <c r="B589" s="29"/>
    </row>
    <row r="590" spans="2:2">
      <c r="B590" s="29"/>
    </row>
    <row r="591" spans="2:2">
      <c r="B591" s="29"/>
    </row>
    <row r="592" spans="2:2">
      <c r="B592" s="29"/>
    </row>
    <row r="593" spans="2:2">
      <c r="B593" s="29"/>
    </row>
    <row r="594" spans="2:2">
      <c r="B594" s="29"/>
    </row>
    <row r="595" spans="2:2">
      <c r="B595" s="29"/>
    </row>
    <row r="596" spans="2:2">
      <c r="B596" s="29"/>
    </row>
    <row r="597" spans="2:2">
      <c r="B597" s="29"/>
    </row>
    <row r="598" spans="2:2">
      <c r="B598" s="29"/>
    </row>
    <row r="599" spans="2:2">
      <c r="B599" s="29"/>
    </row>
    <row r="600" spans="2:2">
      <c r="B600" s="29"/>
    </row>
    <row r="601" spans="2:2">
      <c r="B601" s="29"/>
    </row>
    <row r="602" spans="2:2">
      <c r="B602" s="29"/>
    </row>
    <row r="603" spans="2:2">
      <c r="B603" s="29"/>
    </row>
    <row r="604" spans="2:2">
      <c r="B604" s="29"/>
    </row>
    <row r="605" spans="2:2">
      <c r="B605" s="29"/>
    </row>
    <row r="606" spans="2:2">
      <c r="B606" s="29"/>
    </row>
    <row r="607" spans="2:2">
      <c r="B607" s="29"/>
    </row>
    <row r="608" spans="2:2">
      <c r="B608" s="29"/>
    </row>
    <row r="609" spans="2:2">
      <c r="B609" s="29"/>
    </row>
    <row r="610" spans="2:2">
      <c r="B610" s="29"/>
    </row>
    <row r="611" spans="2:2">
      <c r="B611" s="29"/>
    </row>
    <row r="612" spans="2:2">
      <c r="B612" s="29"/>
    </row>
    <row r="613" spans="2:2">
      <c r="B613" s="29"/>
    </row>
    <row r="614" spans="2:2">
      <c r="B614" s="29"/>
    </row>
    <row r="615" spans="2:2">
      <c r="B615" s="29"/>
    </row>
    <row r="616" spans="2:2">
      <c r="B616" s="29"/>
    </row>
    <row r="617" spans="2:2">
      <c r="B617" s="29"/>
    </row>
    <row r="618" spans="2:2">
      <c r="B618" s="29"/>
    </row>
    <row r="619" spans="2:2">
      <c r="B619" s="29"/>
    </row>
    <row r="620" spans="2:2">
      <c r="B620" s="29"/>
    </row>
    <row r="621" spans="2:2">
      <c r="B621" s="29"/>
    </row>
    <row r="622" spans="2:2">
      <c r="B622" s="29"/>
    </row>
    <row r="623" spans="2:2">
      <c r="B623" s="29"/>
    </row>
    <row r="624" spans="2:2">
      <c r="B624" s="29"/>
    </row>
    <row r="625" spans="2:2">
      <c r="B625" s="29"/>
    </row>
    <row r="626" spans="2:2">
      <c r="B626" s="29"/>
    </row>
    <row r="627" spans="2:2">
      <c r="B627" s="29"/>
    </row>
    <row r="628" spans="2:2">
      <c r="B628" s="29"/>
    </row>
    <row r="629" spans="2:2">
      <c r="B629" s="29"/>
    </row>
    <row r="630" spans="2:2">
      <c r="B630" s="29"/>
    </row>
    <row r="631" spans="2:2">
      <c r="B631" s="29"/>
    </row>
    <row r="632" spans="2:2">
      <c r="B632" s="29"/>
    </row>
    <row r="633" spans="2:2">
      <c r="B633" s="29"/>
    </row>
    <row r="634" spans="2:2">
      <c r="B634" s="29"/>
    </row>
    <row r="635" spans="2:2">
      <c r="B635" s="29"/>
    </row>
    <row r="636" spans="2:2">
      <c r="B636" s="29"/>
    </row>
    <row r="637" spans="2:2">
      <c r="B637" s="29"/>
    </row>
    <row r="638" spans="2:2">
      <c r="B638" s="29"/>
    </row>
    <row r="639" spans="2:2">
      <c r="B639" s="29"/>
    </row>
    <row r="640" spans="2:2">
      <c r="B640" s="29"/>
    </row>
    <row r="641" spans="2:2">
      <c r="B641" s="29"/>
    </row>
    <row r="642" spans="2:2">
      <c r="B642" s="29"/>
    </row>
    <row r="643" spans="2:2">
      <c r="B643" s="29"/>
    </row>
    <row r="644" spans="2:2">
      <c r="B644" s="29"/>
    </row>
    <row r="645" spans="2:2">
      <c r="B645" s="29"/>
    </row>
    <row r="646" spans="2:2">
      <c r="B646" s="29"/>
    </row>
    <row r="647" spans="2:2">
      <c r="B647" s="29"/>
    </row>
    <row r="648" spans="2:2">
      <c r="B648" s="29"/>
    </row>
    <row r="649" spans="2:2">
      <c r="B649" s="29"/>
    </row>
    <row r="650" spans="2:2">
      <c r="B650" s="29"/>
    </row>
    <row r="651" spans="2:2">
      <c r="B651" s="29"/>
    </row>
    <row r="652" spans="2:2">
      <c r="B652" s="29"/>
    </row>
    <row r="653" spans="2:2">
      <c r="B653" s="29"/>
    </row>
    <row r="654" spans="2:2">
      <c r="B654" s="29"/>
    </row>
    <row r="655" spans="2:2">
      <c r="B655" s="29"/>
    </row>
    <row r="656" spans="2:2">
      <c r="B656" s="29"/>
    </row>
    <row r="657" spans="2:2">
      <c r="B657" s="29"/>
    </row>
    <row r="658" spans="2:2">
      <c r="B658" s="29"/>
    </row>
    <row r="659" spans="2:2">
      <c r="B659" s="29"/>
    </row>
    <row r="660" spans="2:2">
      <c r="B660" s="29"/>
    </row>
    <row r="661" spans="2:2">
      <c r="B661" s="29"/>
    </row>
    <row r="662" spans="2:2">
      <c r="B662" s="29"/>
    </row>
    <row r="663" spans="2:2">
      <c r="B663" s="29"/>
    </row>
    <row r="664" spans="2:2">
      <c r="B664" s="29"/>
    </row>
    <row r="665" spans="2:2">
      <c r="B665" s="29"/>
    </row>
    <row r="666" spans="2:2">
      <c r="B666" s="29"/>
    </row>
    <row r="667" spans="2:2">
      <c r="B667" s="29"/>
    </row>
    <row r="668" spans="2:2">
      <c r="B668" s="29"/>
    </row>
    <row r="669" spans="2:2">
      <c r="B669" s="29"/>
    </row>
    <row r="670" spans="2:2">
      <c r="B670" s="29"/>
    </row>
    <row r="671" spans="2:2">
      <c r="B671" s="29"/>
    </row>
    <row r="672" spans="2:2">
      <c r="B672" s="29"/>
    </row>
    <row r="673" spans="2:2">
      <c r="B673" s="29"/>
    </row>
    <row r="674" spans="2:2">
      <c r="B674" s="29"/>
    </row>
    <row r="675" spans="2:2">
      <c r="B675" s="29"/>
    </row>
    <row r="676" spans="2:2">
      <c r="B676" s="29"/>
    </row>
    <row r="677" spans="2:2">
      <c r="B677" s="29"/>
    </row>
    <row r="678" spans="2:2">
      <c r="B678" s="29"/>
    </row>
    <row r="679" spans="2:2">
      <c r="B679" s="29"/>
    </row>
    <row r="680" spans="2:2">
      <c r="B680" s="29"/>
    </row>
    <row r="681" spans="2:2">
      <c r="B681" s="29"/>
    </row>
    <row r="682" spans="2:2">
      <c r="B682" s="29"/>
    </row>
    <row r="683" spans="2:2">
      <c r="B683" s="29"/>
    </row>
    <row r="684" spans="2:2">
      <c r="B684" s="29"/>
    </row>
    <row r="685" spans="2:2">
      <c r="B685" s="29"/>
    </row>
    <row r="686" spans="2:2">
      <c r="B686" s="29"/>
    </row>
    <row r="687" spans="2:2">
      <c r="B687" s="29"/>
    </row>
    <row r="688" spans="2:2">
      <c r="B688" s="29"/>
    </row>
    <row r="689" spans="2:2">
      <c r="B689" s="29"/>
    </row>
    <row r="690" spans="2:2">
      <c r="B690" s="29"/>
    </row>
    <row r="691" spans="2:2">
      <c r="B691" s="29"/>
    </row>
    <row r="692" spans="2:2">
      <c r="B692" s="29"/>
    </row>
    <row r="693" spans="2:2">
      <c r="B693" s="29"/>
    </row>
    <row r="694" spans="2:2">
      <c r="B694" s="29"/>
    </row>
    <row r="695" spans="2:2">
      <c r="B695" s="29"/>
    </row>
    <row r="696" spans="2:2">
      <c r="B696" s="29"/>
    </row>
    <row r="697" spans="2:2">
      <c r="B697" s="29"/>
    </row>
    <row r="698" spans="2:2">
      <c r="B698" s="29"/>
    </row>
    <row r="699" spans="2:2">
      <c r="B699" s="29"/>
    </row>
    <row r="700" spans="2:2">
      <c r="B700" s="29"/>
    </row>
    <row r="701" spans="2:2">
      <c r="B701" s="29"/>
    </row>
    <row r="702" spans="2:2">
      <c r="B702" s="29"/>
    </row>
    <row r="703" spans="2:2">
      <c r="B703" s="29"/>
    </row>
    <row r="704" spans="2:2">
      <c r="B704" s="29"/>
    </row>
    <row r="705" spans="2:2">
      <c r="B705" s="29"/>
    </row>
    <row r="706" spans="2:2">
      <c r="B706" s="29"/>
    </row>
    <row r="707" spans="2:2">
      <c r="B707" s="29"/>
    </row>
    <row r="708" spans="2:2">
      <c r="B708" s="29"/>
    </row>
    <row r="709" spans="2:2">
      <c r="B709" s="29"/>
    </row>
    <row r="710" spans="2:2">
      <c r="B710" s="29"/>
    </row>
    <row r="711" spans="2:2">
      <c r="B711" s="29"/>
    </row>
    <row r="712" spans="2:2">
      <c r="B712" s="29"/>
    </row>
    <row r="713" spans="2:2">
      <c r="B713" s="29"/>
    </row>
    <row r="714" spans="2:2">
      <c r="B714" s="29"/>
    </row>
    <row r="715" spans="2:2">
      <c r="B715" s="29"/>
    </row>
    <row r="716" spans="2:2">
      <c r="B716" s="29"/>
    </row>
    <row r="717" spans="2:2">
      <c r="B717" s="29"/>
    </row>
    <row r="718" spans="2:2">
      <c r="B718" s="29"/>
    </row>
    <row r="719" spans="2:2">
      <c r="B719" s="29"/>
    </row>
    <row r="720" spans="2:2">
      <c r="B720" s="29"/>
    </row>
    <row r="721" spans="2:2">
      <c r="B721" s="29"/>
    </row>
    <row r="722" spans="2:2">
      <c r="B722" s="29"/>
    </row>
    <row r="723" spans="2:2">
      <c r="B723" s="29"/>
    </row>
    <row r="724" spans="2:2">
      <c r="B724" s="29"/>
    </row>
    <row r="725" spans="2:2">
      <c r="B725" s="29"/>
    </row>
    <row r="726" spans="2:2">
      <c r="B726" s="29"/>
    </row>
    <row r="727" spans="2:2">
      <c r="B727" s="29"/>
    </row>
    <row r="728" spans="2:2">
      <c r="B728" s="29"/>
    </row>
    <row r="729" spans="2:2">
      <c r="B729" s="29"/>
    </row>
    <row r="730" spans="2:2">
      <c r="B730" s="29"/>
    </row>
    <row r="731" spans="2:2">
      <c r="B731" s="29"/>
    </row>
    <row r="732" spans="2:2">
      <c r="B732" s="29"/>
    </row>
    <row r="733" spans="2:2">
      <c r="B733" s="29"/>
    </row>
    <row r="734" spans="2:2">
      <c r="B734" s="29"/>
    </row>
    <row r="735" spans="2:2">
      <c r="B735" s="29"/>
    </row>
    <row r="736" spans="2:2">
      <c r="B736" s="29"/>
    </row>
    <row r="737" spans="2:2">
      <c r="B737" s="29"/>
    </row>
    <row r="738" spans="2:2">
      <c r="B738" s="29"/>
    </row>
    <row r="739" spans="2:2">
      <c r="B739" s="29"/>
    </row>
    <row r="740" spans="2:2">
      <c r="B740" s="29"/>
    </row>
    <row r="741" spans="2:2">
      <c r="B741" s="29"/>
    </row>
    <row r="742" spans="2:2">
      <c r="B742" s="29"/>
    </row>
    <row r="743" spans="2:2">
      <c r="B743" s="29"/>
    </row>
    <row r="744" spans="2:2">
      <c r="B744" s="29"/>
    </row>
    <row r="745" spans="2:2">
      <c r="B745" s="29"/>
    </row>
    <row r="746" spans="2:2">
      <c r="B746" s="29"/>
    </row>
    <row r="747" spans="2:2">
      <c r="B747" s="29"/>
    </row>
    <row r="748" spans="2:2">
      <c r="B748" s="29"/>
    </row>
    <row r="749" spans="2:2">
      <c r="B749" s="29"/>
    </row>
    <row r="750" spans="2:2">
      <c r="B750" s="29"/>
    </row>
    <row r="751" spans="2:2">
      <c r="B751" s="29"/>
    </row>
    <row r="752" spans="2:2">
      <c r="B752" s="29"/>
    </row>
    <row r="753" spans="2:2">
      <c r="B753" s="29"/>
    </row>
    <row r="754" spans="2:2">
      <c r="B754" s="29"/>
    </row>
    <row r="755" spans="2:2">
      <c r="B755" s="29"/>
    </row>
    <row r="756" spans="2:2">
      <c r="B756" s="29"/>
    </row>
    <row r="757" spans="2:2">
      <c r="B757" s="29"/>
    </row>
    <row r="758" spans="2:2">
      <c r="B758" s="29"/>
    </row>
    <row r="759" spans="2:2">
      <c r="B759" s="29"/>
    </row>
    <row r="760" spans="2:2">
      <c r="B760" s="29"/>
    </row>
    <row r="761" spans="2:2">
      <c r="B761" s="29"/>
    </row>
    <row r="762" spans="2:2">
      <c r="B762" s="29"/>
    </row>
    <row r="763" spans="2:2">
      <c r="B763" s="29"/>
    </row>
    <row r="764" spans="2:2">
      <c r="B764" s="31"/>
    </row>
    <row r="765" spans="2:2">
      <c r="B765" s="31"/>
    </row>
    <row r="766" spans="2:2">
      <c r="B766" s="31"/>
    </row>
    <row r="767" spans="2:2">
      <c r="B767" s="31"/>
    </row>
    <row r="768" spans="2:2">
      <c r="B768" s="31"/>
    </row>
    <row r="769" spans="2:2">
      <c r="B769" s="31"/>
    </row>
    <row r="770" spans="2:2">
      <c r="B770" s="31"/>
    </row>
    <row r="771" spans="2:2">
      <c r="B771" s="31"/>
    </row>
    <row r="772" spans="2:2">
      <c r="B772" s="31"/>
    </row>
    <row r="773" spans="2:2">
      <c r="B773" s="31"/>
    </row>
    <row r="774" spans="2:2">
      <c r="B774" s="31"/>
    </row>
    <row r="775" spans="2:2">
      <c r="B775" s="31"/>
    </row>
    <row r="776" spans="2:2">
      <c r="B776" s="31"/>
    </row>
    <row r="777" spans="2:2">
      <c r="B777" s="31"/>
    </row>
    <row r="778" spans="2:2">
      <c r="B778" s="31"/>
    </row>
    <row r="779" spans="2:2">
      <c r="B779" s="31"/>
    </row>
    <row r="780" spans="2:2">
      <c r="B780" s="31"/>
    </row>
    <row r="781" spans="2:2">
      <c r="B781" s="31"/>
    </row>
    <row r="782" spans="2:2">
      <c r="B782" s="31"/>
    </row>
    <row r="783" spans="2:2">
      <c r="B783" s="31"/>
    </row>
    <row r="784" spans="2:2">
      <c r="B784" s="31"/>
    </row>
    <row r="785" spans="2:2">
      <c r="B785" s="31"/>
    </row>
    <row r="786" spans="2:2">
      <c r="B786" s="31"/>
    </row>
    <row r="787" spans="2:2">
      <c r="B787" s="31"/>
    </row>
    <row r="788" spans="2:2">
      <c r="B788" s="31"/>
    </row>
    <row r="789" spans="2:2">
      <c r="B789" s="31"/>
    </row>
    <row r="790" spans="2:2">
      <c r="B790" s="31"/>
    </row>
    <row r="791" spans="2:2">
      <c r="B791" s="31"/>
    </row>
    <row r="792" spans="2:2">
      <c r="B792" s="31"/>
    </row>
    <row r="793" spans="2:2">
      <c r="B793" s="31"/>
    </row>
    <row r="794" spans="2:2">
      <c r="B794" s="31"/>
    </row>
    <row r="795" spans="2:2">
      <c r="B795" s="31"/>
    </row>
    <row r="796" spans="2:2">
      <c r="B796" s="31"/>
    </row>
    <row r="797" spans="2:2">
      <c r="B797" s="31"/>
    </row>
    <row r="798" spans="2:2">
      <c r="B798" s="31"/>
    </row>
    <row r="799" spans="2:2">
      <c r="B799" s="31"/>
    </row>
    <row r="800" spans="2:2">
      <c r="B800" s="31"/>
    </row>
    <row r="801" spans="2:2">
      <c r="B801" s="31"/>
    </row>
    <row r="802" spans="2:2">
      <c r="B802" s="31"/>
    </row>
    <row r="803" spans="2:2">
      <c r="B803" s="31"/>
    </row>
    <row r="804" spans="2:2">
      <c r="B804" s="31"/>
    </row>
    <row r="805" spans="2:2">
      <c r="B805" s="31"/>
    </row>
    <row r="806" spans="2:2">
      <c r="B806" s="31"/>
    </row>
    <row r="807" spans="2:2">
      <c r="B807" s="31"/>
    </row>
    <row r="808" spans="2:2">
      <c r="B808" s="31"/>
    </row>
    <row r="809" spans="2:2">
      <c r="B809" s="31"/>
    </row>
    <row r="810" spans="2:2">
      <c r="B810" s="31"/>
    </row>
    <row r="811" spans="2:2">
      <c r="B811" s="31"/>
    </row>
    <row r="812" spans="2:2">
      <c r="B812" s="31"/>
    </row>
    <row r="813" spans="2:2">
      <c r="B813" s="31"/>
    </row>
    <row r="814" spans="2:2">
      <c r="B814" s="31"/>
    </row>
    <row r="815" spans="2:2">
      <c r="B815" s="31"/>
    </row>
    <row r="816" spans="2:2">
      <c r="B816" s="31"/>
    </row>
    <row r="817" spans="2:2">
      <c r="B817" s="31"/>
    </row>
    <row r="818" spans="2:2">
      <c r="B818" s="31"/>
    </row>
    <row r="819" spans="2:2">
      <c r="B819" s="31"/>
    </row>
    <row r="820" spans="2:2">
      <c r="B820" s="31"/>
    </row>
    <row r="821" spans="2:2">
      <c r="B821" s="31"/>
    </row>
    <row r="822" spans="2:2">
      <c r="B822" s="31"/>
    </row>
    <row r="823" spans="2:2">
      <c r="B823" s="31"/>
    </row>
    <row r="824" spans="2:2">
      <c r="B824" s="31"/>
    </row>
    <row r="825" spans="2:2">
      <c r="B825" s="31"/>
    </row>
    <row r="826" spans="2:2">
      <c r="B826" s="31"/>
    </row>
    <row r="827" spans="2:2">
      <c r="B827" s="31"/>
    </row>
    <row r="828" spans="2:2">
      <c r="B828" s="31"/>
    </row>
    <row r="829" spans="2:2">
      <c r="B829" s="31"/>
    </row>
    <row r="830" spans="2:2">
      <c r="B830" s="31"/>
    </row>
    <row r="831" spans="2:2">
      <c r="B831" s="31"/>
    </row>
    <row r="832" spans="2:2">
      <c r="B832" s="31"/>
    </row>
    <row r="833" spans="2:2">
      <c r="B833" s="31"/>
    </row>
    <row r="834" spans="2:2">
      <c r="B834" s="31"/>
    </row>
    <row r="835" spans="2:2">
      <c r="B835" s="31"/>
    </row>
    <row r="836" spans="2:2">
      <c r="B836" s="31"/>
    </row>
    <row r="837" spans="2:2">
      <c r="B837" s="31"/>
    </row>
    <row r="838" spans="2:2">
      <c r="B838" s="31"/>
    </row>
    <row r="839" spans="2:2">
      <c r="B839" s="31"/>
    </row>
    <row r="840" spans="2:2">
      <c r="B840" s="31"/>
    </row>
    <row r="841" spans="2:2">
      <c r="B841" s="31"/>
    </row>
    <row r="842" spans="2:2">
      <c r="B842" s="31"/>
    </row>
    <row r="843" spans="2:2">
      <c r="B843" s="31"/>
    </row>
    <row r="844" spans="2:2">
      <c r="B844" s="31"/>
    </row>
    <row r="845" spans="2:2">
      <c r="B845" s="31"/>
    </row>
    <row r="846" spans="2:2">
      <c r="B846" s="31"/>
    </row>
    <row r="847" spans="2:2">
      <c r="B847" s="31"/>
    </row>
    <row r="848" spans="2:2">
      <c r="B848" s="31"/>
    </row>
    <row r="849" spans="2:2">
      <c r="B849" s="31"/>
    </row>
    <row r="850" spans="2:2">
      <c r="B850" s="31"/>
    </row>
    <row r="851" spans="2:2">
      <c r="B851" s="31"/>
    </row>
    <row r="852" spans="2:2">
      <c r="B852" s="31"/>
    </row>
    <row r="853" spans="2:2">
      <c r="B853" s="31"/>
    </row>
    <row r="854" spans="2:2">
      <c r="B854" s="31"/>
    </row>
    <row r="855" spans="2:2">
      <c r="B855" s="31"/>
    </row>
    <row r="856" spans="2:2">
      <c r="B856" s="31"/>
    </row>
    <row r="857" spans="2:2">
      <c r="B857" s="31"/>
    </row>
    <row r="858" spans="2:2">
      <c r="B858" s="31"/>
    </row>
    <row r="859" spans="2:2">
      <c r="B859" s="31"/>
    </row>
    <row r="860" spans="2:2">
      <c r="B860" s="31"/>
    </row>
    <row r="861" spans="2:2">
      <c r="B861" s="31"/>
    </row>
    <row r="862" spans="2:2">
      <c r="B862" s="31"/>
    </row>
    <row r="863" spans="2:2">
      <c r="B863" s="31"/>
    </row>
    <row r="864" spans="2:2">
      <c r="B864" s="31"/>
    </row>
    <row r="865" spans="2:2">
      <c r="B865" s="31"/>
    </row>
    <row r="866" spans="2:2">
      <c r="B866" s="31"/>
    </row>
    <row r="867" spans="2:2">
      <c r="B867" s="31"/>
    </row>
    <row r="868" spans="2:2">
      <c r="B868" s="31"/>
    </row>
    <row r="869" spans="2:2">
      <c r="B869" s="31"/>
    </row>
    <row r="870" spans="2:2">
      <c r="B870" s="31"/>
    </row>
    <row r="871" spans="2:2">
      <c r="B871" s="31"/>
    </row>
    <row r="872" spans="2:2">
      <c r="B872" s="31"/>
    </row>
    <row r="873" spans="2:2">
      <c r="B873" s="31"/>
    </row>
    <row r="874" spans="2:2">
      <c r="B874" s="31"/>
    </row>
    <row r="875" spans="2:2">
      <c r="B875" s="31"/>
    </row>
    <row r="876" spans="2:2">
      <c r="B876" s="31"/>
    </row>
    <row r="877" spans="2:2">
      <c r="B877" s="31"/>
    </row>
    <row r="878" spans="2:2">
      <c r="B878" s="31"/>
    </row>
    <row r="879" spans="2:2">
      <c r="B879" s="31"/>
    </row>
    <row r="880" spans="2:2">
      <c r="B880" s="31"/>
    </row>
    <row r="881" spans="2:2">
      <c r="B881" s="31"/>
    </row>
    <row r="882" spans="2:2">
      <c r="B882" s="31"/>
    </row>
    <row r="883" spans="2:2">
      <c r="B883" s="31"/>
    </row>
    <row r="884" spans="2:2">
      <c r="B884" s="31"/>
    </row>
    <row r="885" spans="2:2">
      <c r="B885" s="31"/>
    </row>
    <row r="886" spans="2:2">
      <c r="B886" s="31"/>
    </row>
    <row r="887" spans="2:2">
      <c r="B887" s="31"/>
    </row>
    <row r="888" spans="2:2">
      <c r="B888" s="31"/>
    </row>
    <row r="889" spans="2:2">
      <c r="B889" s="31"/>
    </row>
    <row r="890" spans="2:2">
      <c r="B890" s="31"/>
    </row>
    <row r="891" spans="2:2">
      <c r="B891" s="31"/>
    </row>
    <row r="892" spans="2:2">
      <c r="B892" s="31"/>
    </row>
    <row r="893" spans="2:2">
      <c r="B893" s="31"/>
    </row>
    <row r="894" spans="2:2">
      <c r="B894" s="31"/>
    </row>
    <row r="895" spans="2:2">
      <c r="B895" s="31"/>
    </row>
    <row r="896" spans="2:2">
      <c r="B896" s="31"/>
    </row>
    <row r="897" spans="2:2">
      <c r="B897" s="31"/>
    </row>
    <row r="898" spans="2:2">
      <c r="B898" s="31"/>
    </row>
    <row r="899" spans="2:2">
      <c r="B899" s="31"/>
    </row>
    <row r="900" spans="2:2">
      <c r="B900" s="31"/>
    </row>
    <row r="901" spans="2:2">
      <c r="B901" s="31"/>
    </row>
    <row r="902" spans="2:2">
      <c r="B902" s="31"/>
    </row>
    <row r="903" spans="2:2">
      <c r="B903" s="31"/>
    </row>
    <row r="904" spans="2:2">
      <c r="B904" s="31"/>
    </row>
    <row r="905" spans="2:2">
      <c r="B905" s="31"/>
    </row>
    <row r="906" spans="2:2">
      <c r="B906" s="31"/>
    </row>
    <row r="907" spans="2:2">
      <c r="B907" s="31"/>
    </row>
    <row r="908" spans="2:2">
      <c r="B908" s="31"/>
    </row>
    <row r="909" spans="2:2">
      <c r="B909" s="31"/>
    </row>
    <row r="910" spans="2:2">
      <c r="B910" s="31"/>
    </row>
    <row r="911" spans="2:2">
      <c r="B911" s="31"/>
    </row>
    <row r="912" spans="2:2">
      <c r="B912" s="31"/>
    </row>
    <row r="913" spans="2:2">
      <c r="B913" s="31"/>
    </row>
    <row r="914" spans="2:2">
      <c r="B914" s="31"/>
    </row>
    <row r="915" spans="2:2">
      <c r="B915" s="31"/>
    </row>
    <row r="916" spans="2:2">
      <c r="B916" s="31"/>
    </row>
    <row r="917" spans="2:2">
      <c r="B917" s="31"/>
    </row>
    <row r="918" spans="2:2">
      <c r="B918" s="31"/>
    </row>
    <row r="919" spans="2:2">
      <c r="B919" s="31"/>
    </row>
    <row r="920" spans="2:2">
      <c r="B920" s="31"/>
    </row>
    <row r="921" spans="2:2">
      <c r="B921" s="31"/>
    </row>
    <row r="922" spans="2:2">
      <c r="B922" s="31"/>
    </row>
    <row r="923" spans="2:2">
      <c r="B923" s="31"/>
    </row>
    <row r="924" spans="2:2">
      <c r="B924" s="31"/>
    </row>
    <row r="925" spans="2:2">
      <c r="B925" s="31"/>
    </row>
    <row r="926" spans="2:2">
      <c r="B926" s="31"/>
    </row>
    <row r="927" spans="2:2">
      <c r="B927" s="31"/>
    </row>
    <row r="928" spans="2:2">
      <c r="B928" s="31"/>
    </row>
    <row r="929" spans="2:2">
      <c r="B929" s="31"/>
    </row>
    <row r="930" spans="2:2">
      <c r="B930" s="31"/>
    </row>
    <row r="931" spans="2:2">
      <c r="B931" s="31"/>
    </row>
    <row r="932" spans="2:2">
      <c r="B932" s="31"/>
    </row>
    <row r="933" spans="2:2">
      <c r="B933" s="31"/>
    </row>
    <row r="934" spans="2:2">
      <c r="B934" s="31"/>
    </row>
    <row r="935" spans="2:2">
      <c r="B935" s="31"/>
    </row>
    <row r="936" spans="2:2">
      <c r="B936" s="31"/>
    </row>
    <row r="937" spans="2:2">
      <c r="B937" s="31"/>
    </row>
    <row r="938" spans="2:2">
      <c r="B938" s="31"/>
    </row>
    <row r="939" spans="2:2">
      <c r="B939" s="31"/>
    </row>
    <row r="940" spans="2:2">
      <c r="B940" s="31"/>
    </row>
    <row r="941" spans="2:2">
      <c r="B941" s="31"/>
    </row>
    <row r="942" spans="2:2">
      <c r="B942" s="31"/>
    </row>
    <row r="943" spans="2:2">
      <c r="B943" s="31"/>
    </row>
    <row r="944" spans="2:2">
      <c r="B944" s="31"/>
    </row>
    <row r="945" spans="2:2">
      <c r="B945" s="31"/>
    </row>
    <row r="946" spans="2:2">
      <c r="B946" s="31"/>
    </row>
    <row r="947" spans="2:2">
      <c r="B947" s="31"/>
    </row>
    <row r="948" spans="2:2">
      <c r="B948" s="31"/>
    </row>
    <row r="949" spans="2:2">
      <c r="B949" s="31"/>
    </row>
    <row r="950" spans="2:2">
      <c r="B950" s="31"/>
    </row>
    <row r="951" spans="2:2">
      <c r="B951" s="31"/>
    </row>
    <row r="952" spans="2:2">
      <c r="B952" s="31"/>
    </row>
    <row r="953" spans="2:2">
      <c r="B953" s="31"/>
    </row>
    <row r="954" spans="2:2">
      <c r="B954" s="31"/>
    </row>
    <row r="955" spans="2:2">
      <c r="B955" s="31"/>
    </row>
    <row r="956" spans="2:2">
      <c r="B956" s="31"/>
    </row>
    <row r="957" spans="2:2">
      <c r="B957" s="31"/>
    </row>
    <row r="958" spans="2:2">
      <c r="B958" s="31"/>
    </row>
    <row r="959" spans="2:2">
      <c r="B959" s="31"/>
    </row>
    <row r="960" spans="2:2">
      <c r="B960" s="31"/>
    </row>
    <row r="961" spans="2:2">
      <c r="B961" s="31"/>
    </row>
    <row r="962" spans="2:2">
      <c r="B962" s="31"/>
    </row>
    <row r="963" spans="2:2">
      <c r="B963" s="31"/>
    </row>
    <row r="964" spans="2:2">
      <c r="B964" s="31"/>
    </row>
    <row r="965" spans="2:2">
      <c r="B965" s="31"/>
    </row>
    <row r="966" spans="2:2">
      <c r="B966" s="31"/>
    </row>
    <row r="967" spans="2:2">
      <c r="B967" s="31"/>
    </row>
    <row r="968" spans="2:2">
      <c r="B968" s="31"/>
    </row>
    <row r="969" spans="2:2">
      <c r="B969" s="31"/>
    </row>
    <row r="970" spans="2:2">
      <c r="B970" s="31"/>
    </row>
    <row r="971" spans="2:2">
      <c r="B971" s="31"/>
    </row>
    <row r="972" spans="2:2">
      <c r="B972" s="31"/>
    </row>
    <row r="973" spans="2:2">
      <c r="B973" s="31"/>
    </row>
    <row r="974" spans="2:2">
      <c r="B974" s="31"/>
    </row>
    <row r="975" spans="2:2">
      <c r="B975" s="31"/>
    </row>
    <row r="976" spans="2:2">
      <c r="B976" s="31"/>
    </row>
    <row r="977" spans="2:2">
      <c r="B977" s="31"/>
    </row>
    <row r="978" spans="2:2">
      <c r="B978" s="31"/>
    </row>
    <row r="979" spans="2:2">
      <c r="B979" s="31"/>
    </row>
    <row r="980" spans="2:2">
      <c r="B980" s="31"/>
    </row>
    <row r="981" spans="2:2">
      <c r="B981" s="31"/>
    </row>
    <row r="982" spans="2:2">
      <c r="B982" s="31"/>
    </row>
    <row r="983" spans="2:2">
      <c r="B983" s="31"/>
    </row>
    <row r="984" spans="2:2">
      <c r="B984" s="31"/>
    </row>
    <row r="985" spans="2:2">
      <c r="B985" s="31"/>
    </row>
    <row r="986" spans="2:2">
      <c r="B986" s="31"/>
    </row>
    <row r="987" spans="2:2">
      <c r="B987" s="31"/>
    </row>
    <row r="988" spans="2:2">
      <c r="B988" s="31"/>
    </row>
    <row r="989" spans="2:2">
      <c r="B989" s="31"/>
    </row>
    <row r="990" spans="2:2">
      <c r="B990" s="31"/>
    </row>
    <row r="991" spans="2:2">
      <c r="B991" s="31"/>
    </row>
    <row r="992" spans="2:2">
      <c r="B992" s="31"/>
    </row>
    <row r="993" spans="2:2">
      <c r="B993" s="31"/>
    </row>
    <row r="994" spans="2:2">
      <c r="B994" s="31"/>
    </row>
    <row r="995" spans="2:2">
      <c r="B995" s="31"/>
    </row>
    <row r="996" spans="2:2">
      <c r="B996" s="31"/>
    </row>
    <row r="997" spans="2:2">
      <c r="B997" s="31"/>
    </row>
    <row r="998" spans="2:2">
      <c r="B998" s="31"/>
    </row>
    <row r="999" spans="2:2">
      <c r="B999" s="31"/>
    </row>
    <row r="1000" spans="2:2">
      <c r="B1000" s="31"/>
    </row>
    <row r="1001" spans="2:2">
      <c r="B1001" s="31"/>
    </row>
    <row r="1002" spans="2:2">
      <c r="B1002" s="31"/>
    </row>
    <row r="1003" spans="2:2">
      <c r="B1003" s="31"/>
    </row>
    <row r="1004" spans="2:2">
      <c r="B1004" s="31"/>
    </row>
    <row r="1005" spans="2:2">
      <c r="B1005" s="31"/>
    </row>
    <row r="1006" spans="2:2">
      <c r="B1006" s="31"/>
    </row>
    <row r="1007" spans="2:2">
      <c r="B1007" s="31"/>
    </row>
    <row r="1008" spans="2:2">
      <c r="B1008" s="31"/>
    </row>
    <row r="1009" spans="2:2">
      <c r="B1009" s="31"/>
    </row>
    <row r="1010" spans="2:2">
      <c r="B1010" s="31"/>
    </row>
    <row r="1011" spans="2:2">
      <c r="B1011" s="31"/>
    </row>
    <row r="1012" spans="2:2">
      <c r="B1012" s="31"/>
    </row>
    <row r="1013" spans="2:2">
      <c r="B1013" s="31"/>
    </row>
    <row r="1014" spans="2:2">
      <c r="B1014" s="31"/>
    </row>
    <row r="1015" spans="2:2">
      <c r="B1015" s="31"/>
    </row>
    <row r="1016" spans="2:2">
      <c r="B1016" s="31"/>
    </row>
    <row r="1017" spans="2:2">
      <c r="B1017" s="31"/>
    </row>
    <row r="1018" spans="2:2">
      <c r="B1018" s="31"/>
    </row>
    <row r="1019" spans="2:2">
      <c r="B1019" s="31"/>
    </row>
    <row r="1020" spans="2:2">
      <c r="B1020" s="31"/>
    </row>
    <row r="1021" spans="2:2">
      <c r="B1021" s="31"/>
    </row>
    <row r="1022" spans="2:2">
      <c r="B1022" s="31"/>
    </row>
    <row r="1023" spans="2:2">
      <c r="B1023" s="31"/>
    </row>
    <row r="1024" spans="2:2">
      <c r="B1024" s="31"/>
    </row>
    <row r="1025" spans="2:2">
      <c r="B1025" s="31"/>
    </row>
    <row r="1026" spans="2:2">
      <c r="B1026" s="31"/>
    </row>
    <row r="1027" spans="2:2">
      <c r="B1027" s="31"/>
    </row>
    <row r="1028" spans="2:2">
      <c r="B1028" s="31"/>
    </row>
    <row r="1029" spans="2:2">
      <c r="B1029" s="31"/>
    </row>
    <row r="1030" spans="2:2">
      <c r="B1030" s="31"/>
    </row>
    <row r="1031" spans="2:2">
      <c r="B1031" s="31"/>
    </row>
    <row r="1032" spans="2:2">
      <c r="B1032" s="31"/>
    </row>
    <row r="1033" spans="2:2">
      <c r="B1033" s="31"/>
    </row>
    <row r="1034" spans="2:2">
      <c r="B1034" s="31"/>
    </row>
    <row r="1035" spans="2:2">
      <c r="B1035" s="31"/>
    </row>
    <row r="1036" spans="2:2">
      <c r="B1036" s="31"/>
    </row>
    <row r="1037" spans="2:2">
      <c r="B1037" s="31"/>
    </row>
    <row r="1038" spans="2:2">
      <c r="B1038" s="31"/>
    </row>
    <row r="1039" spans="2:2">
      <c r="B1039" s="31"/>
    </row>
    <row r="1040" spans="2:2">
      <c r="B1040" s="31"/>
    </row>
    <row r="1041" spans="2:2">
      <c r="B1041" s="31"/>
    </row>
    <row r="1042" spans="2:2">
      <c r="B1042" s="31"/>
    </row>
    <row r="1043" spans="2:2">
      <c r="B1043" s="31"/>
    </row>
    <row r="1044" spans="2:2">
      <c r="B1044" s="31"/>
    </row>
    <row r="1045" spans="2:2">
      <c r="B1045" s="31"/>
    </row>
    <row r="1046" spans="2:2">
      <c r="B1046" s="31"/>
    </row>
    <row r="1047" spans="2:2">
      <c r="B1047" s="31"/>
    </row>
    <row r="1048" spans="2:2">
      <c r="B1048" s="31"/>
    </row>
    <row r="1049" spans="2:2">
      <c r="B1049" s="31"/>
    </row>
    <row r="1050" spans="2:2">
      <c r="B1050" s="31"/>
    </row>
    <row r="1051" spans="2:2">
      <c r="B1051" s="31"/>
    </row>
    <row r="1052" spans="2:2">
      <c r="B1052" s="31"/>
    </row>
    <row r="1053" spans="2:2">
      <c r="B1053" s="31"/>
    </row>
    <row r="1054" spans="2:2">
      <c r="B1054" s="31"/>
    </row>
    <row r="1055" spans="2:2">
      <c r="B1055" s="31"/>
    </row>
    <row r="1056" spans="2:2">
      <c r="B1056" s="31"/>
    </row>
    <row r="1057" spans="2:2">
      <c r="B1057" s="31"/>
    </row>
    <row r="1058" spans="2:2">
      <c r="B1058" s="31"/>
    </row>
    <row r="1059" spans="2:2">
      <c r="B1059" s="31"/>
    </row>
    <row r="1060" spans="2:2">
      <c r="B1060" s="31"/>
    </row>
    <row r="1061" spans="2:2">
      <c r="B1061" s="31"/>
    </row>
    <row r="1062" spans="2:2">
      <c r="B1062" s="31"/>
    </row>
    <row r="1063" spans="2:2">
      <c r="B1063" s="31"/>
    </row>
    <row r="1064" spans="2:2">
      <c r="B1064" s="31"/>
    </row>
    <row r="1065" spans="2:2">
      <c r="B1065" s="31"/>
    </row>
    <row r="1066" spans="2:2">
      <c r="B1066" s="31"/>
    </row>
    <row r="1067" spans="2:2">
      <c r="B1067" s="31"/>
    </row>
    <row r="1068" spans="2:2">
      <c r="B1068" s="31"/>
    </row>
    <row r="1069" spans="2:2">
      <c r="B1069" s="31"/>
    </row>
    <row r="1070" spans="2:2">
      <c r="B1070" s="31"/>
    </row>
    <row r="1071" spans="2:2">
      <c r="B1071" s="31"/>
    </row>
    <row r="1072" spans="2:2">
      <c r="B1072" s="31"/>
    </row>
    <row r="1073" spans="2:2">
      <c r="B1073" s="31"/>
    </row>
    <row r="1074" spans="2:2">
      <c r="B1074" s="31"/>
    </row>
    <row r="1075" spans="2:2">
      <c r="B1075" s="31"/>
    </row>
    <row r="1076" spans="2:2">
      <c r="B1076" s="31"/>
    </row>
    <row r="1077" spans="2:2">
      <c r="B1077" s="31"/>
    </row>
    <row r="1078" spans="2:2">
      <c r="B1078" s="31"/>
    </row>
    <row r="1079" spans="2:2">
      <c r="B1079" s="31"/>
    </row>
    <row r="1080" spans="2:2">
      <c r="B1080" s="31"/>
    </row>
    <row r="1081" spans="2:2">
      <c r="B1081" s="31"/>
    </row>
    <row r="1082" spans="2:2">
      <c r="B1082" s="31"/>
    </row>
    <row r="1083" spans="2:2">
      <c r="B1083" s="31"/>
    </row>
    <row r="1084" spans="2:2">
      <c r="B1084" s="31"/>
    </row>
    <row r="1085" spans="2:2">
      <c r="B1085" s="31"/>
    </row>
    <row r="1086" spans="2:2">
      <c r="B1086" s="31"/>
    </row>
    <row r="1087" spans="2:2">
      <c r="B1087" s="31"/>
    </row>
    <row r="1088" spans="2:2">
      <c r="B1088" s="31"/>
    </row>
    <row r="1089" spans="2:2">
      <c r="B1089" s="31"/>
    </row>
    <row r="1090" spans="2:2">
      <c r="B1090" s="31"/>
    </row>
    <row r="1091" spans="2:2">
      <c r="B1091" s="31"/>
    </row>
    <row r="1092" spans="2:2">
      <c r="B1092" s="31"/>
    </row>
    <row r="1093" spans="2:2">
      <c r="B1093" s="31"/>
    </row>
    <row r="1094" spans="2:2">
      <c r="B1094" s="31"/>
    </row>
    <row r="1095" spans="2:2">
      <c r="B1095" s="31"/>
    </row>
    <row r="1096" spans="2:2">
      <c r="B1096" s="31"/>
    </row>
    <row r="1097" spans="2:2">
      <c r="B1097" s="31"/>
    </row>
    <row r="1098" spans="2:2">
      <c r="B1098" s="31"/>
    </row>
    <row r="1099" spans="2:2">
      <c r="B1099" s="31"/>
    </row>
    <row r="1100" spans="2:2">
      <c r="B1100" s="31"/>
    </row>
    <row r="1101" spans="2:2">
      <c r="B1101" s="31"/>
    </row>
    <row r="1102" spans="2:2">
      <c r="B1102" s="31"/>
    </row>
    <row r="1103" spans="2:2">
      <c r="B1103" s="31"/>
    </row>
    <row r="1104" spans="2:2">
      <c r="B1104" s="31"/>
    </row>
    <row r="1105" spans="2:2">
      <c r="B1105" s="31"/>
    </row>
    <row r="1106" spans="2:2">
      <c r="B1106" s="31"/>
    </row>
    <row r="1107" spans="2:2">
      <c r="B1107" s="31"/>
    </row>
    <row r="1108" spans="2:2">
      <c r="B1108" s="31"/>
    </row>
    <row r="1109" spans="2:2">
      <c r="B1109" s="31"/>
    </row>
    <row r="1110" spans="2:2">
      <c r="B1110" s="31"/>
    </row>
    <row r="1111" spans="2:2">
      <c r="B1111" s="31"/>
    </row>
    <row r="1112" spans="2:2">
      <c r="B1112" s="31"/>
    </row>
    <row r="1113" spans="2:2">
      <c r="B1113" s="31"/>
    </row>
    <row r="1114" spans="2:2">
      <c r="B1114" s="31"/>
    </row>
    <row r="1115" spans="2:2">
      <c r="B1115" s="31"/>
    </row>
    <row r="1116" spans="2:2">
      <c r="B1116" s="31"/>
    </row>
    <row r="1117" spans="2:2">
      <c r="B1117" s="31"/>
    </row>
    <row r="1118" spans="2:2">
      <c r="B1118" s="31"/>
    </row>
    <row r="1119" spans="2:2">
      <c r="B1119" s="31"/>
    </row>
    <row r="1120" spans="2:2">
      <c r="B1120" s="31"/>
    </row>
    <row r="1121" spans="2:2">
      <c r="B1121" s="31"/>
    </row>
    <row r="1122" spans="2:2">
      <c r="B1122" s="31"/>
    </row>
    <row r="1123" spans="2:2">
      <c r="B1123" s="31"/>
    </row>
    <row r="1124" spans="2:2">
      <c r="B1124" s="31"/>
    </row>
    <row r="1125" spans="2:2">
      <c r="B1125" s="31"/>
    </row>
    <row r="1126" spans="2:2">
      <c r="B1126" s="31"/>
    </row>
    <row r="1127" spans="2:2">
      <c r="B1127" s="31"/>
    </row>
    <row r="1128" spans="2:2">
      <c r="B1128" s="31"/>
    </row>
    <row r="1129" spans="2:2">
      <c r="B1129" s="31"/>
    </row>
    <row r="1130" spans="2:2">
      <c r="B1130" s="31"/>
    </row>
    <row r="1131" spans="2:2">
      <c r="B1131" s="31"/>
    </row>
    <row r="1132" spans="2:2">
      <c r="B1132" s="31"/>
    </row>
    <row r="1133" spans="2:2">
      <c r="B1133" s="31"/>
    </row>
    <row r="1134" spans="2:2">
      <c r="B1134" s="31"/>
    </row>
    <row r="1135" spans="2:2">
      <c r="B1135" s="31"/>
    </row>
    <row r="1136" spans="2:2">
      <c r="B1136" s="31"/>
    </row>
    <row r="1137" spans="2:2">
      <c r="B1137" s="31"/>
    </row>
    <row r="1138" spans="2:2">
      <c r="B1138" s="31"/>
    </row>
    <row r="1139" spans="2:2">
      <c r="B1139" s="31"/>
    </row>
    <row r="1140" spans="2:2">
      <c r="B1140" s="31"/>
    </row>
    <row r="1141" spans="2:2">
      <c r="B1141" s="31"/>
    </row>
    <row r="1142" spans="2:2">
      <c r="B1142" s="31"/>
    </row>
    <row r="1143" spans="2:2">
      <c r="B1143" s="31"/>
    </row>
    <row r="1144" spans="2:2">
      <c r="B1144" s="31"/>
    </row>
    <row r="1145" spans="2:2">
      <c r="B1145" s="31"/>
    </row>
    <row r="1146" spans="2:2">
      <c r="B1146" s="31"/>
    </row>
    <row r="1147" spans="2:2">
      <c r="B1147" s="31"/>
    </row>
    <row r="1148" spans="2:2">
      <c r="B1148" s="31"/>
    </row>
    <row r="1149" spans="2:2">
      <c r="B1149" s="31"/>
    </row>
    <row r="1150" spans="2:2">
      <c r="B1150" s="31"/>
    </row>
    <row r="1151" spans="2:2">
      <c r="B1151" s="31"/>
    </row>
    <row r="1152" spans="2:2">
      <c r="B1152" s="31"/>
    </row>
    <row r="1153" spans="2:2">
      <c r="B1153" s="31"/>
    </row>
    <row r="1154" spans="2:2">
      <c r="B1154" s="31"/>
    </row>
    <row r="1155" spans="2:2">
      <c r="B1155" s="31"/>
    </row>
    <row r="1156" spans="2:2">
      <c r="B1156" s="31"/>
    </row>
    <row r="1157" spans="2:2">
      <c r="B1157" s="31"/>
    </row>
    <row r="1158" spans="2:2">
      <c r="B1158" s="31"/>
    </row>
    <row r="1159" spans="2:2">
      <c r="B1159" s="31"/>
    </row>
    <row r="1160" spans="2:2">
      <c r="B1160" s="31"/>
    </row>
    <row r="1161" spans="2:2">
      <c r="B1161" s="31"/>
    </row>
    <row r="1162" spans="2:2">
      <c r="B1162" s="31"/>
    </row>
    <row r="1163" spans="2:2">
      <c r="B1163" s="31"/>
    </row>
    <row r="1164" spans="2:2">
      <c r="B1164" s="31"/>
    </row>
    <row r="1165" spans="2:2">
      <c r="B1165" s="31"/>
    </row>
    <row r="1166" spans="2:2">
      <c r="B1166" s="31"/>
    </row>
    <row r="1167" spans="2:2">
      <c r="B1167" s="31"/>
    </row>
    <row r="1168" spans="2:2">
      <c r="B1168" s="31"/>
    </row>
    <row r="1169" spans="2:2">
      <c r="B1169" s="31"/>
    </row>
    <row r="1170" spans="2:2">
      <c r="B1170" s="31"/>
    </row>
    <row r="1171" spans="2:2">
      <c r="B1171" s="31"/>
    </row>
    <row r="1172" spans="2:2">
      <c r="B1172" s="31"/>
    </row>
    <row r="1173" spans="2:2">
      <c r="B1173" s="31"/>
    </row>
    <row r="1174" spans="2:2">
      <c r="B1174" s="31"/>
    </row>
  </sheetData>
  <sortState xmlns:xlrd2="http://schemas.microsoft.com/office/spreadsheetml/2017/richdata2" ref="A12:T184">
    <sortCondition ref="C12:C184"/>
  </sortState>
  <mergeCells count="1">
    <mergeCell ref="J10:R10"/>
  </mergeCells>
  <phoneticPr fontId="15" type="noConversion"/>
  <conditionalFormatting sqref="F1:F2 F5:F1048576">
    <cfRule type="colorScale" priority="644">
      <colorScale>
        <cfvo type="min"/>
        <cfvo type="percentile" val="50"/>
        <cfvo type="max"/>
        <color rgb="FFF8696B"/>
        <color rgb="FFFFEB84"/>
        <color rgb="FF63BE7B"/>
      </colorScale>
    </cfRule>
  </conditionalFormatting>
  <conditionalFormatting sqref="C432:C1946 C1:C2 C5:C10">
    <cfRule type="duplicateValues" dxfId="0" priority="658"/>
  </conditionalFormatting>
  <pageMargins left="0.7" right="0.7" top="0.75" bottom="0.75" header="0.3" footer="0.3"/>
  <pageSetup scale="6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pageSetUpPr fitToPage="1"/>
  </sheetPr>
  <dimension ref="A1:K40"/>
  <sheetViews>
    <sheetView zoomScale="80" zoomScaleNormal="80" workbookViewId="0"/>
  </sheetViews>
  <sheetFormatPr defaultColWidth="9.1796875" defaultRowHeight="12.5"/>
  <cols>
    <col min="1" max="1" width="9.1796875" style="23"/>
    <col min="2" max="2" width="87.1796875" style="23" bestFit="1" customWidth="1"/>
    <col min="3" max="16384" width="9.1796875" style="23"/>
  </cols>
  <sheetData>
    <row r="1" spans="1:11" ht="13">
      <c r="A1" s="21" t="s">
        <v>35</v>
      </c>
      <c r="B1" s="22"/>
      <c r="C1" s="22"/>
      <c r="D1" s="22"/>
      <c r="E1" s="22"/>
      <c r="F1" s="22"/>
      <c r="G1" s="22"/>
      <c r="H1" s="22"/>
      <c r="I1" s="22"/>
      <c r="J1" s="22"/>
      <c r="K1" s="22"/>
    </row>
    <row r="2" spans="1:11" ht="13">
      <c r="A2" s="21" t="s">
        <v>31</v>
      </c>
      <c r="B2" s="21" t="s">
        <v>36</v>
      </c>
      <c r="C2" s="22"/>
      <c r="D2" s="22"/>
      <c r="E2" s="22"/>
      <c r="F2" s="22"/>
      <c r="G2" s="22"/>
      <c r="H2" s="22"/>
      <c r="I2" s="22"/>
      <c r="J2" s="22"/>
      <c r="K2" s="22"/>
    </row>
    <row r="3" spans="1:11">
      <c r="A3" s="22">
        <v>1</v>
      </c>
      <c r="B3" s="22" t="s">
        <v>37</v>
      </c>
      <c r="C3" s="22"/>
      <c r="D3" s="22"/>
      <c r="E3" s="22"/>
      <c r="F3" s="22"/>
      <c r="G3" s="22"/>
      <c r="H3" s="22"/>
      <c r="I3" s="22"/>
      <c r="J3" s="22"/>
      <c r="K3" s="22"/>
    </row>
    <row r="4" spans="1:11">
      <c r="A4" s="22"/>
      <c r="B4" s="22" t="s">
        <v>38</v>
      </c>
      <c r="C4" s="22"/>
      <c r="D4" s="22"/>
      <c r="E4" s="22"/>
      <c r="F4" s="22"/>
      <c r="G4" s="22"/>
      <c r="H4" s="22"/>
      <c r="I4" s="22"/>
      <c r="J4" s="22"/>
      <c r="K4" s="22"/>
    </row>
    <row r="5" spans="1:11">
      <c r="A5" s="22">
        <v>2</v>
      </c>
      <c r="B5" s="22" t="s">
        <v>64</v>
      </c>
      <c r="C5" s="22"/>
      <c r="D5" s="22"/>
      <c r="E5" s="22"/>
      <c r="F5" s="22"/>
      <c r="G5" s="22"/>
      <c r="H5" s="22"/>
      <c r="I5" s="22"/>
      <c r="J5" s="22"/>
      <c r="K5" s="22"/>
    </row>
    <row r="6" spans="1:11">
      <c r="A6" s="22">
        <v>3</v>
      </c>
      <c r="B6" s="22" t="s">
        <v>39</v>
      </c>
      <c r="C6" s="22"/>
      <c r="D6" s="22"/>
      <c r="E6" s="22"/>
      <c r="F6" s="22"/>
      <c r="G6" s="22"/>
      <c r="H6" s="22"/>
      <c r="I6" s="22"/>
      <c r="J6" s="22"/>
      <c r="K6" s="22"/>
    </row>
    <row r="7" spans="1:11">
      <c r="A7" s="22"/>
      <c r="B7" s="22" t="s">
        <v>40</v>
      </c>
      <c r="C7" s="22"/>
      <c r="D7" s="22"/>
      <c r="E7" s="22"/>
      <c r="F7" s="22"/>
      <c r="G7" s="22"/>
      <c r="H7" s="22"/>
      <c r="I7" s="22"/>
      <c r="J7" s="22"/>
      <c r="K7" s="22"/>
    </row>
    <row r="8" spans="1:11">
      <c r="A8" s="22"/>
      <c r="B8" s="22" t="s">
        <v>41</v>
      </c>
      <c r="C8" s="22"/>
      <c r="D8" s="22"/>
      <c r="E8" s="22"/>
      <c r="F8" s="22"/>
      <c r="G8" s="22"/>
      <c r="H8" s="22"/>
      <c r="I8" s="22"/>
      <c r="J8" s="22"/>
      <c r="K8" s="22"/>
    </row>
    <row r="9" spans="1:11">
      <c r="A9" s="22">
        <v>4</v>
      </c>
      <c r="B9" s="22" t="s">
        <v>42</v>
      </c>
      <c r="C9" s="22"/>
      <c r="D9" s="22"/>
      <c r="E9" s="22"/>
      <c r="F9" s="22"/>
      <c r="G9" s="22"/>
      <c r="H9" s="22"/>
      <c r="I9" s="22"/>
      <c r="J9" s="22"/>
      <c r="K9" s="22"/>
    </row>
    <row r="10" spans="1:11">
      <c r="A10" s="22"/>
      <c r="B10" s="22" t="s">
        <v>43</v>
      </c>
      <c r="C10" s="22"/>
      <c r="D10" s="22"/>
      <c r="E10" s="22"/>
      <c r="F10" s="22"/>
      <c r="G10" s="22"/>
      <c r="H10" s="22"/>
      <c r="I10" s="22"/>
      <c r="J10" s="22"/>
      <c r="K10" s="22"/>
    </row>
    <row r="11" spans="1:11">
      <c r="A11" s="22"/>
      <c r="B11" s="22" t="s">
        <v>44</v>
      </c>
      <c r="C11" s="22"/>
      <c r="D11" s="22"/>
      <c r="E11" s="22"/>
      <c r="F11" s="22"/>
      <c r="G11" s="22"/>
      <c r="H11" s="22"/>
      <c r="I11" s="22"/>
      <c r="J11" s="22"/>
      <c r="K11" s="22"/>
    </row>
    <row r="12" spans="1:11">
      <c r="A12" s="22">
        <v>5</v>
      </c>
      <c r="B12" s="22" t="s">
        <v>45</v>
      </c>
      <c r="C12" s="22"/>
      <c r="D12" s="22"/>
      <c r="E12" s="22"/>
      <c r="F12" s="22"/>
      <c r="G12" s="22"/>
      <c r="H12" s="22"/>
      <c r="I12" s="22"/>
      <c r="J12" s="22"/>
      <c r="K12" s="22"/>
    </row>
    <row r="13" spans="1:11">
      <c r="A13" s="22"/>
      <c r="B13" s="22" t="s">
        <v>46</v>
      </c>
      <c r="C13" s="22"/>
      <c r="D13" s="22"/>
      <c r="E13" s="22"/>
      <c r="F13" s="22"/>
      <c r="G13" s="22"/>
      <c r="H13" s="22"/>
      <c r="I13" s="22"/>
      <c r="J13" s="22"/>
      <c r="K13" s="22"/>
    </row>
    <row r="14" spans="1:11">
      <c r="A14" s="22">
        <v>6</v>
      </c>
      <c r="B14" s="22" t="s">
        <v>47</v>
      </c>
      <c r="C14" s="22"/>
      <c r="D14" s="22"/>
      <c r="E14" s="22"/>
      <c r="F14" s="22"/>
      <c r="G14" s="22"/>
      <c r="H14" s="22"/>
      <c r="I14" s="22"/>
      <c r="J14" s="22"/>
      <c r="K14" s="22"/>
    </row>
    <row r="15" spans="1:11">
      <c r="A15" s="22"/>
      <c r="B15" s="22" t="s">
        <v>48</v>
      </c>
      <c r="C15" s="22"/>
      <c r="D15" s="22"/>
      <c r="E15" s="22"/>
      <c r="F15" s="22"/>
      <c r="G15" s="22"/>
      <c r="H15" s="22"/>
      <c r="I15" s="22"/>
      <c r="J15" s="22"/>
      <c r="K15" s="22"/>
    </row>
    <row r="16" spans="1:11">
      <c r="A16" s="22">
        <v>7</v>
      </c>
      <c r="B16" s="22" t="s">
        <v>49</v>
      </c>
      <c r="C16" s="22"/>
      <c r="D16" s="22"/>
      <c r="E16" s="22"/>
      <c r="F16" s="22"/>
      <c r="G16" s="22"/>
      <c r="H16" s="22"/>
      <c r="I16" s="22"/>
      <c r="J16" s="22"/>
      <c r="K16" s="22"/>
    </row>
    <row r="17" spans="1:11">
      <c r="A17" s="22">
        <v>8</v>
      </c>
      <c r="B17" s="22" t="s">
        <v>50</v>
      </c>
      <c r="C17" s="22"/>
      <c r="D17" s="22"/>
      <c r="E17" s="22"/>
      <c r="F17" s="22"/>
      <c r="G17" s="22"/>
      <c r="H17" s="22"/>
      <c r="I17" s="22"/>
      <c r="J17" s="22"/>
      <c r="K17" s="22"/>
    </row>
    <row r="18" spans="1:11">
      <c r="A18" s="22">
        <v>9</v>
      </c>
      <c r="B18" s="22" t="s">
        <v>51</v>
      </c>
      <c r="C18" s="22"/>
      <c r="D18" s="22"/>
      <c r="E18" s="22"/>
      <c r="F18" s="22"/>
      <c r="G18" s="22"/>
      <c r="H18" s="22"/>
      <c r="I18" s="22"/>
      <c r="J18" s="22"/>
      <c r="K18" s="22"/>
    </row>
    <row r="19" spans="1:11">
      <c r="A19" s="22"/>
      <c r="B19" s="22" t="s">
        <v>52</v>
      </c>
      <c r="C19" s="22"/>
      <c r="D19" s="22"/>
      <c r="E19" s="22"/>
      <c r="F19" s="22"/>
      <c r="G19" s="22"/>
      <c r="H19" s="22"/>
      <c r="I19" s="22"/>
      <c r="J19" s="22"/>
      <c r="K19" s="22"/>
    </row>
    <row r="20" spans="1:11">
      <c r="A20" s="22"/>
      <c r="B20" s="22" t="s">
        <v>53</v>
      </c>
      <c r="C20" s="22"/>
      <c r="D20" s="22"/>
      <c r="E20" s="22"/>
      <c r="F20" s="22"/>
      <c r="G20" s="22"/>
      <c r="H20" s="22"/>
      <c r="I20" s="22"/>
      <c r="J20" s="22"/>
      <c r="K20" s="22"/>
    </row>
    <row r="22" spans="1:11" s="22" customFormat="1" ht="13">
      <c r="A22" s="21" t="s">
        <v>54</v>
      </c>
    </row>
    <row r="23" spans="1:11" s="22" customFormat="1" ht="13">
      <c r="A23" s="21" t="s">
        <v>31</v>
      </c>
      <c r="B23" s="21" t="s">
        <v>36</v>
      </c>
    </row>
    <row r="24" spans="1:11" s="22" customFormat="1">
      <c r="A24" s="22">
        <v>1</v>
      </c>
      <c r="B24" s="22" t="s">
        <v>69</v>
      </c>
    </row>
    <row r="25" spans="1:11" s="22" customFormat="1">
      <c r="A25" s="22">
        <v>2</v>
      </c>
      <c r="B25" s="22" t="s">
        <v>62</v>
      </c>
    </row>
    <row r="26" spans="1:11" s="22" customFormat="1">
      <c r="A26" s="22">
        <v>3</v>
      </c>
      <c r="B26" s="22" t="s">
        <v>70</v>
      </c>
    </row>
    <row r="27" spans="1:11" s="22" customFormat="1">
      <c r="B27" s="22" t="s">
        <v>71</v>
      </c>
    </row>
    <row r="28" spans="1:11" s="22" customFormat="1">
      <c r="B28" s="22" t="s">
        <v>72</v>
      </c>
    </row>
    <row r="29" spans="1:11" s="22" customFormat="1">
      <c r="B29" s="22" t="s">
        <v>55</v>
      </c>
    </row>
    <row r="30" spans="1:11" s="22" customFormat="1">
      <c r="B30" s="22" t="s">
        <v>56</v>
      </c>
    </row>
    <row r="31" spans="1:11" s="22" customFormat="1">
      <c r="A31" s="22">
        <v>4</v>
      </c>
      <c r="B31" s="22" t="s">
        <v>73</v>
      </c>
    </row>
    <row r="32" spans="1:11" s="22" customFormat="1">
      <c r="B32" s="22" t="s">
        <v>74</v>
      </c>
    </row>
    <row r="33" spans="1:2" s="22" customFormat="1">
      <c r="B33" s="22" t="s">
        <v>75</v>
      </c>
    </row>
    <row r="34" spans="1:2">
      <c r="B34" s="23" t="s">
        <v>76</v>
      </c>
    </row>
    <row r="35" spans="1:2">
      <c r="A35" s="23">
        <v>5</v>
      </c>
      <c r="B35" s="23" t="s">
        <v>77</v>
      </c>
    </row>
    <row r="36" spans="1:2">
      <c r="B36" s="23" t="s">
        <v>57</v>
      </c>
    </row>
    <row r="37" spans="1:2">
      <c r="B37" s="23" t="s">
        <v>58</v>
      </c>
    </row>
    <row r="38" spans="1:2">
      <c r="A38" s="23">
        <v>6</v>
      </c>
      <c r="B38" s="23" t="s">
        <v>78</v>
      </c>
    </row>
    <row r="39" spans="1:2">
      <c r="A39" s="23">
        <v>9</v>
      </c>
      <c r="B39" s="23" t="s">
        <v>59</v>
      </c>
    </row>
    <row r="40" spans="1:2">
      <c r="B40" s="23" t="s">
        <v>60</v>
      </c>
    </row>
  </sheetData>
  <pageMargins left="0.7" right="0.7" top="0.75" bottom="0.75" header="0.3" footer="0.3"/>
  <pageSetup scale="93" fitToHeight="0"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8F50F-126C-47E4-91FE-6AF2AB189A05}">
  <dimension ref="A1:I1302"/>
  <sheetViews>
    <sheetView topLeftCell="A1131" workbookViewId="0">
      <selection activeCell="I1162" sqref="I1162"/>
    </sheetView>
  </sheetViews>
  <sheetFormatPr defaultRowHeight="14.5"/>
  <cols>
    <col min="1" max="16384" width="8.7265625" style="119"/>
  </cols>
  <sheetData>
    <row r="1" spans="1:9">
      <c r="A1" s="148" t="s">
        <v>152</v>
      </c>
    </row>
    <row r="3" spans="1:9">
      <c r="A3" s="119" t="s">
        <v>109</v>
      </c>
      <c r="B3" s="119" t="s">
        <v>110</v>
      </c>
      <c r="C3" s="119" t="s">
        <v>16</v>
      </c>
      <c r="D3" s="119" t="s">
        <v>111</v>
      </c>
      <c r="E3" s="119" t="s">
        <v>112</v>
      </c>
      <c r="F3" s="119" t="s">
        <v>113</v>
      </c>
      <c r="G3" s="119" t="s">
        <v>114</v>
      </c>
      <c r="H3" s="119" t="s">
        <v>115</v>
      </c>
      <c r="I3" s="119" t="s">
        <v>0</v>
      </c>
    </row>
    <row r="4" spans="1:9">
      <c r="A4" s="119">
        <v>1</v>
      </c>
      <c r="B4" s="119" t="s">
        <v>139</v>
      </c>
      <c r="C4" s="119" t="s">
        <v>153</v>
      </c>
      <c r="D4" s="119" t="s">
        <v>154</v>
      </c>
      <c r="E4" s="119">
        <v>300</v>
      </c>
      <c r="F4" s="119" t="s">
        <v>133</v>
      </c>
      <c r="G4" s="119">
        <v>8</v>
      </c>
    </row>
    <row r="5" spans="1:9">
      <c r="A5" s="119">
        <v>2</v>
      </c>
      <c r="B5" s="119" t="s">
        <v>139</v>
      </c>
      <c r="C5" s="119" t="s">
        <v>153</v>
      </c>
      <c r="D5" s="119" t="s">
        <v>154</v>
      </c>
      <c r="E5" s="119">
        <v>200</v>
      </c>
      <c r="F5" s="119" t="s">
        <v>117</v>
      </c>
      <c r="G5" s="119">
        <v>8</v>
      </c>
      <c r="I5" s="119" t="s">
        <v>120</v>
      </c>
    </row>
    <row r="6" spans="1:9">
      <c r="A6" s="119">
        <v>4</v>
      </c>
      <c r="B6" s="119" t="s">
        <v>139</v>
      </c>
      <c r="C6" s="119" t="s">
        <v>153</v>
      </c>
      <c r="D6" s="119" t="s">
        <v>154</v>
      </c>
      <c r="E6" s="119">
        <v>150</v>
      </c>
      <c r="F6" s="119" t="s">
        <v>119</v>
      </c>
      <c r="G6" s="119">
        <v>8</v>
      </c>
    </row>
    <row r="7" spans="1:9">
      <c r="A7" s="119">
        <v>5</v>
      </c>
      <c r="B7" s="119" t="s">
        <v>139</v>
      </c>
      <c r="C7" s="119" t="s">
        <v>153</v>
      </c>
      <c r="D7" s="119" t="s">
        <v>154</v>
      </c>
      <c r="E7" s="119">
        <v>125</v>
      </c>
      <c r="F7" s="119" t="s">
        <v>121</v>
      </c>
      <c r="G7" s="119">
        <v>8</v>
      </c>
    </row>
    <row r="8" spans="1:9">
      <c r="A8" s="119">
        <v>6</v>
      </c>
      <c r="B8" s="119" t="s">
        <v>139</v>
      </c>
      <c r="C8" s="119" t="s">
        <v>153</v>
      </c>
      <c r="D8" s="119" t="s">
        <v>154</v>
      </c>
      <c r="E8" s="119">
        <v>100</v>
      </c>
      <c r="F8" s="119" t="s">
        <v>122</v>
      </c>
      <c r="G8" s="119">
        <v>8</v>
      </c>
    </row>
    <row r="9" spans="1:9">
      <c r="A9" s="119">
        <v>9</v>
      </c>
      <c r="B9" s="119" t="s">
        <v>139</v>
      </c>
      <c r="C9" s="119" t="s">
        <v>153</v>
      </c>
      <c r="D9" s="119" t="s">
        <v>154</v>
      </c>
      <c r="E9" s="119">
        <v>75</v>
      </c>
      <c r="F9" s="119" t="s">
        <v>125</v>
      </c>
      <c r="G9" s="119">
        <v>8</v>
      </c>
    </row>
    <row r="10" spans="1:9">
      <c r="A10" s="119">
        <v>12</v>
      </c>
      <c r="B10" s="119" t="s">
        <v>139</v>
      </c>
      <c r="C10" s="119" t="s">
        <v>153</v>
      </c>
      <c r="D10" s="119" t="s">
        <v>154</v>
      </c>
      <c r="E10" s="119">
        <v>50</v>
      </c>
      <c r="F10" s="119" t="s">
        <v>127</v>
      </c>
      <c r="G10" s="119">
        <v>8</v>
      </c>
    </row>
    <row r="11" spans="1:9">
      <c r="A11" s="119">
        <v>14</v>
      </c>
      <c r="B11" s="119" t="s">
        <v>139</v>
      </c>
      <c r="C11" s="119" t="s">
        <v>153</v>
      </c>
      <c r="D11" s="119" t="s">
        <v>154</v>
      </c>
      <c r="E11" s="119">
        <v>25</v>
      </c>
      <c r="F11" s="119" t="s">
        <v>129</v>
      </c>
      <c r="G11" s="119">
        <v>8</v>
      </c>
    </row>
    <row r="12" spans="1:9">
      <c r="A12" s="119">
        <v>20</v>
      </c>
      <c r="B12" s="119" t="s">
        <v>139</v>
      </c>
      <c r="C12" s="119" t="s">
        <v>153</v>
      </c>
      <c r="D12" s="119" t="s">
        <v>154</v>
      </c>
      <c r="E12" s="119">
        <v>5</v>
      </c>
      <c r="F12" s="119" t="s">
        <v>142</v>
      </c>
      <c r="G12" s="119">
        <v>8</v>
      </c>
    </row>
    <row r="13" spans="1:9">
      <c r="A13" s="119">
        <v>4</v>
      </c>
      <c r="B13" s="119" t="s">
        <v>136</v>
      </c>
      <c r="C13" s="119" t="s">
        <v>153</v>
      </c>
      <c r="D13" s="119" t="s">
        <v>154</v>
      </c>
      <c r="E13" s="119">
        <v>150</v>
      </c>
      <c r="F13" s="119" t="s">
        <v>119</v>
      </c>
      <c r="G13" s="119">
        <v>8</v>
      </c>
      <c r="I13" s="119" t="s">
        <v>120</v>
      </c>
    </row>
    <row r="14" spans="1:9">
      <c r="A14" s="119">
        <v>6</v>
      </c>
      <c r="B14" s="119" t="s">
        <v>136</v>
      </c>
      <c r="C14" s="119" t="s">
        <v>153</v>
      </c>
      <c r="D14" s="119" t="s">
        <v>154</v>
      </c>
      <c r="E14" s="119">
        <v>100</v>
      </c>
      <c r="F14" s="119" t="s">
        <v>122</v>
      </c>
      <c r="G14" s="119">
        <v>8</v>
      </c>
      <c r="I14" s="119" t="s">
        <v>120</v>
      </c>
    </row>
    <row r="15" spans="1:9">
      <c r="A15" s="119">
        <v>9</v>
      </c>
      <c r="B15" s="119" t="s">
        <v>136</v>
      </c>
      <c r="C15" s="119" t="s">
        <v>153</v>
      </c>
      <c r="D15" s="119" t="s">
        <v>154</v>
      </c>
      <c r="E15" s="119">
        <v>75</v>
      </c>
      <c r="F15" s="119" t="s">
        <v>125</v>
      </c>
      <c r="G15" s="119">
        <v>8</v>
      </c>
      <c r="I15" s="119" t="s">
        <v>120</v>
      </c>
    </row>
    <row r="16" spans="1:9">
      <c r="A16" s="119">
        <v>12</v>
      </c>
      <c r="B16" s="119" t="s">
        <v>136</v>
      </c>
      <c r="C16" s="119" t="s">
        <v>153</v>
      </c>
      <c r="D16" s="119" t="s">
        <v>154</v>
      </c>
      <c r="E16" s="119">
        <v>50</v>
      </c>
      <c r="F16" s="119" t="s">
        <v>127</v>
      </c>
      <c r="G16" s="119">
        <v>8</v>
      </c>
      <c r="I16" s="119" t="s">
        <v>120</v>
      </c>
    </row>
    <row r="17" spans="1:9">
      <c r="A17" s="119">
        <v>14</v>
      </c>
      <c r="B17" s="119" t="s">
        <v>136</v>
      </c>
      <c r="C17" s="119" t="s">
        <v>153</v>
      </c>
      <c r="D17" s="119" t="s">
        <v>154</v>
      </c>
      <c r="E17" s="119">
        <v>25</v>
      </c>
      <c r="F17" s="119" t="s">
        <v>129</v>
      </c>
      <c r="G17" s="119">
        <v>8</v>
      </c>
      <c r="I17" s="119" t="s">
        <v>120</v>
      </c>
    </row>
    <row r="18" spans="1:9">
      <c r="A18" s="119">
        <v>20</v>
      </c>
      <c r="B18" s="119" t="s">
        <v>136</v>
      </c>
      <c r="C18" s="119" t="s">
        <v>153</v>
      </c>
      <c r="D18" s="119" t="s">
        <v>154</v>
      </c>
      <c r="E18" s="119">
        <v>5</v>
      </c>
      <c r="F18" s="119" t="s">
        <v>142</v>
      </c>
      <c r="G18" s="119">
        <v>8</v>
      </c>
      <c r="I18" s="119" t="s">
        <v>120</v>
      </c>
    </row>
    <row r="19" spans="1:9">
      <c r="A19" s="119">
        <v>12</v>
      </c>
      <c r="B19" s="119" t="s">
        <v>137</v>
      </c>
      <c r="C19" s="119" t="s">
        <v>153</v>
      </c>
      <c r="D19" s="119" t="s">
        <v>154</v>
      </c>
      <c r="E19" s="119">
        <v>50</v>
      </c>
      <c r="F19" s="119" t="s">
        <v>127</v>
      </c>
      <c r="G19" s="119">
        <v>8</v>
      </c>
      <c r="I19" s="119" t="s">
        <v>120</v>
      </c>
    </row>
    <row r="20" spans="1:9">
      <c r="A20" s="119">
        <v>14</v>
      </c>
      <c r="B20" s="119" t="s">
        <v>137</v>
      </c>
      <c r="C20" s="119" t="s">
        <v>153</v>
      </c>
      <c r="D20" s="119" t="s">
        <v>154</v>
      </c>
      <c r="E20" s="119">
        <v>25</v>
      </c>
      <c r="F20" s="119" t="s">
        <v>129</v>
      </c>
      <c r="G20" s="119">
        <v>8</v>
      </c>
      <c r="I20" s="119" t="s">
        <v>120</v>
      </c>
    </row>
    <row r="21" spans="1:9">
      <c r="A21" s="119">
        <v>20</v>
      </c>
      <c r="B21" s="119" t="s">
        <v>137</v>
      </c>
      <c r="C21" s="119" t="s">
        <v>153</v>
      </c>
      <c r="D21" s="119" t="s">
        <v>154</v>
      </c>
      <c r="E21" s="119">
        <v>5</v>
      </c>
      <c r="F21" s="119" t="s">
        <v>142</v>
      </c>
      <c r="G21" s="119">
        <v>8</v>
      </c>
      <c r="I21" s="119" t="s">
        <v>120</v>
      </c>
    </row>
    <row r="22" spans="1:9">
      <c r="A22" s="119">
        <v>17</v>
      </c>
      <c r="B22" s="119" t="s">
        <v>155</v>
      </c>
      <c r="C22" s="119" t="s">
        <v>153</v>
      </c>
      <c r="D22" s="119" t="s">
        <v>154</v>
      </c>
      <c r="E22" s="119">
        <v>5</v>
      </c>
      <c r="F22" s="119" t="s">
        <v>132</v>
      </c>
      <c r="G22" s="119">
        <v>8</v>
      </c>
      <c r="I22" s="119" t="s">
        <v>120</v>
      </c>
    </row>
    <row r="23" spans="1:9">
      <c r="A23" s="119">
        <v>20</v>
      </c>
      <c r="B23" s="119" t="s">
        <v>156</v>
      </c>
      <c r="C23" s="119" t="s">
        <v>153</v>
      </c>
      <c r="D23" s="119" t="s">
        <v>154</v>
      </c>
      <c r="E23" s="119">
        <v>5</v>
      </c>
      <c r="F23" s="119" t="s">
        <v>142</v>
      </c>
      <c r="G23" s="119">
        <v>8</v>
      </c>
      <c r="I23" s="119" t="s">
        <v>120</v>
      </c>
    </row>
    <row r="24" spans="1:9">
      <c r="A24" s="119">
        <v>19</v>
      </c>
      <c r="B24" s="119" t="s">
        <v>157</v>
      </c>
      <c r="C24" s="119" t="s">
        <v>153</v>
      </c>
      <c r="D24" s="119" t="s">
        <v>154</v>
      </c>
      <c r="E24" s="119">
        <v>5</v>
      </c>
      <c r="F24" s="119" t="s">
        <v>138</v>
      </c>
      <c r="G24" s="119">
        <v>8</v>
      </c>
      <c r="I24" s="119" t="s">
        <v>120</v>
      </c>
    </row>
    <row r="25" spans="1:9">
      <c r="A25" s="119">
        <v>18</v>
      </c>
      <c r="B25" s="119" t="s">
        <v>158</v>
      </c>
      <c r="C25" s="119" t="s">
        <v>153</v>
      </c>
      <c r="D25" s="119" t="s">
        <v>154</v>
      </c>
      <c r="E25" s="119">
        <v>5</v>
      </c>
      <c r="F25" s="119" t="s">
        <v>135</v>
      </c>
      <c r="G25" s="119">
        <v>8</v>
      </c>
    </row>
    <row r="26" spans="1:9">
      <c r="A26" s="119">
        <v>3</v>
      </c>
      <c r="B26" s="119" t="s">
        <v>159</v>
      </c>
      <c r="C26" s="119" t="s">
        <v>153</v>
      </c>
      <c r="D26" s="119" t="s">
        <v>154</v>
      </c>
      <c r="E26" s="119">
        <v>150</v>
      </c>
      <c r="F26" s="119" t="s">
        <v>118</v>
      </c>
      <c r="G26" s="119">
        <v>8</v>
      </c>
      <c r="I26" s="119" t="s">
        <v>120</v>
      </c>
    </row>
    <row r="27" spans="1:9">
      <c r="A27" s="119">
        <v>7</v>
      </c>
      <c r="B27" s="119" t="s">
        <v>159</v>
      </c>
      <c r="C27" s="119" t="s">
        <v>153</v>
      </c>
      <c r="D27" s="119" t="s">
        <v>154</v>
      </c>
      <c r="E27" s="119">
        <v>100</v>
      </c>
      <c r="F27" s="119" t="s">
        <v>123</v>
      </c>
      <c r="G27" s="119">
        <v>8</v>
      </c>
      <c r="I27" s="119" t="s">
        <v>120</v>
      </c>
    </row>
    <row r="28" spans="1:9">
      <c r="A28" s="119">
        <v>11</v>
      </c>
      <c r="B28" s="119" t="s">
        <v>159</v>
      </c>
      <c r="C28" s="119" t="s">
        <v>153</v>
      </c>
      <c r="D28" s="119" t="s">
        <v>154</v>
      </c>
      <c r="E28" s="119">
        <v>50</v>
      </c>
      <c r="F28" s="119" t="s">
        <v>126</v>
      </c>
      <c r="G28" s="119">
        <v>8</v>
      </c>
      <c r="I28" s="119" t="s">
        <v>120</v>
      </c>
    </row>
    <row r="29" spans="1:9">
      <c r="A29" s="119">
        <v>15</v>
      </c>
      <c r="B29" s="119" t="s">
        <v>159</v>
      </c>
      <c r="C29" s="119" t="s">
        <v>153</v>
      </c>
      <c r="D29" s="119" t="s">
        <v>154</v>
      </c>
      <c r="E29" s="119">
        <v>25</v>
      </c>
      <c r="F29" s="119" t="s">
        <v>130</v>
      </c>
      <c r="G29" s="119">
        <v>8</v>
      </c>
      <c r="I29" s="119" t="s">
        <v>120</v>
      </c>
    </row>
    <row r="30" spans="1:9">
      <c r="A30" s="119">
        <v>19</v>
      </c>
      <c r="B30" s="119" t="s">
        <v>159</v>
      </c>
      <c r="C30" s="119" t="s">
        <v>153</v>
      </c>
      <c r="D30" s="119" t="s">
        <v>154</v>
      </c>
      <c r="E30" s="119">
        <v>5</v>
      </c>
      <c r="F30" s="119" t="s">
        <v>138</v>
      </c>
      <c r="G30" s="119">
        <v>8</v>
      </c>
      <c r="I30" s="119" t="s">
        <v>120</v>
      </c>
    </row>
    <row r="31" spans="1:9">
      <c r="A31" s="119">
        <v>8</v>
      </c>
      <c r="B31" s="119" t="s">
        <v>160</v>
      </c>
      <c r="C31" s="119" t="s">
        <v>153</v>
      </c>
      <c r="D31" s="119" t="s">
        <v>154</v>
      </c>
      <c r="E31" s="119">
        <v>100</v>
      </c>
      <c r="F31" s="119" t="s">
        <v>124</v>
      </c>
      <c r="G31" s="119">
        <v>8</v>
      </c>
      <c r="I31" s="119" t="s">
        <v>120</v>
      </c>
    </row>
    <row r="32" spans="1:9">
      <c r="A32" s="119">
        <v>10</v>
      </c>
      <c r="B32" s="119" t="s">
        <v>160</v>
      </c>
      <c r="C32" s="119" t="s">
        <v>153</v>
      </c>
      <c r="D32" s="119" t="s">
        <v>154</v>
      </c>
      <c r="E32" s="119">
        <v>50</v>
      </c>
      <c r="F32" s="119" t="s">
        <v>134</v>
      </c>
      <c r="G32" s="119">
        <v>8</v>
      </c>
      <c r="I32" s="119" t="s">
        <v>120</v>
      </c>
    </row>
    <row r="33" spans="1:9">
      <c r="A33" s="119">
        <v>13</v>
      </c>
      <c r="B33" s="119" t="s">
        <v>160</v>
      </c>
      <c r="C33" s="119" t="s">
        <v>153</v>
      </c>
      <c r="D33" s="119" t="s">
        <v>154</v>
      </c>
      <c r="E33" s="119">
        <v>25</v>
      </c>
      <c r="F33" s="119" t="s">
        <v>128</v>
      </c>
      <c r="G33" s="119">
        <v>8</v>
      </c>
      <c r="I33" s="119" t="s">
        <v>120</v>
      </c>
    </row>
    <row r="34" spans="1:9">
      <c r="A34" s="119">
        <v>16</v>
      </c>
      <c r="B34" s="119" t="s">
        <v>160</v>
      </c>
      <c r="C34" s="119" t="s">
        <v>153</v>
      </c>
      <c r="D34" s="119" t="s">
        <v>154</v>
      </c>
      <c r="E34" s="119">
        <v>5</v>
      </c>
      <c r="F34" s="119" t="s">
        <v>131</v>
      </c>
      <c r="G34" s="119">
        <v>8</v>
      </c>
      <c r="I34" s="119" t="s">
        <v>120</v>
      </c>
    </row>
    <row r="35" spans="1:9">
      <c r="A35" s="119">
        <v>21</v>
      </c>
      <c r="B35" s="119" t="s">
        <v>139</v>
      </c>
      <c r="C35" s="119" t="s">
        <v>161</v>
      </c>
      <c r="D35" s="119" t="s">
        <v>154</v>
      </c>
      <c r="E35" s="119">
        <v>300</v>
      </c>
      <c r="F35" s="119" t="s">
        <v>133</v>
      </c>
      <c r="G35" s="119">
        <v>12</v>
      </c>
    </row>
    <row r="36" spans="1:9">
      <c r="A36" s="119">
        <v>22</v>
      </c>
      <c r="B36" s="119" t="s">
        <v>139</v>
      </c>
      <c r="C36" s="119" t="s">
        <v>161</v>
      </c>
      <c r="D36" s="119" t="s">
        <v>154</v>
      </c>
      <c r="E36" s="119">
        <v>200</v>
      </c>
      <c r="F36" s="119" t="s">
        <v>117</v>
      </c>
      <c r="G36" s="119">
        <v>12</v>
      </c>
    </row>
    <row r="37" spans="1:9">
      <c r="A37" s="119">
        <v>24</v>
      </c>
      <c r="B37" s="119" t="s">
        <v>139</v>
      </c>
      <c r="C37" s="119" t="s">
        <v>161</v>
      </c>
      <c r="D37" s="119" t="s">
        <v>154</v>
      </c>
      <c r="E37" s="119">
        <v>150</v>
      </c>
      <c r="F37" s="119" t="s">
        <v>119</v>
      </c>
      <c r="G37" s="119">
        <v>12</v>
      </c>
    </row>
    <row r="38" spans="1:9">
      <c r="A38" s="119">
        <v>25</v>
      </c>
      <c r="B38" s="119" t="s">
        <v>139</v>
      </c>
      <c r="C38" s="119" t="s">
        <v>161</v>
      </c>
      <c r="D38" s="119" t="s">
        <v>154</v>
      </c>
      <c r="E38" s="119">
        <v>125</v>
      </c>
      <c r="F38" s="119" t="s">
        <v>121</v>
      </c>
      <c r="G38" s="119">
        <v>12</v>
      </c>
    </row>
    <row r="39" spans="1:9">
      <c r="A39" s="119">
        <v>28</v>
      </c>
      <c r="B39" s="119" t="s">
        <v>139</v>
      </c>
      <c r="C39" s="119" t="s">
        <v>161</v>
      </c>
      <c r="D39" s="119" t="s">
        <v>154</v>
      </c>
      <c r="E39" s="119">
        <v>100</v>
      </c>
      <c r="F39" s="119" t="s">
        <v>124</v>
      </c>
      <c r="G39" s="119">
        <v>12</v>
      </c>
    </row>
    <row r="40" spans="1:9">
      <c r="A40" s="119">
        <v>29</v>
      </c>
      <c r="B40" s="119" t="s">
        <v>139</v>
      </c>
      <c r="C40" s="119" t="s">
        <v>161</v>
      </c>
      <c r="D40" s="119" t="s">
        <v>154</v>
      </c>
      <c r="E40" s="119">
        <v>75</v>
      </c>
      <c r="F40" s="119" t="s">
        <v>125</v>
      </c>
      <c r="G40" s="119">
        <v>12</v>
      </c>
    </row>
    <row r="41" spans="1:9">
      <c r="A41" s="119">
        <v>32</v>
      </c>
      <c r="B41" s="119" t="s">
        <v>139</v>
      </c>
      <c r="C41" s="119" t="s">
        <v>161</v>
      </c>
      <c r="D41" s="119" t="s">
        <v>154</v>
      </c>
      <c r="E41" s="119">
        <v>50</v>
      </c>
      <c r="F41" s="119" t="s">
        <v>127</v>
      </c>
      <c r="G41" s="119">
        <v>12</v>
      </c>
    </row>
    <row r="42" spans="1:9">
      <c r="A42" s="119">
        <v>34</v>
      </c>
      <c r="B42" s="119" t="s">
        <v>139</v>
      </c>
      <c r="C42" s="119" t="s">
        <v>161</v>
      </c>
      <c r="D42" s="119" t="s">
        <v>154</v>
      </c>
      <c r="E42" s="119">
        <v>25</v>
      </c>
      <c r="F42" s="119" t="s">
        <v>129</v>
      </c>
      <c r="G42" s="119">
        <v>12</v>
      </c>
      <c r="I42" s="119" t="s">
        <v>120</v>
      </c>
    </row>
    <row r="43" spans="1:9">
      <c r="A43" s="119">
        <v>40</v>
      </c>
      <c r="B43" s="119" t="s">
        <v>139</v>
      </c>
      <c r="C43" s="119" t="s">
        <v>161</v>
      </c>
      <c r="D43" s="119" t="s">
        <v>154</v>
      </c>
      <c r="E43" s="119">
        <v>5</v>
      </c>
      <c r="F43" s="119" t="s">
        <v>142</v>
      </c>
      <c r="G43" s="119">
        <v>12</v>
      </c>
    </row>
    <row r="44" spans="1:9">
      <c r="A44" s="119">
        <v>24</v>
      </c>
      <c r="B44" s="119" t="s">
        <v>136</v>
      </c>
      <c r="C44" s="119" t="s">
        <v>161</v>
      </c>
      <c r="D44" s="119" t="s">
        <v>154</v>
      </c>
      <c r="E44" s="119">
        <v>150</v>
      </c>
      <c r="F44" s="119" t="s">
        <v>119</v>
      </c>
      <c r="G44" s="119">
        <v>12</v>
      </c>
      <c r="I44" s="119" t="s">
        <v>120</v>
      </c>
    </row>
    <row r="45" spans="1:9">
      <c r="A45" s="119">
        <v>28</v>
      </c>
      <c r="B45" s="119" t="s">
        <v>136</v>
      </c>
      <c r="C45" s="119" t="s">
        <v>161</v>
      </c>
      <c r="D45" s="119" t="s">
        <v>154</v>
      </c>
      <c r="E45" s="119">
        <v>100</v>
      </c>
      <c r="F45" s="119" t="s">
        <v>124</v>
      </c>
      <c r="G45" s="119">
        <v>12</v>
      </c>
      <c r="I45" s="119" t="s">
        <v>120</v>
      </c>
    </row>
    <row r="46" spans="1:9">
      <c r="A46" s="119">
        <v>29</v>
      </c>
      <c r="B46" s="119" t="s">
        <v>136</v>
      </c>
      <c r="C46" s="119" t="s">
        <v>161</v>
      </c>
      <c r="D46" s="119" t="s">
        <v>154</v>
      </c>
      <c r="E46" s="119">
        <v>75</v>
      </c>
      <c r="F46" s="119" t="s">
        <v>125</v>
      </c>
      <c r="G46" s="119">
        <v>12</v>
      </c>
      <c r="I46" s="119" t="s">
        <v>120</v>
      </c>
    </row>
    <row r="47" spans="1:9">
      <c r="A47" s="119">
        <v>32</v>
      </c>
      <c r="B47" s="119" t="s">
        <v>136</v>
      </c>
      <c r="C47" s="119" t="s">
        <v>161</v>
      </c>
      <c r="D47" s="119" t="s">
        <v>154</v>
      </c>
      <c r="E47" s="119">
        <v>50</v>
      </c>
      <c r="F47" s="119" t="s">
        <v>127</v>
      </c>
      <c r="G47" s="119">
        <v>12</v>
      </c>
      <c r="I47" s="119" t="s">
        <v>120</v>
      </c>
    </row>
    <row r="48" spans="1:9">
      <c r="A48" s="119">
        <v>34</v>
      </c>
      <c r="B48" s="119" t="s">
        <v>136</v>
      </c>
      <c r="C48" s="119" t="s">
        <v>161</v>
      </c>
      <c r="D48" s="119" t="s">
        <v>154</v>
      </c>
      <c r="E48" s="119">
        <v>25</v>
      </c>
      <c r="F48" s="119" t="s">
        <v>129</v>
      </c>
      <c r="G48" s="119">
        <v>12</v>
      </c>
      <c r="I48" s="119" t="s">
        <v>120</v>
      </c>
    </row>
    <row r="49" spans="1:9">
      <c r="A49" s="119">
        <v>40</v>
      </c>
      <c r="B49" s="119" t="s">
        <v>136</v>
      </c>
      <c r="C49" s="119" t="s">
        <v>161</v>
      </c>
      <c r="D49" s="119" t="s">
        <v>154</v>
      </c>
      <c r="E49" s="119">
        <v>5</v>
      </c>
      <c r="F49" s="119" t="s">
        <v>142</v>
      </c>
      <c r="G49" s="119">
        <v>12</v>
      </c>
      <c r="I49" s="119" t="s">
        <v>120</v>
      </c>
    </row>
    <row r="50" spans="1:9">
      <c r="A50" s="119">
        <v>32</v>
      </c>
      <c r="B50" s="119" t="s">
        <v>137</v>
      </c>
      <c r="C50" s="119" t="s">
        <v>161</v>
      </c>
      <c r="D50" s="119" t="s">
        <v>154</v>
      </c>
      <c r="E50" s="119">
        <v>50</v>
      </c>
      <c r="F50" s="119" t="s">
        <v>127</v>
      </c>
      <c r="G50" s="119">
        <v>12</v>
      </c>
      <c r="I50" s="119" t="s">
        <v>120</v>
      </c>
    </row>
    <row r="51" spans="1:9">
      <c r="A51" s="119">
        <v>34</v>
      </c>
      <c r="B51" s="119" t="s">
        <v>137</v>
      </c>
      <c r="C51" s="119" t="s">
        <v>161</v>
      </c>
      <c r="D51" s="119" t="s">
        <v>154</v>
      </c>
      <c r="E51" s="119">
        <v>25</v>
      </c>
      <c r="F51" s="119" t="s">
        <v>129</v>
      </c>
      <c r="G51" s="119">
        <v>12</v>
      </c>
      <c r="I51" s="119" t="s">
        <v>120</v>
      </c>
    </row>
    <row r="52" spans="1:9">
      <c r="A52" s="119">
        <v>40</v>
      </c>
      <c r="B52" s="119" t="s">
        <v>137</v>
      </c>
      <c r="C52" s="119" t="s">
        <v>161</v>
      </c>
      <c r="D52" s="119" t="s">
        <v>154</v>
      </c>
      <c r="E52" s="119">
        <v>5</v>
      </c>
      <c r="F52" s="119" t="s">
        <v>142</v>
      </c>
      <c r="G52" s="119">
        <v>12</v>
      </c>
      <c r="I52" s="119" t="s">
        <v>120</v>
      </c>
    </row>
    <row r="53" spans="1:9">
      <c r="A53" s="119">
        <v>36</v>
      </c>
      <c r="B53" s="119" t="s">
        <v>155</v>
      </c>
      <c r="C53" s="119" t="s">
        <v>161</v>
      </c>
      <c r="D53" s="119" t="s">
        <v>154</v>
      </c>
      <c r="E53" s="119">
        <v>5</v>
      </c>
      <c r="F53" s="119" t="s">
        <v>131</v>
      </c>
      <c r="G53" s="119">
        <v>12</v>
      </c>
      <c r="I53" s="119" t="s">
        <v>120</v>
      </c>
    </row>
    <row r="54" spans="1:9">
      <c r="A54" s="119">
        <v>40</v>
      </c>
      <c r="B54" s="119" t="s">
        <v>156</v>
      </c>
      <c r="C54" s="119" t="s">
        <v>161</v>
      </c>
      <c r="D54" s="119" t="s">
        <v>154</v>
      </c>
      <c r="E54" s="119">
        <v>5</v>
      </c>
      <c r="F54" s="119" t="s">
        <v>142</v>
      </c>
      <c r="G54" s="119">
        <v>12</v>
      </c>
      <c r="I54" s="119" t="s">
        <v>120</v>
      </c>
    </row>
    <row r="55" spans="1:9">
      <c r="A55" s="119">
        <v>39</v>
      </c>
      <c r="B55" s="119" t="s">
        <v>157</v>
      </c>
      <c r="C55" s="119" t="s">
        <v>161</v>
      </c>
      <c r="D55" s="119" t="s">
        <v>154</v>
      </c>
      <c r="E55" s="119">
        <v>5</v>
      </c>
      <c r="F55" s="119" t="s">
        <v>138</v>
      </c>
      <c r="G55" s="119">
        <v>12</v>
      </c>
      <c r="I55" s="119" t="s">
        <v>120</v>
      </c>
    </row>
    <row r="56" spans="1:9">
      <c r="A56" s="119">
        <v>38</v>
      </c>
      <c r="B56" s="119" t="s">
        <v>158</v>
      </c>
      <c r="C56" s="119" t="s">
        <v>161</v>
      </c>
      <c r="D56" s="119" t="s">
        <v>154</v>
      </c>
      <c r="E56" s="119">
        <v>5</v>
      </c>
      <c r="F56" s="119" t="s">
        <v>135</v>
      </c>
      <c r="G56" s="119">
        <v>12</v>
      </c>
    </row>
    <row r="57" spans="1:9">
      <c r="A57" s="119">
        <v>23</v>
      </c>
      <c r="B57" s="119" t="s">
        <v>159</v>
      </c>
      <c r="C57" s="119" t="s">
        <v>161</v>
      </c>
      <c r="D57" s="119" t="s">
        <v>154</v>
      </c>
      <c r="E57" s="119">
        <v>150</v>
      </c>
      <c r="F57" s="119" t="s">
        <v>118</v>
      </c>
      <c r="G57" s="119">
        <v>12</v>
      </c>
      <c r="I57" s="119" t="s">
        <v>120</v>
      </c>
    </row>
    <row r="58" spans="1:9">
      <c r="A58" s="119">
        <v>27</v>
      </c>
      <c r="B58" s="119" t="s">
        <v>159</v>
      </c>
      <c r="C58" s="119" t="s">
        <v>161</v>
      </c>
      <c r="D58" s="119" t="s">
        <v>154</v>
      </c>
      <c r="E58" s="119">
        <v>100</v>
      </c>
      <c r="F58" s="119" t="s">
        <v>123</v>
      </c>
      <c r="G58" s="119">
        <v>12</v>
      </c>
      <c r="I58" s="119" t="s">
        <v>120</v>
      </c>
    </row>
    <row r="59" spans="1:9">
      <c r="A59" s="119">
        <v>31</v>
      </c>
      <c r="B59" s="119" t="s">
        <v>159</v>
      </c>
      <c r="C59" s="119" t="s">
        <v>161</v>
      </c>
      <c r="D59" s="119" t="s">
        <v>154</v>
      </c>
      <c r="E59" s="119">
        <v>50</v>
      </c>
      <c r="F59" s="119" t="s">
        <v>126</v>
      </c>
      <c r="G59" s="119">
        <v>12</v>
      </c>
      <c r="I59" s="119" t="s">
        <v>120</v>
      </c>
    </row>
    <row r="60" spans="1:9">
      <c r="A60" s="119">
        <v>33</v>
      </c>
      <c r="B60" s="119" t="s">
        <v>159</v>
      </c>
      <c r="C60" s="119" t="s">
        <v>161</v>
      </c>
      <c r="D60" s="119" t="s">
        <v>154</v>
      </c>
      <c r="E60" s="119">
        <v>25</v>
      </c>
      <c r="F60" s="119" t="s">
        <v>128</v>
      </c>
      <c r="G60" s="119">
        <v>12</v>
      </c>
      <c r="I60" s="119" t="s">
        <v>120</v>
      </c>
    </row>
    <row r="61" spans="1:9">
      <c r="A61" s="119">
        <v>39</v>
      </c>
      <c r="B61" s="119" t="s">
        <v>159</v>
      </c>
      <c r="C61" s="119" t="s">
        <v>161</v>
      </c>
      <c r="D61" s="119" t="s">
        <v>154</v>
      </c>
      <c r="E61" s="119">
        <v>5</v>
      </c>
      <c r="F61" s="119" t="s">
        <v>138</v>
      </c>
      <c r="G61" s="119">
        <v>12</v>
      </c>
      <c r="I61" s="119" t="s">
        <v>120</v>
      </c>
    </row>
    <row r="62" spans="1:9">
      <c r="A62" s="119">
        <v>26</v>
      </c>
      <c r="B62" s="119" t="s">
        <v>160</v>
      </c>
      <c r="C62" s="119" t="s">
        <v>161</v>
      </c>
      <c r="D62" s="119" t="s">
        <v>154</v>
      </c>
      <c r="E62" s="119">
        <v>100</v>
      </c>
      <c r="F62" s="119" t="s">
        <v>122</v>
      </c>
      <c r="G62" s="119">
        <v>12</v>
      </c>
      <c r="I62" s="119" t="s">
        <v>120</v>
      </c>
    </row>
    <row r="63" spans="1:9">
      <c r="A63" s="119">
        <v>30</v>
      </c>
      <c r="B63" s="119" t="s">
        <v>160</v>
      </c>
      <c r="C63" s="119" t="s">
        <v>161</v>
      </c>
      <c r="D63" s="119" t="s">
        <v>154</v>
      </c>
      <c r="E63" s="119">
        <v>50</v>
      </c>
      <c r="F63" s="119" t="s">
        <v>134</v>
      </c>
      <c r="G63" s="119">
        <v>12</v>
      </c>
      <c r="I63" s="119" t="s">
        <v>120</v>
      </c>
    </row>
    <row r="64" spans="1:9">
      <c r="A64" s="119">
        <v>35</v>
      </c>
      <c r="B64" s="119" t="s">
        <v>160</v>
      </c>
      <c r="C64" s="119" t="s">
        <v>161</v>
      </c>
      <c r="D64" s="119" t="s">
        <v>154</v>
      </c>
      <c r="E64" s="119">
        <v>25</v>
      </c>
      <c r="F64" s="119" t="s">
        <v>130</v>
      </c>
      <c r="G64" s="119">
        <v>12</v>
      </c>
      <c r="I64" s="119" t="s">
        <v>120</v>
      </c>
    </row>
    <row r="65" spans="1:9">
      <c r="A65" s="119">
        <v>37</v>
      </c>
      <c r="B65" s="119" t="s">
        <v>160</v>
      </c>
      <c r="C65" s="119" t="s">
        <v>161</v>
      </c>
      <c r="D65" s="119" t="s">
        <v>154</v>
      </c>
      <c r="E65" s="119">
        <v>5</v>
      </c>
      <c r="F65" s="119" t="s">
        <v>132</v>
      </c>
      <c r="G65" s="119">
        <v>12</v>
      </c>
      <c r="I65" s="119" t="s">
        <v>120</v>
      </c>
    </row>
    <row r="66" spans="1:9">
      <c r="A66" s="119">
        <v>41</v>
      </c>
      <c r="B66" s="119" t="s">
        <v>139</v>
      </c>
      <c r="C66" s="119" t="s">
        <v>162</v>
      </c>
      <c r="D66" s="119" t="s">
        <v>154</v>
      </c>
      <c r="E66" s="119">
        <v>300</v>
      </c>
      <c r="F66" s="119" t="s">
        <v>133</v>
      </c>
      <c r="G66" s="119">
        <v>16</v>
      </c>
    </row>
    <row r="67" spans="1:9">
      <c r="A67" s="119">
        <v>42</v>
      </c>
      <c r="B67" s="119" t="s">
        <v>139</v>
      </c>
      <c r="C67" s="119" t="s">
        <v>162</v>
      </c>
      <c r="D67" s="119" t="s">
        <v>154</v>
      </c>
      <c r="E67" s="119">
        <v>200</v>
      </c>
      <c r="F67" s="119" t="s">
        <v>117</v>
      </c>
      <c r="G67" s="119">
        <v>16</v>
      </c>
    </row>
    <row r="68" spans="1:9">
      <c r="A68" s="119">
        <v>44</v>
      </c>
      <c r="B68" s="119" t="s">
        <v>139</v>
      </c>
      <c r="C68" s="119" t="s">
        <v>162</v>
      </c>
      <c r="D68" s="119" t="s">
        <v>154</v>
      </c>
      <c r="E68" s="119">
        <v>150</v>
      </c>
      <c r="F68" s="119" t="s">
        <v>119</v>
      </c>
      <c r="G68" s="119">
        <v>16</v>
      </c>
      <c r="I68" s="119" t="s">
        <v>120</v>
      </c>
    </row>
    <row r="69" spans="1:9">
      <c r="A69" s="119">
        <v>45</v>
      </c>
      <c r="B69" s="119" t="s">
        <v>139</v>
      </c>
      <c r="C69" s="119" t="s">
        <v>162</v>
      </c>
      <c r="D69" s="119" t="s">
        <v>154</v>
      </c>
      <c r="E69" s="119">
        <v>125</v>
      </c>
      <c r="F69" s="119" t="s">
        <v>121</v>
      </c>
      <c r="G69" s="119">
        <v>16</v>
      </c>
    </row>
    <row r="70" spans="1:9">
      <c r="A70" s="119">
        <v>48</v>
      </c>
      <c r="B70" s="119" t="s">
        <v>139</v>
      </c>
      <c r="C70" s="119" t="s">
        <v>162</v>
      </c>
      <c r="D70" s="119" t="s">
        <v>154</v>
      </c>
      <c r="E70" s="119">
        <v>100</v>
      </c>
      <c r="F70" s="119" t="s">
        <v>124</v>
      </c>
      <c r="G70" s="119">
        <v>16</v>
      </c>
    </row>
    <row r="71" spans="1:9">
      <c r="A71" s="119">
        <v>49</v>
      </c>
      <c r="B71" s="119" t="s">
        <v>139</v>
      </c>
      <c r="C71" s="119" t="s">
        <v>162</v>
      </c>
      <c r="D71" s="119" t="s">
        <v>154</v>
      </c>
      <c r="E71" s="119">
        <v>75</v>
      </c>
      <c r="F71" s="119" t="s">
        <v>125</v>
      </c>
      <c r="G71" s="119">
        <v>16</v>
      </c>
    </row>
    <row r="72" spans="1:9">
      <c r="A72" s="119">
        <v>52</v>
      </c>
      <c r="B72" s="119" t="s">
        <v>139</v>
      </c>
      <c r="C72" s="119" t="s">
        <v>162</v>
      </c>
      <c r="D72" s="119" t="s">
        <v>154</v>
      </c>
      <c r="E72" s="119">
        <v>50</v>
      </c>
      <c r="F72" s="119" t="s">
        <v>127</v>
      </c>
      <c r="G72" s="119">
        <v>16</v>
      </c>
    </row>
    <row r="73" spans="1:9">
      <c r="A73" s="119">
        <v>54</v>
      </c>
      <c r="B73" s="119" t="s">
        <v>139</v>
      </c>
      <c r="C73" s="119" t="s">
        <v>162</v>
      </c>
      <c r="D73" s="119" t="s">
        <v>154</v>
      </c>
      <c r="E73" s="119">
        <v>25</v>
      </c>
      <c r="F73" s="119" t="s">
        <v>129</v>
      </c>
      <c r="G73" s="119">
        <v>16</v>
      </c>
    </row>
    <row r="74" spans="1:9">
      <c r="A74" s="119">
        <v>60</v>
      </c>
      <c r="B74" s="119" t="s">
        <v>139</v>
      </c>
      <c r="C74" s="119" t="s">
        <v>162</v>
      </c>
      <c r="D74" s="119" t="s">
        <v>154</v>
      </c>
      <c r="E74" s="119">
        <v>5</v>
      </c>
      <c r="F74" s="119" t="s">
        <v>142</v>
      </c>
      <c r="G74" s="119">
        <v>16</v>
      </c>
    </row>
    <row r="75" spans="1:9">
      <c r="A75" s="119">
        <v>44</v>
      </c>
      <c r="B75" s="119" t="s">
        <v>136</v>
      </c>
      <c r="C75" s="119" t="s">
        <v>162</v>
      </c>
      <c r="D75" s="119" t="s">
        <v>154</v>
      </c>
      <c r="E75" s="119">
        <v>150</v>
      </c>
      <c r="F75" s="119" t="s">
        <v>119</v>
      </c>
      <c r="G75" s="119">
        <v>16</v>
      </c>
      <c r="I75" s="119" t="s">
        <v>120</v>
      </c>
    </row>
    <row r="76" spans="1:9">
      <c r="A76" s="119">
        <v>48</v>
      </c>
      <c r="B76" s="119" t="s">
        <v>136</v>
      </c>
      <c r="C76" s="119" t="s">
        <v>162</v>
      </c>
      <c r="D76" s="119" t="s">
        <v>154</v>
      </c>
      <c r="E76" s="119">
        <v>100</v>
      </c>
      <c r="F76" s="119" t="s">
        <v>124</v>
      </c>
      <c r="G76" s="119">
        <v>16</v>
      </c>
      <c r="I76" s="119" t="s">
        <v>120</v>
      </c>
    </row>
    <row r="77" spans="1:9">
      <c r="A77" s="119">
        <v>49</v>
      </c>
      <c r="B77" s="119" t="s">
        <v>136</v>
      </c>
      <c r="C77" s="119" t="s">
        <v>162</v>
      </c>
      <c r="D77" s="119" t="s">
        <v>154</v>
      </c>
      <c r="E77" s="119">
        <v>75</v>
      </c>
      <c r="F77" s="119" t="s">
        <v>125</v>
      </c>
      <c r="G77" s="119">
        <v>16</v>
      </c>
      <c r="I77" s="119" t="s">
        <v>120</v>
      </c>
    </row>
    <row r="78" spans="1:9">
      <c r="A78" s="119">
        <v>52</v>
      </c>
      <c r="B78" s="119" t="s">
        <v>136</v>
      </c>
      <c r="C78" s="119" t="s">
        <v>162</v>
      </c>
      <c r="D78" s="119" t="s">
        <v>154</v>
      </c>
      <c r="E78" s="119">
        <v>50</v>
      </c>
      <c r="F78" s="119" t="s">
        <v>127</v>
      </c>
      <c r="G78" s="119">
        <v>16</v>
      </c>
      <c r="I78" s="119" t="s">
        <v>120</v>
      </c>
    </row>
    <row r="79" spans="1:9">
      <c r="A79" s="119">
        <v>54</v>
      </c>
      <c r="B79" s="119" t="s">
        <v>136</v>
      </c>
      <c r="C79" s="119" t="s">
        <v>162</v>
      </c>
      <c r="D79" s="119" t="s">
        <v>154</v>
      </c>
      <c r="E79" s="119">
        <v>25</v>
      </c>
      <c r="F79" s="119" t="s">
        <v>129</v>
      </c>
      <c r="G79" s="119">
        <v>16</v>
      </c>
      <c r="I79" s="119" t="s">
        <v>120</v>
      </c>
    </row>
    <row r="80" spans="1:9">
      <c r="A80" s="119">
        <v>60</v>
      </c>
      <c r="B80" s="119" t="s">
        <v>136</v>
      </c>
      <c r="C80" s="119" t="s">
        <v>162</v>
      </c>
      <c r="D80" s="119" t="s">
        <v>154</v>
      </c>
      <c r="E80" s="119">
        <v>5</v>
      </c>
      <c r="F80" s="119" t="s">
        <v>142</v>
      </c>
      <c r="G80" s="119">
        <v>16</v>
      </c>
      <c r="I80" s="119" t="s">
        <v>120</v>
      </c>
    </row>
    <row r="81" spans="1:9">
      <c r="A81" s="119">
        <v>52</v>
      </c>
      <c r="B81" s="119" t="s">
        <v>137</v>
      </c>
      <c r="C81" s="119" t="s">
        <v>162</v>
      </c>
      <c r="D81" s="119" t="s">
        <v>154</v>
      </c>
      <c r="E81" s="119">
        <v>50</v>
      </c>
      <c r="F81" s="119" t="s">
        <v>127</v>
      </c>
      <c r="G81" s="119">
        <v>16</v>
      </c>
      <c r="I81" s="119" t="s">
        <v>120</v>
      </c>
    </row>
    <row r="82" spans="1:9">
      <c r="A82" s="119">
        <v>54</v>
      </c>
      <c r="B82" s="119" t="s">
        <v>137</v>
      </c>
      <c r="C82" s="119" t="s">
        <v>162</v>
      </c>
      <c r="D82" s="119" t="s">
        <v>154</v>
      </c>
      <c r="E82" s="119">
        <v>25</v>
      </c>
      <c r="F82" s="119" t="s">
        <v>129</v>
      </c>
      <c r="G82" s="119">
        <v>16</v>
      </c>
      <c r="I82" s="119" t="s">
        <v>120</v>
      </c>
    </row>
    <row r="83" spans="1:9">
      <c r="A83" s="119">
        <v>60</v>
      </c>
      <c r="B83" s="119" t="s">
        <v>137</v>
      </c>
      <c r="C83" s="119" t="s">
        <v>162</v>
      </c>
      <c r="D83" s="119" t="s">
        <v>154</v>
      </c>
      <c r="E83" s="119">
        <v>5</v>
      </c>
      <c r="F83" s="119" t="s">
        <v>142</v>
      </c>
      <c r="G83" s="119">
        <v>16</v>
      </c>
      <c r="I83" s="119" t="s">
        <v>120</v>
      </c>
    </row>
    <row r="84" spans="1:9">
      <c r="A84" s="119">
        <v>56</v>
      </c>
      <c r="B84" s="119" t="s">
        <v>155</v>
      </c>
      <c r="C84" s="119" t="s">
        <v>162</v>
      </c>
      <c r="D84" s="119" t="s">
        <v>154</v>
      </c>
      <c r="E84" s="119">
        <v>5</v>
      </c>
      <c r="F84" s="119" t="s">
        <v>131</v>
      </c>
      <c r="G84" s="119">
        <v>16</v>
      </c>
      <c r="I84" s="119" t="s">
        <v>120</v>
      </c>
    </row>
    <row r="85" spans="1:9">
      <c r="A85" s="119">
        <v>60</v>
      </c>
      <c r="B85" s="119" t="s">
        <v>156</v>
      </c>
      <c r="C85" s="119" t="s">
        <v>162</v>
      </c>
      <c r="D85" s="119" t="s">
        <v>154</v>
      </c>
      <c r="E85" s="119">
        <v>5</v>
      </c>
      <c r="F85" s="119" t="s">
        <v>142</v>
      </c>
      <c r="G85" s="119">
        <v>16</v>
      </c>
      <c r="I85" s="119" t="s">
        <v>120</v>
      </c>
    </row>
    <row r="86" spans="1:9">
      <c r="A86" s="119">
        <v>59</v>
      </c>
      <c r="B86" s="119" t="s">
        <v>157</v>
      </c>
      <c r="C86" s="119" t="s">
        <v>162</v>
      </c>
      <c r="D86" s="119" t="s">
        <v>154</v>
      </c>
      <c r="E86" s="119">
        <v>5</v>
      </c>
      <c r="F86" s="119" t="s">
        <v>138</v>
      </c>
      <c r="G86" s="119">
        <v>16</v>
      </c>
      <c r="I86" s="119" t="s">
        <v>120</v>
      </c>
    </row>
    <row r="87" spans="1:9">
      <c r="A87" s="119">
        <v>58</v>
      </c>
      <c r="B87" s="119" t="s">
        <v>158</v>
      </c>
      <c r="C87" s="119" t="s">
        <v>162</v>
      </c>
      <c r="D87" s="119" t="s">
        <v>154</v>
      </c>
      <c r="E87" s="119">
        <v>5</v>
      </c>
      <c r="F87" s="119" t="s">
        <v>135</v>
      </c>
      <c r="G87" s="119">
        <v>16</v>
      </c>
    </row>
    <row r="88" spans="1:9">
      <c r="A88" s="119">
        <v>43</v>
      </c>
      <c r="B88" s="119" t="s">
        <v>159</v>
      </c>
      <c r="C88" s="119" t="s">
        <v>162</v>
      </c>
      <c r="D88" s="119" t="s">
        <v>154</v>
      </c>
      <c r="E88" s="119">
        <v>150</v>
      </c>
      <c r="F88" s="119" t="s">
        <v>118</v>
      </c>
      <c r="G88" s="119">
        <v>16</v>
      </c>
      <c r="I88" s="119" t="s">
        <v>120</v>
      </c>
    </row>
    <row r="89" spans="1:9">
      <c r="A89" s="119">
        <v>47</v>
      </c>
      <c r="B89" s="119" t="s">
        <v>159</v>
      </c>
      <c r="C89" s="119" t="s">
        <v>162</v>
      </c>
      <c r="D89" s="119" t="s">
        <v>154</v>
      </c>
      <c r="E89" s="119">
        <v>100</v>
      </c>
      <c r="F89" s="119" t="s">
        <v>123</v>
      </c>
      <c r="G89" s="119">
        <v>16</v>
      </c>
      <c r="I89" s="119" t="s">
        <v>120</v>
      </c>
    </row>
    <row r="90" spans="1:9">
      <c r="A90" s="119">
        <v>51</v>
      </c>
      <c r="B90" s="119" t="s">
        <v>159</v>
      </c>
      <c r="C90" s="119" t="s">
        <v>162</v>
      </c>
      <c r="D90" s="119" t="s">
        <v>154</v>
      </c>
      <c r="E90" s="119">
        <v>50</v>
      </c>
      <c r="F90" s="119" t="s">
        <v>126</v>
      </c>
      <c r="G90" s="119">
        <v>16</v>
      </c>
      <c r="I90" s="119" t="s">
        <v>120</v>
      </c>
    </row>
    <row r="91" spans="1:9">
      <c r="A91" s="119">
        <v>53</v>
      </c>
      <c r="B91" s="119" t="s">
        <v>159</v>
      </c>
      <c r="C91" s="119" t="s">
        <v>162</v>
      </c>
      <c r="D91" s="119" t="s">
        <v>154</v>
      </c>
      <c r="E91" s="119">
        <v>25</v>
      </c>
      <c r="F91" s="119" t="s">
        <v>128</v>
      </c>
      <c r="G91" s="119">
        <v>16</v>
      </c>
      <c r="I91" s="119" t="s">
        <v>120</v>
      </c>
    </row>
    <row r="92" spans="1:9">
      <c r="A92" s="119">
        <v>59</v>
      </c>
      <c r="B92" s="119" t="s">
        <v>159</v>
      </c>
      <c r="C92" s="119" t="s">
        <v>162</v>
      </c>
      <c r="D92" s="119" t="s">
        <v>154</v>
      </c>
      <c r="E92" s="119">
        <v>5</v>
      </c>
      <c r="F92" s="119" t="s">
        <v>138</v>
      </c>
      <c r="G92" s="119">
        <v>16</v>
      </c>
      <c r="I92" s="119" t="s">
        <v>120</v>
      </c>
    </row>
    <row r="93" spans="1:9">
      <c r="A93" s="119">
        <v>46</v>
      </c>
      <c r="B93" s="119" t="s">
        <v>160</v>
      </c>
      <c r="C93" s="119" t="s">
        <v>162</v>
      </c>
      <c r="D93" s="119" t="s">
        <v>154</v>
      </c>
      <c r="E93" s="119">
        <v>100</v>
      </c>
      <c r="F93" s="119" t="s">
        <v>122</v>
      </c>
      <c r="G93" s="119">
        <v>16</v>
      </c>
      <c r="I93" s="119" t="s">
        <v>120</v>
      </c>
    </row>
    <row r="94" spans="1:9">
      <c r="A94" s="119">
        <v>50</v>
      </c>
      <c r="B94" s="119" t="s">
        <v>160</v>
      </c>
      <c r="C94" s="119" t="s">
        <v>162</v>
      </c>
      <c r="D94" s="119" t="s">
        <v>154</v>
      </c>
      <c r="E94" s="119">
        <v>50</v>
      </c>
      <c r="F94" s="119" t="s">
        <v>134</v>
      </c>
      <c r="G94" s="119">
        <v>16</v>
      </c>
      <c r="I94" s="119" t="s">
        <v>120</v>
      </c>
    </row>
    <row r="95" spans="1:9">
      <c r="A95" s="119">
        <v>55</v>
      </c>
      <c r="B95" s="119" t="s">
        <v>160</v>
      </c>
      <c r="C95" s="119" t="s">
        <v>162</v>
      </c>
      <c r="D95" s="119" t="s">
        <v>154</v>
      </c>
      <c r="E95" s="119">
        <v>25</v>
      </c>
      <c r="F95" s="119" t="s">
        <v>130</v>
      </c>
      <c r="G95" s="119">
        <v>16</v>
      </c>
      <c r="I95" s="119" t="s">
        <v>120</v>
      </c>
    </row>
    <row r="96" spans="1:9">
      <c r="A96" s="119">
        <v>57</v>
      </c>
      <c r="B96" s="119" t="s">
        <v>160</v>
      </c>
      <c r="C96" s="119" t="s">
        <v>162</v>
      </c>
      <c r="D96" s="119" t="s">
        <v>154</v>
      </c>
      <c r="E96" s="119">
        <v>5</v>
      </c>
      <c r="F96" s="119" t="s">
        <v>132</v>
      </c>
      <c r="G96" s="119">
        <v>16</v>
      </c>
      <c r="I96" s="119" t="s">
        <v>120</v>
      </c>
    </row>
    <row r="97" spans="1:9">
      <c r="A97" s="119">
        <v>61</v>
      </c>
      <c r="B97" s="119" t="s">
        <v>139</v>
      </c>
      <c r="C97" s="119" t="s">
        <v>163</v>
      </c>
      <c r="D97" s="119" t="s">
        <v>154</v>
      </c>
      <c r="E97" s="119">
        <v>300</v>
      </c>
      <c r="F97" s="119" t="s">
        <v>133</v>
      </c>
      <c r="G97" s="119">
        <v>20</v>
      </c>
    </row>
    <row r="98" spans="1:9">
      <c r="A98" s="119">
        <v>62</v>
      </c>
      <c r="B98" s="119" t="s">
        <v>139</v>
      </c>
      <c r="C98" s="119" t="s">
        <v>163</v>
      </c>
      <c r="D98" s="119" t="s">
        <v>154</v>
      </c>
      <c r="E98" s="119">
        <v>200</v>
      </c>
      <c r="F98" s="119" t="s">
        <v>117</v>
      </c>
      <c r="G98" s="119">
        <v>20</v>
      </c>
    </row>
    <row r="99" spans="1:9">
      <c r="A99" s="119">
        <v>64</v>
      </c>
      <c r="B99" s="119" t="s">
        <v>139</v>
      </c>
      <c r="C99" s="119" t="s">
        <v>163</v>
      </c>
      <c r="D99" s="119" t="s">
        <v>154</v>
      </c>
      <c r="E99" s="119">
        <v>150</v>
      </c>
      <c r="F99" s="119" t="s">
        <v>119</v>
      </c>
      <c r="G99" s="119">
        <v>20</v>
      </c>
    </row>
    <row r="100" spans="1:9">
      <c r="A100" s="119">
        <v>65</v>
      </c>
      <c r="B100" s="119" t="s">
        <v>139</v>
      </c>
      <c r="C100" s="119" t="s">
        <v>163</v>
      </c>
      <c r="D100" s="119" t="s">
        <v>154</v>
      </c>
      <c r="E100" s="119">
        <v>125</v>
      </c>
      <c r="F100" s="119" t="s">
        <v>121</v>
      </c>
      <c r="G100" s="119">
        <v>20</v>
      </c>
    </row>
    <row r="101" spans="1:9">
      <c r="A101" s="119">
        <v>68</v>
      </c>
      <c r="B101" s="119" t="s">
        <v>139</v>
      </c>
      <c r="C101" s="119" t="s">
        <v>163</v>
      </c>
      <c r="D101" s="119" t="s">
        <v>154</v>
      </c>
      <c r="E101" s="119">
        <v>100</v>
      </c>
      <c r="F101" s="119" t="s">
        <v>124</v>
      </c>
      <c r="G101" s="119">
        <v>20</v>
      </c>
    </row>
    <row r="102" spans="1:9">
      <c r="A102" s="119">
        <v>69</v>
      </c>
      <c r="B102" s="119" t="s">
        <v>139</v>
      </c>
      <c r="C102" s="119" t="s">
        <v>163</v>
      </c>
      <c r="D102" s="119" t="s">
        <v>154</v>
      </c>
      <c r="E102" s="119">
        <v>75</v>
      </c>
      <c r="F102" s="119" t="s">
        <v>125</v>
      </c>
      <c r="G102" s="119">
        <v>20</v>
      </c>
    </row>
    <row r="103" spans="1:9">
      <c r="A103" s="119">
        <v>72</v>
      </c>
      <c r="B103" s="119" t="s">
        <v>139</v>
      </c>
      <c r="C103" s="119" t="s">
        <v>163</v>
      </c>
      <c r="D103" s="119" t="s">
        <v>154</v>
      </c>
      <c r="E103" s="119">
        <v>50</v>
      </c>
      <c r="F103" s="119" t="s">
        <v>127</v>
      </c>
      <c r="G103" s="119">
        <v>20</v>
      </c>
    </row>
    <row r="104" spans="1:9">
      <c r="A104" s="119">
        <v>74</v>
      </c>
      <c r="B104" s="119" t="s">
        <v>139</v>
      </c>
      <c r="C104" s="119" t="s">
        <v>163</v>
      </c>
      <c r="D104" s="119" t="s">
        <v>154</v>
      </c>
      <c r="E104" s="119">
        <v>25</v>
      </c>
      <c r="F104" s="119" t="s">
        <v>129</v>
      </c>
      <c r="G104" s="119">
        <v>20</v>
      </c>
    </row>
    <row r="105" spans="1:9">
      <c r="A105" s="119">
        <v>80</v>
      </c>
      <c r="B105" s="119" t="s">
        <v>139</v>
      </c>
      <c r="C105" s="119" t="s">
        <v>163</v>
      </c>
      <c r="D105" s="119" t="s">
        <v>154</v>
      </c>
      <c r="E105" s="119">
        <v>5</v>
      </c>
      <c r="F105" s="119" t="s">
        <v>142</v>
      </c>
      <c r="G105" s="119">
        <v>20</v>
      </c>
      <c r="I105" s="119" t="s">
        <v>120</v>
      </c>
    </row>
    <row r="106" spans="1:9">
      <c r="A106" s="119">
        <v>64</v>
      </c>
      <c r="B106" s="119" t="s">
        <v>136</v>
      </c>
      <c r="C106" s="119" t="s">
        <v>163</v>
      </c>
      <c r="D106" s="119" t="s">
        <v>154</v>
      </c>
      <c r="E106" s="119">
        <v>150</v>
      </c>
      <c r="F106" s="119" t="s">
        <v>119</v>
      </c>
      <c r="G106" s="119">
        <v>20</v>
      </c>
      <c r="I106" s="119" t="s">
        <v>120</v>
      </c>
    </row>
    <row r="107" spans="1:9">
      <c r="A107" s="119">
        <v>68</v>
      </c>
      <c r="B107" s="119" t="s">
        <v>136</v>
      </c>
      <c r="C107" s="119" t="s">
        <v>163</v>
      </c>
      <c r="D107" s="119" t="s">
        <v>154</v>
      </c>
      <c r="E107" s="119">
        <v>100</v>
      </c>
      <c r="F107" s="119" t="s">
        <v>124</v>
      </c>
      <c r="G107" s="119">
        <v>20</v>
      </c>
      <c r="I107" s="119" t="s">
        <v>120</v>
      </c>
    </row>
    <row r="108" spans="1:9">
      <c r="A108" s="119">
        <v>69</v>
      </c>
      <c r="B108" s="119" t="s">
        <v>136</v>
      </c>
      <c r="C108" s="119" t="s">
        <v>163</v>
      </c>
      <c r="D108" s="119" t="s">
        <v>154</v>
      </c>
      <c r="E108" s="119">
        <v>75</v>
      </c>
      <c r="F108" s="119" t="s">
        <v>125</v>
      </c>
      <c r="G108" s="119">
        <v>20</v>
      </c>
      <c r="I108" s="119" t="s">
        <v>120</v>
      </c>
    </row>
    <row r="109" spans="1:9">
      <c r="A109" s="119">
        <v>72</v>
      </c>
      <c r="B109" s="119" t="s">
        <v>136</v>
      </c>
      <c r="C109" s="119" t="s">
        <v>163</v>
      </c>
      <c r="D109" s="119" t="s">
        <v>154</v>
      </c>
      <c r="E109" s="119">
        <v>50</v>
      </c>
      <c r="F109" s="119" t="s">
        <v>127</v>
      </c>
      <c r="G109" s="119">
        <v>20</v>
      </c>
      <c r="I109" s="119" t="s">
        <v>120</v>
      </c>
    </row>
    <row r="110" spans="1:9">
      <c r="A110" s="119">
        <v>74</v>
      </c>
      <c r="B110" s="119" t="s">
        <v>136</v>
      </c>
      <c r="C110" s="119" t="s">
        <v>163</v>
      </c>
      <c r="D110" s="119" t="s">
        <v>154</v>
      </c>
      <c r="E110" s="119">
        <v>25</v>
      </c>
      <c r="F110" s="119" t="s">
        <v>129</v>
      </c>
      <c r="G110" s="119">
        <v>20</v>
      </c>
      <c r="I110" s="119" t="s">
        <v>120</v>
      </c>
    </row>
    <row r="111" spans="1:9">
      <c r="A111" s="119">
        <v>80</v>
      </c>
      <c r="B111" s="119" t="s">
        <v>136</v>
      </c>
      <c r="C111" s="119" t="s">
        <v>163</v>
      </c>
      <c r="D111" s="119" t="s">
        <v>154</v>
      </c>
      <c r="E111" s="119">
        <v>5</v>
      </c>
      <c r="F111" s="119" t="s">
        <v>142</v>
      </c>
      <c r="G111" s="119">
        <v>20</v>
      </c>
      <c r="I111" s="119" t="s">
        <v>120</v>
      </c>
    </row>
    <row r="112" spans="1:9">
      <c r="A112" s="119">
        <v>72</v>
      </c>
      <c r="B112" s="119" t="s">
        <v>137</v>
      </c>
      <c r="C112" s="119" t="s">
        <v>163</v>
      </c>
      <c r="D112" s="119" t="s">
        <v>154</v>
      </c>
      <c r="E112" s="119">
        <v>50</v>
      </c>
      <c r="F112" s="119" t="s">
        <v>127</v>
      </c>
      <c r="G112" s="119">
        <v>20</v>
      </c>
      <c r="I112" s="119" t="s">
        <v>120</v>
      </c>
    </row>
    <row r="113" spans="1:9">
      <c r="A113" s="119">
        <v>74</v>
      </c>
      <c r="B113" s="119" t="s">
        <v>137</v>
      </c>
      <c r="C113" s="119" t="s">
        <v>163</v>
      </c>
      <c r="D113" s="119" t="s">
        <v>154</v>
      </c>
      <c r="E113" s="119">
        <v>25</v>
      </c>
      <c r="F113" s="119" t="s">
        <v>129</v>
      </c>
      <c r="G113" s="119">
        <v>20</v>
      </c>
      <c r="I113" s="119" t="s">
        <v>120</v>
      </c>
    </row>
    <row r="114" spans="1:9">
      <c r="A114" s="119">
        <v>80</v>
      </c>
      <c r="B114" s="119" t="s">
        <v>137</v>
      </c>
      <c r="C114" s="119" t="s">
        <v>163</v>
      </c>
      <c r="D114" s="119" t="s">
        <v>154</v>
      </c>
      <c r="E114" s="119">
        <v>5</v>
      </c>
      <c r="F114" s="119" t="s">
        <v>142</v>
      </c>
      <c r="G114" s="119">
        <v>20</v>
      </c>
      <c r="I114" s="119" t="s">
        <v>120</v>
      </c>
    </row>
    <row r="115" spans="1:9">
      <c r="A115" s="119">
        <v>76</v>
      </c>
      <c r="B115" s="119" t="s">
        <v>155</v>
      </c>
      <c r="C115" s="119" t="s">
        <v>163</v>
      </c>
      <c r="D115" s="119" t="s">
        <v>154</v>
      </c>
      <c r="E115" s="119">
        <v>5</v>
      </c>
      <c r="F115" s="119" t="s">
        <v>131</v>
      </c>
      <c r="G115" s="119">
        <v>20</v>
      </c>
      <c r="I115" s="119" t="s">
        <v>120</v>
      </c>
    </row>
    <row r="116" spans="1:9">
      <c r="A116" s="119">
        <v>80</v>
      </c>
      <c r="B116" s="119" t="s">
        <v>156</v>
      </c>
      <c r="C116" s="119" t="s">
        <v>163</v>
      </c>
      <c r="D116" s="119" t="s">
        <v>154</v>
      </c>
      <c r="E116" s="119">
        <v>5</v>
      </c>
      <c r="F116" s="119" t="s">
        <v>142</v>
      </c>
      <c r="G116" s="119">
        <v>20</v>
      </c>
      <c r="I116" s="119" t="s">
        <v>120</v>
      </c>
    </row>
    <row r="117" spans="1:9">
      <c r="A117" s="119">
        <v>79</v>
      </c>
      <c r="B117" s="119" t="s">
        <v>157</v>
      </c>
      <c r="C117" s="119" t="s">
        <v>163</v>
      </c>
      <c r="D117" s="119" t="s">
        <v>154</v>
      </c>
      <c r="E117" s="119">
        <v>5</v>
      </c>
      <c r="F117" s="119" t="s">
        <v>138</v>
      </c>
      <c r="G117" s="119">
        <v>20</v>
      </c>
      <c r="I117" s="119" t="s">
        <v>120</v>
      </c>
    </row>
    <row r="118" spans="1:9">
      <c r="A118" s="119">
        <v>78</v>
      </c>
      <c r="B118" s="119" t="s">
        <v>158</v>
      </c>
      <c r="C118" s="119" t="s">
        <v>163</v>
      </c>
      <c r="D118" s="119" t="s">
        <v>154</v>
      </c>
      <c r="E118" s="119">
        <v>5</v>
      </c>
      <c r="F118" s="119" t="s">
        <v>135</v>
      </c>
      <c r="G118" s="119">
        <v>20</v>
      </c>
    </row>
    <row r="119" spans="1:9">
      <c r="A119" s="119">
        <v>63</v>
      </c>
      <c r="B119" s="119" t="s">
        <v>159</v>
      </c>
      <c r="C119" s="119" t="s">
        <v>163</v>
      </c>
      <c r="D119" s="119" t="s">
        <v>154</v>
      </c>
      <c r="E119" s="119">
        <v>150</v>
      </c>
      <c r="F119" s="119" t="s">
        <v>118</v>
      </c>
      <c r="G119" s="119">
        <v>20</v>
      </c>
      <c r="I119" s="119" t="s">
        <v>120</v>
      </c>
    </row>
    <row r="120" spans="1:9">
      <c r="A120" s="119">
        <v>67</v>
      </c>
      <c r="B120" s="119" t="s">
        <v>159</v>
      </c>
      <c r="C120" s="119" t="s">
        <v>163</v>
      </c>
      <c r="D120" s="119" t="s">
        <v>154</v>
      </c>
      <c r="E120" s="119">
        <v>100</v>
      </c>
      <c r="F120" s="119" t="s">
        <v>123</v>
      </c>
      <c r="G120" s="119">
        <v>20</v>
      </c>
      <c r="I120" s="119" t="s">
        <v>120</v>
      </c>
    </row>
    <row r="121" spans="1:9">
      <c r="A121" s="119">
        <v>71</v>
      </c>
      <c r="B121" s="119" t="s">
        <v>159</v>
      </c>
      <c r="C121" s="119" t="s">
        <v>163</v>
      </c>
      <c r="D121" s="119" t="s">
        <v>154</v>
      </c>
      <c r="E121" s="119">
        <v>50</v>
      </c>
      <c r="F121" s="119" t="s">
        <v>126</v>
      </c>
      <c r="G121" s="119">
        <v>20</v>
      </c>
      <c r="I121" s="119" t="s">
        <v>120</v>
      </c>
    </row>
    <row r="122" spans="1:9">
      <c r="A122" s="119">
        <v>73</v>
      </c>
      <c r="B122" s="119" t="s">
        <v>159</v>
      </c>
      <c r="C122" s="119" t="s">
        <v>163</v>
      </c>
      <c r="D122" s="119" t="s">
        <v>154</v>
      </c>
      <c r="E122" s="119">
        <v>25</v>
      </c>
      <c r="F122" s="119" t="s">
        <v>128</v>
      </c>
      <c r="G122" s="119">
        <v>20</v>
      </c>
      <c r="I122" s="119" t="s">
        <v>120</v>
      </c>
    </row>
    <row r="123" spans="1:9">
      <c r="A123" s="119">
        <v>79</v>
      </c>
      <c r="B123" s="119" t="s">
        <v>159</v>
      </c>
      <c r="C123" s="119" t="s">
        <v>163</v>
      </c>
      <c r="D123" s="119" t="s">
        <v>154</v>
      </c>
      <c r="E123" s="119">
        <v>5</v>
      </c>
      <c r="F123" s="119" t="s">
        <v>138</v>
      </c>
      <c r="G123" s="119">
        <v>20</v>
      </c>
      <c r="I123" s="119" t="s">
        <v>120</v>
      </c>
    </row>
    <row r="124" spans="1:9">
      <c r="A124" s="119">
        <v>66</v>
      </c>
      <c r="B124" s="119" t="s">
        <v>160</v>
      </c>
      <c r="C124" s="119" t="s">
        <v>163</v>
      </c>
      <c r="D124" s="119" t="s">
        <v>154</v>
      </c>
      <c r="E124" s="119">
        <v>100</v>
      </c>
      <c r="F124" s="119" t="s">
        <v>122</v>
      </c>
      <c r="G124" s="119">
        <v>20</v>
      </c>
      <c r="I124" s="119" t="s">
        <v>120</v>
      </c>
    </row>
    <row r="125" spans="1:9">
      <c r="A125" s="119">
        <v>70</v>
      </c>
      <c r="B125" s="119" t="s">
        <v>160</v>
      </c>
      <c r="C125" s="119" t="s">
        <v>163</v>
      </c>
      <c r="D125" s="119" t="s">
        <v>154</v>
      </c>
      <c r="E125" s="119">
        <v>50</v>
      </c>
      <c r="F125" s="119" t="s">
        <v>134</v>
      </c>
      <c r="G125" s="119">
        <v>20</v>
      </c>
      <c r="I125" s="119" t="s">
        <v>120</v>
      </c>
    </row>
    <row r="126" spans="1:9">
      <c r="A126" s="119">
        <v>75</v>
      </c>
      <c r="B126" s="119" t="s">
        <v>160</v>
      </c>
      <c r="C126" s="119" t="s">
        <v>163</v>
      </c>
      <c r="D126" s="119" t="s">
        <v>154</v>
      </c>
      <c r="E126" s="119">
        <v>25</v>
      </c>
      <c r="F126" s="119" t="s">
        <v>130</v>
      </c>
      <c r="G126" s="119">
        <v>20</v>
      </c>
      <c r="I126" s="119" t="s">
        <v>120</v>
      </c>
    </row>
    <row r="127" spans="1:9">
      <c r="A127" s="119">
        <v>77</v>
      </c>
      <c r="B127" s="119" t="s">
        <v>160</v>
      </c>
      <c r="C127" s="119" t="s">
        <v>163</v>
      </c>
      <c r="D127" s="119" t="s">
        <v>154</v>
      </c>
      <c r="E127" s="119">
        <v>5</v>
      </c>
      <c r="F127" s="119" t="s">
        <v>132</v>
      </c>
      <c r="G127" s="119">
        <v>20</v>
      </c>
      <c r="I127" s="119" t="s">
        <v>120</v>
      </c>
    </row>
    <row r="128" spans="1:9">
      <c r="A128" s="119">
        <v>81</v>
      </c>
      <c r="B128" s="119" t="s">
        <v>116</v>
      </c>
      <c r="C128" s="119" t="s">
        <v>164</v>
      </c>
      <c r="D128" s="119" t="s">
        <v>154</v>
      </c>
      <c r="E128" s="119">
        <v>300</v>
      </c>
      <c r="F128" s="119" t="s">
        <v>133</v>
      </c>
      <c r="G128" s="119">
        <v>24</v>
      </c>
      <c r="I128" s="119" t="s">
        <v>120</v>
      </c>
    </row>
    <row r="129" spans="1:9">
      <c r="A129" s="119">
        <v>82</v>
      </c>
      <c r="B129" s="119" t="s">
        <v>116</v>
      </c>
      <c r="C129" s="119" t="s">
        <v>164</v>
      </c>
      <c r="D129" s="119" t="s">
        <v>154</v>
      </c>
      <c r="E129" s="119">
        <v>200</v>
      </c>
      <c r="F129" s="119" t="s">
        <v>117</v>
      </c>
      <c r="G129" s="119">
        <v>24</v>
      </c>
    </row>
    <row r="130" spans="1:9">
      <c r="A130" s="119">
        <v>84</v>
      </c>
      <c r="B130" s="119" t="s">
        <v>116</v>
      </c>
      <c r="C130" s="119" t="s">
        <v>164</v>
      </c>
      <c r="D130" s="119" t="s">
        <v>154</v>
      </c>
      <c r="E130" s="119">
        <v>150</v>
      </c>
      <c r="F130" s="119" t="s">
        <v>119</v>
      </c>
      <c r="G130" s="119">
        <v>24</v>
      </c>
    </row>
    <row r="131" spans="1:9">
      <c r="A131" s="119">
        <v>85</v>
      </c>
      <c r="B131" s="119" t="s">
        <v>116</v>
      </c>
      <c r="C131" s="119" t="s">
        <v>164</v>
      </c>
      <c r="D131" s="119" t="s">
        <v>154</v>
      </c>
      <c r="E131" s="119">
        <v>125</v>
      </c>
      <c r="F131" s="119" t="s">
        <v>121</v>
      </c>
      <c r="G131" s="119">
        <v>24</v>
      </c>
    </row>
    <row r="132" spans="1:9">
      <c r="A132" s="119">
        <v>88</v>
      </c>
      <c r="B132" s="119" t="s">
        <v>116</v>
      </c>
      <c r="C132" s="119" t="s">
        <v>164</v>
      </c>
      <c r="D132" s="119" t="s">
        <v>154</v>
      </c>
      <c r="E132" s="119">
        <v>100</v>
      </c>
      <c r="F132" s="119" t="s">
        <v>124</v>
      </c>
      <c r="G132" s="119">
        <v>24</v>
      </c>
    </row>
    <row r="133" spans="1:9">
      <c r="A133" s="119">
        <v>89</v>
      </c>
      <c r="B133" s="119" t="s">
        <v>116</v>
      </c>
      <c r="C133" s="119" t="s">
        <v>164</v>
      </c>
      <c r="D133" s="119" t="s">
        <v>154</v>
      </c>
      <c r="E133" s="119">
        <v>75</v>
      </c>
      <c r="F133" s="119" t="s">
        <v>125</v>
      </c>
      <c r="G133" s="119">
        <v>24</v>
      </c>
    </row>
    <row r="134" spans="1:9">
      <c r="A134" s="119">
        <v>92</v>
      </c>
      <c r="B134" s="119" t="s">
        <v>116</v>
      </c>
      <c r="C134" s="119" t="s">
        <v>164</v>
      </c>
      <c r="D134" s="119" t="s">
        <v>154</v>
      </c>
      <c r="E134" s="119">
        <v>50</v>
      </c>
      <c r="F134" s="119" t="s">
        <v>127</v>
      </c>
      <c r="G134" s="119">
        <v>24</v>
      </c>
    </row>
    <row r="135" spans="1:9">
      <c r="A135" s="119">
        <v>94</v>
      </c>
      <c r="B135" s="119" t="s">
        <v>116</v>
      </c>
      <c r="C135" s="119" t="s">
        <v>164</v>
      </c>
      <c r="D135" s="119" t="s">
        <v>154</v>
      </c>
      <c r="E135" s="119">
        <v>25</v>
      </c>
      <c r="F135" s="119" t="s">
        <v>129</v>
      </c>
      <c r="G135" s="119">
        <v>24</v>
      </c>
    </row>
    <row r="136" spans="1:9">
      <c r="A136" s="119">
        <v>100</v>
      </c>
      <c r="B136" s="119" t="s">
        <v>116</v>
      </c>
      <c r="C136" s="119" t="s">
        <v>164</v>
      </c>
      <c r="D136" s="119" t="s">
        <v>154</v>
      </c>
      <c r="E136" s="119">
        <v>5</v>
      </c>
      <c r="F136" s="119" t="s">
        <v>142</v>
      </c>
      <c r="G136" s="119">
        <v>24</v>
      </c>
    </row>
    <row r="137" spans="1:9">
      <c r="A137" s="119">
        <v>81</v>
      </c>
      <c r="B137" s="119" t="s">
        <v>139</v>
      </c>
      <c r="C137" s="119" t="s">
        <v>164</v>
      </c>
      <c r="D137" s="119" t="s">
        <v>154</v>
      </c>
      <c r="E137" s="119">
        <v>300</v>
      </c>
      <c r="F137" s="119" t="s">
        <v>133</v>
      </c>
      <c r="G137" s="119">
        <v>24</v>
      </c>
    </row>
    <row r="138" spans="1:9">
      <c r="A138" s="119">
        <v>82</v>
      </c>
      <c r="B138" s="119" t="s">
        <v>139</v>
      </c>
      <c r="C138" s="119" t="s">
        <v>164</v>
      </c>
      <c r="D138" s="119" t="s">
        <v>154</v>
      </c>
      <c r="E138" s="119">
        <v>200</v>
      </c>
      <c r="F138" s="119" t="s">
        <v>117</v>
      </c>
      <c r="G138" s="119">
        <v>24</v>
      </c>
      <c r="I138" s="119" t="s">
        <v>120</v>
      </c>
    </row>
    <row r="139" spans="1:9">
      <c r="A139" s="119">
        <v>84</v>
      </c>
      <c r="B139" s="119" t="s">
        <v>139</v>
      </c>
      <c r="C139" s="119" t="s">
        <v>164</v>
      </c>
      <c r="D139" s="119" t="s">
        <v>154</v>
      </c>
      <c r="E139" s="119">
        <v>150</v>
      </c>
      <c r="F139" s="119" t="s">
        <v>119</v>
      </c>
      <c r="G139" s="119">
        <v>24</v>
      </c>
    </row>
    <row r="140" spans="1:9">
      <c r="A140" s="119">
        <v>85</v>
      </c>
      <c r="B140" s="119" t="s">
        <v>139</v>
      </c>
      <c r="C140" s="119" t="s">
        <v>164</v>
      </c>
      <c r="D140" s="119" t="s">
        <v>154</v>
      </c>
      <c r="E140" s="119">
        <v>125</v>
      </c>
      <c r="F140" s="119" t="s">
        <v>121</v>
      </c>
      <c r="G140" s="119">
        <v>24</v>
      </c>
    </row>
    <row r="141" spans="1:9">
      <c r="A141" s="119">
        <v>88</v>
      </c>
      <c r="B141" s="119" t="s">
        <v>139</v>
      </c>
      <c r="C141" s="119" t="s">
        <v>164</v>
      </c>
      <c r="D141" s="119" t="s">
        <v>154</v>
      </c>
      <c r="E141" s="119">
        <v>100</v>
      </c>
      <c r="F141" s="119" t="s">
        <v>124</v>
      </c>
      <c r="G141" s="119">
        <v>24</v>
      </c>
    </row>
    <row r="142" spans="1:9">
      <c r="A142" s="119">
        <v>89</v>
      </c>
      <c r="B142" s="119" t="s">
        <v>139</v>
      </c>
      <c r="C142" s="119" t="s">
        <v>164</v>
      </c>
      <c r="D142" s="119" t="s">
        <v>154</v>
      </c>
      <c r="E142" s="119">
        <v>75</v>
      </c>
      <c r="F142" s="119" t="s">
        <v>125</v>
      </c>
      <c r="G142" s="119">
        <v>24</v>
      </c>
    </row>
    <row r="143" spans="1:9">
      <c r="A143" s="119">
        <v>92</v>
      </c>
      <c r="B143" s="119" t="s">
        <v>139</v>
      </c>
      <c r="C143" s="119" t="s">
        <v>164</v>
      </c>
      <c r="D143" s="119" t="s">
        <v>154</v>
      </c>
      <c r="E143" s="119">
        <v>50</v>
      </c>
      <c r="F143" s="119" t="s">
        <v>127</v>
      </c>
      <c r="G143" s="119">
        <v>24</v>
      </c>
    </row>
    <row r="144" spans="1:9">
      <c r="A144" s="119">
        <v>94</v>
      </c>
      <c r="B144" s="119" t="s">
        <v>139</v>
      </c>
      <c r="C144" s="119" t="s">
        <v>164</v>
      </c>
      <c r="D144" s="119" t="s">
        <v>154</v>
      </c>
      <c r="E144" s="119">
        <v>25</v>
      </c>
      <c r="F144" s="119" t="s">
        <v>129</v>
      </c>
      <c r="G144" s="119">
        <v>24</v>
      </c>
    </row>
    <row r="145" spans="1:9">
      <c r="A145" s="119">
        <v>100</v>
      </c>
      <c r="B145" s="119" t="s">
        <v>139</v>
      </c>
      <c r="C145" s="119" t="s">
        <v>164</v>
      </c>
      <c r="D145" s="119" t="s">
        <v>154</v>
      </c>
      <c r="E145" s="119">
        <v>5</v>
      </c>
      <c r="F145" s="119" t="s">
        <v>142</v>
      </c>
      <c r="G145" s="119">
        <v>24</v>
      </c>
    </row>
    <row r="146" spans="1:9">
      <c r="A146" s="119">
        <v>84</v>
      </c>
      <c r="B146" s="119" t="s">
        <v>136</v>
      </c>
      <c r="C146" s="119" t="s">
        <v>164</v>
      </c>
      <c r="D146" s="119" t="s">
        <v>154</v>
      </c>
      <c r="E146" s="119">
        <v>150</v>
      </c>
      <c r="F146" s="119" t="s">
        <v>119</v>
      </c>
      <c r="G146" s="119">
        <v>24</v>
      </c>
      <c r="I146" s="119" t="s">
        <v>120</v>
      </c>
    </row>
    <row r="147" spans="1:9">
      <c r="A147" s="119">
        <v>88</v>
      </c>
      <c r="B147" s="119" t="s">
        <v>136</v>
      </c>
      <c r="C147" s="119" t="s">
        <v>164</v>
      </c>
      <c r="D147" s="119" t="s">
        <v>154</v>
      </c>
      <c r="E147" s="119">
        <v>100</v>
      </c>
      <c r="F147" s="119" t="s">
        <v>124</v>
      </c>
      <c r="G147" s="119">
        <v>24</v>
      </c>
      <c r="I147" s="119" t="s">
        <v>120</v>
      </c>
    </row>
    <row r="148" spans="1:9">
      <c r="A148" s="119">
        <v>89</v>
      </c>
      <c r="B148" s="119" t="s">
        <v>136</v>
      </c>
      <c r="C148" s="119" t="s">
        <v>164</v>
      </c>
      <c r="D148" s="119" t="s">
        <v>154</v>
      </c>
      <c r="E148" s="119">
        <v>75</v>
      </c>
      <c r="F148" s="119" t="s">
        <v>125</v>
      </c>
      <c r="G148" s="119">
        <v>24</v>
      </c>
      <c r="I148" s="119" t="s">
        <v>120</v>
      </c>
    </row>
    <row r="149" spans="1:9">
      <c r="A149" s="119">
        <v>92</v>
      </c>
      <c r="B149" s="119" t="s">
        <v>136</v>
      </c>
      <c r="C149" s="119" t="s">
        <v>164</v>
      </c>
      <c r="D149" s="119" t="s">
        <v>154</v>
      </c>
      <c r="E149" s="119">
        <v>50</v>
      </c>
      <c r="F149" s="119" t="s">
        <v>127</v>
      </c>
      <c r="G149" s="119">
        <v>24</v>
      </c>
      <c r="I149" s="119" t="s">
        <v>120</v>
      </c>
    </row>
    <row r="150" spans="1:9">
      <c r="A150" s="119">
        <v>94</v>
      </c>
      <c r="B150" s="119" t="s">
        <v>136</v>
      </c>
      <c r="C150" s="119" t="s">
        <v>164</v>
      </c>
      <c r="D150" s="119" t="s">
        <v>154</v>
      </c>
      <c r="E150" s="119">
        <v>25</v>
      </c>
      <c r="F150" s="119" t="s">
        <v>129</v>
      </c>
      <c r="G150" s="119">
        <v>24</v>
      </c>
      <c r="I150" s="119" t="s">
        <v>120</v>
      </c>
    </row>
    <row r="151" spans="1:9">
      <c r="A151" s="119">
        <v>100</v>
      </c>
      <c r="B151" s="119" t="s">
        <v>136</v>
      </c>
      <c r="C151" s="119" t="s">
        <v>164</v>
      </c>
      <c r="D151" s="119" t="s">
        <v>154</v>
      </c>
      <c r="E151" s="119">
        <v>5</v>
      </c>
      <c r="F151" s="119" t="s">
        <v>142</v>
      </c>
      <c r="G151" s="119">
        <v>24</v>
      </c>
      <c r="I151" s="119" t="s">
        <v>120</v>
      </c>
    </row>
    <row r="152" spans="1:9">
      <c r="A152" s="119">
        <v>92</v>
      </c>
      <c r="B152" s="119" t="s">
        <v>137</v>
      </c>
      <c r="C152" s="119" t="s">
        <v>164</v>
      </c>
      <c r="D152" s="119" t="s">
        <v>154</v>
      </c>
      <c r="E152" s="119">
        <v>50</v>
      </c>
      <c r="F152" s="119" t="s">
        <v>127</v>
      </c>
      <c r="G152" s="119">
        <v>24</v>
      </c>
      <c r="I152" s="119" t="s">
        <v>120</v>
      </c>
    </row>
    <row r="153" spans="1:9">
      <c r="A153" s="119">
        <v>94</v>
      </c>
      <c r="B153" s="119" t="s">
        <v>137</v>
      </c>
      <c r="C153" s="119" t="s">
        <v>164</v>
      </c>
      <c r="D153" s="119" t="s">
        <v>154</v>
      </c>
      <c r="E153" s="119">
        <v>25</v>
      </c>
      <c r="F153" s="119" t="s">
        <v>129</v>
      </c>
      <c r="G153" s="119">
        <v>24</v>
      </c>
      <c r="I153" s="119" t="s">
        <v>120</v>
      </c>
    </row>
    <row r="154" spans="1:9">
      <c r="A154" s="119">
        <v>100</v>
      </c>
      <c r="B154" s="119" t="s">
        <v>137</v>
      </c>
      <c r="C154" s="119" t="s">
        <v>164</v>
      </c>
      <c r="D154" s="119" t="s">
        <v>154</v>
      </c>
      <c r="E154" s="119">
        <v>5</v>
      </c>
      <c r="F154" s="119" t="s">
        <v>142</v>
      </c>
      <c r="G154" s="119">
        <v>24</v>
      </c>
      <c r="I154" s="119" t="s">
        <v>120</v>
      </c>
    </row>
    <row r="155" spans="1:9">
      <c r="A155" s="119">
        <v>96</v>
      </c>
      <c r="B155" s="119" t="s">
        <v>155</v>
      </c>
      <c r="C155" s="119" t="s">
        <v>164</v>
      </c>
      <c r="D155" s="119" t="s">
        <v>154</v>
      </c>
      <c r="E155" s="119">
        <v>5</v>
      </c>
      <c r="F155" s="119" t="s">
        <v>131</v>
      </c>
      <c r="G155" s="119">
        <v>24</v>
      </c>
      <c r="I155" s="119" t="s">
        <v>120</v>
      </c>
    </row>
    <row r="156" spans="1:9">
      <c r="A156" s="119">
        <v>100</v>
      </c>
      <c r="B156" s="119" t="s">
        <v>156</v>
      </c>
      <c r="C156" s="119" t="s">
        <v>164</v>
      </c>
      <c r="D156" s="119" t="s">
        <v>154</v>
      </c>
      <c r="E156" s="119">
        <v>5</v>
      </c>
      <c r="F156" s="119" t="s">
        <v>142</v>
      </c>
      <c r="G156" s="119">
        <v>24</v>
      </c>
      <c r="I156" s="119" t="s">
        <v>120</v>
      </c>
    </row>
    <row r="157" spans="1:9">
      <c r="A157" s="119">
        <v>99</v>
      </c>
      <c r="B157" s="119" t="s">
        <v>157</v>
      </c>
      <c r="C157" s="119" t="s">
        <v>164</v>
      </c>
      <c r="D157" s="119" t="s">
        <v>154</v>
      </c>
      <c r="E157" s="119">
        <v>5</v>
      </c>
      <c r="F157" s="119" t="s">
        <v>138</v>
      </c>
      <c r="G157" s="119">
        <v>24</v>
      </c>
      <c r="I157" s="119" t="s">
        <v>120</v>
      </c>
    </row>
    <row r="158" spans="1:9">
      <c r="A158" s="119">
        <v>98</v>
      </c>
      <c r="B158" s="119" t="s">
        <v>158</v>
      </c>
      <c r="C158" s="119" t="s">
        <v>164</v>
      </c>
      <c r="D158" s="119" t="s">
        <v>154</v>
      </c>
      <c r="E158" s="119">
        <v>5</v>
      </c>
      <c r="F158" s="119" t="s">
        <v>135</v>
      </c>
      <c r="G158" s="119">
        <v>24</v>
      </c>
    </row>
    <row r="159" spans="1:9">
      <c r="A159" s="119">
        <v>83</v>
      </c>
      <c r="B159" s="119" t="s">
        <v>159</v>
      </c>
      <c r="C159" s="119" t="s">
        <v>164</v>
      </c>
      <c r="D159" s="119" t="s">
        <v>154</v>
      </c>
      <c r="E159" s="119">
        <v>150</v>
      </c>
      <c r="F159" s="119" t="s">
        <v>118</v>
      </c>
      <c r="G159" s="119">
        <v>24</v>
      </c>
      <c r="I159" s="119" t="s">
        <v>120</v>
      </c>
    </row>
    <row r="160" spans="1:9">
      <c r="A160" s="119">
        <v>87</v>
      </c>
      <c r="B160" s="119" t="s">
        <v>159</v>
      </c>
      <c r="C160" s="119" t="s">
        <v>164</v>
      </c>
      <c r="D160" s="119" t="s">
        <v>154</v>
      </c>
      <c r="E160" s="119">
        <v>100</v>
      </c>
      <c r="F160" s="119" t="s">
        <v>123</v>
      </c>
      <c r="G160" s="119">
        <v>24</v>
      </c>
      <c r="I160" s="119" t="s">
        <v>120</v>
      </c>
    </row>
    <row r="161" spans="1:9">
      <c r="A161" s="119">
        <v>91</v>
      </c>
      <c r="B161" s="119" t="s">
        <v>159</v>
      </c>
      <c r="C161" s="119" t="s">
        <v>164</v>
      </c>
      <c r="D161" s="119" t="s">
        <v>154</v>
      </c>
      <c r="E161" s="119">
        <v>50</v>
      </c>
      <c r="F161" s="119" t="s">
        <v>126</v>
      </c>
      <c r="G161" s="119">
        <v>24</v>
      </c>
      <c r="I161" s="119" t="s">
        <v>120</v>
      </c>
    </row>
    <row r="162" spans="1:9">
      <c r="A162" s="119">
        <v>93</v>
      </c>
      <c r="B162" s="119" t="s">
        <v>159</v>
      </c>
      <c r="C162" s="119" t="s">
        <v>164</v>
      </c>
      <c r="D162" s="119" t="s">
        <v>154</v>
      </c>
      <c r="E162" s="119">
        <v>25</v>
      </c>
      <c r="F162" s="119" t="s">
        <v>128</v>
      </c>
      <c r="G162" s="119">
        <v>24</v>
      </c>
      <c r="I162" s="119" t="s">
        <v>120</v>
      </c>
    </row>
    <row r="163" spans="1:9">
      <c r="A163" s="119">
        <v>99</v>
      </c>
      <c r="B163" s="119" t="s">
        <v>159</v>
      </c>
      <c r="C163" s="119" t="s">
        <v>164</v>
      </c>
      <c r="D163" s="119" t="s">
        <v>154</v>
      </c>
      <c r="E163" s="119">
        <v>5</v>
      </c>
      <c r="F163" s="119" t="s">
        <v>138</v>
      </c>
      <c r="G163" s="119">
        <v>24</v>
      </c>
      <c r="I163" s="119" t="s">
        <v>120</v>
      </c>
    </row>
    <row r="164" spans="1:9">
      <c r="A164" s="119">
        <v>86</v>
      </c>
      <c r="B164" s="119" t="s">
        <v>160</v>
      </c>
      <c r="C164" s="119" t="s">
        <v>164</v>
      </c>
      <c r="D164" s="119" t="s">
        <v>154</v>
      </c>
      <c r="E164" s="119">
        <v>100</v>
      </c>
      <c r="F164" s="119" t="s">
        <v>122</v>
      </c>
      <c r="G164" s="119">
        <v>24</v>
      </c>
      <c r="I164" s="119" t="s">
        <v>120</v>
      </c>
    </row>
    <row r="165" spans="1:9">
      <c r="A165" s="119">
        <v>90</v>
      </c>
      <c r="B165" s="119" t="s">
        <v>160</v>
      </c>
      <c r="C165" s="119" t="s">
        <v>164</v>
      </c>
      <c r="D165" s="119" t="s">
        <v>154</v>
      </c>
      <c r="E165" s="119">
        <v>50</v>
      </c>
      <c r="F165" s="119" t="s">
        <v>134</v>
      </c>
      <c r="G165" s="119">
        <v>24</v>
      </c>
      <c r="I165" s="119" t="s">
        <v>120</v>
      </c>
    </row>
    <row r="166" spans="1:9">
      <c r="A166" s="119">
        <v>95</v>
      </c>
      <c r="B166" s="119" t="s">
        <v>160</v>
      </c>
      <c r="C166" s="119" t="s">
        <v>164</v>
      </c>
      <c r="D166" s="119" t="s">
        <v>154</v>
      </c>
      <c r="E166" s="119">
        <v>25</v>
      </c>
      <c r="F166" s="119" t="s">
        <v>130</v>
      </c>
      <c r="G166" s="119">
        <v>24</v>
      </c>
      <c r="I166" s="119" t="s">
        <v>120</v>
      </c>
    </row>
    <row r="167" spans="1:9">
      <c r="A167" s="119">
        <v>97</v>
      </c>
      <c r="B167" s="119" t="s">
        <v>160</v>
      </c>
      <c r="C167" s="119" t="s">
        <v>164</v>
      </c>
      <c r="D167" s="119" t="s">
        <v>154</v>
      </c>
      <c r="E167" s="119">
        <v>5</v>
      </c>
      <c r="F167" s="119" t="s">
        <v>132</v>
      </c>
      <c r="G167" s="119">
        <v>24</v>
      </c>
      <c r="I167" s="119" t="s">
        <v>120</v>
      </c>
    </row>
    <row r="168" spans="1:9">
      <c r="A168" s="119">
        <v>101</v>
      </c>
      <c r="B168" s="119" t="s">
        <v>139</v>
      </c>
      <c r="C168" s="119" t="s">
        <v>165</v>
      </c>
      <c r="D168" s="119" t="s">
        <v>154</v>
      </c>
      <c r="E168" s="119">
        <v>300</v>
      </c>
      <c r="F168" s="119" t="s">
        <v>133</v>
      </c>
      <c r="G168" s="119">
        <v>28</v>
      </c>
    </row>
    <row r="169" spans="1:9">
      <c r="A169" s="119">
        <v>102</v>
      </c>
      <c r="B169" s="119" t="s">
        <v>139</v>
      </c>
      <c r="C169" s="119" t="s">
        <v>165</v>
      </c>
      <c r="D169" s="119" t="s">
        <v>154</v>
      </c>
      <c r="E169" s="119">
        <v>200</v>
      </c>
      <c r="F169" s="119" t="s">
        <v>117</v>
      </c>
      <c r="G169" s="119">
        <v>28</v>
      </c>
      <c r="I169" s="119" t="s">
        <v>120</v>
      </c>
    </row>
    <row r="170" spans="1:9">
      <c r="A170" s="119">
        <v>104</v>
      </c>
      <c r="B170" s="119" t="s">
        <v>139</v>
      </c>
      <c r="C170" s="119" t="s">
        <v>165</v>
      </c>
      <c r="D170" s="119" t="s">
        <v>154</v>
      </c>
      <c r="E170" s="119">
        <v>150</v>
      </c>
      <c r="F170" s="119" t="s">
        <v>119</v>
      </c>
      <c r="G170" s="119">
        <v>28</v>
      </c>
    </row>
    <row r="171" spans="1:9">
      <c r="A171" s="119">
        <v>105</v>
      </c>
      <c r="B171" s="119" t="s">
        <v>139</v>
      </c>
      <c r="C171" s="119" t="s">
        <v>165</v>
      </c>
      <c r="D171" s="119" t="s">
        <v>154</v>
      </c>
      <c r="E171" s="119">
        <v>125</v>
      </c>
      <c r="F171" s="119" t="s">
        <v>121</v>
      </c>
      <c r="G171" s="119">
        <v>28</v>
      </c>
    </row>
    <row r="172" spans="1:9">
      <c r="A172" s="119">
        <v>108</v>
      </c>
      <c r="B172" s="119" t="s">
        <v>139</v>
      </c>
      <c r="C172" s="119" t="s">
        <v>165</v>
      </c>
      <c r="D172" s="119" t="s">
        <v>154</v>
      </c>
      <c r="E172" s="119">
        <v>100</v>
      </c>
      <c r="F172" s="119" t="s">
        <v>124</v>
      </c>
      <c r="G172" s="119">
        <v>28</v>
      </c>
    </row>
    <row r="173" spans="1:9">
      <c r="A173" s="119">
        <v>109</v>
      </c>
      <c r="B173" s="119" t="s">
        <v>139</v>
      </c>
      <c r="C173" s="119" t="s">
        <v>165</v>
      </c>
      <c r="D173" s="119" t="s">
        <v>154</v>
      </c>
      <c r="E173" s="119">
        <v>75</v>
      </c>
      <c r="F173" s="119" t="s">
        <v>125</v>
      </c>
      <c r="G173" s="119">
        <v>28</v>
      </c>
    </row>
    <row r="174" spans="1:9">
      <c r="A174" s="119">
        <v>112</v>
      </c>
      <c r="B174" s="119" t="s">
        <v>139</v>
      </c>
      <c r="C174" s="119" t="s">
        <v>165</v>
      </c>
      <c r="D174" s="119" t="s">
        <v>154</v>
      </c>
      <c r="E174" s="119">
        <v>50</v>
      </c>
      <c r="F174" s="119" t="s">
        <v>127</v>
      </c>
      <c r="G174" s="119">
        <v>28</v>
      </c>
    </row>
    <row r="175" spans="1:9">
      <c r="A175" s="119">
        <v>114</v>
      </c>
      <c r="B175" s="119" t="s">
        <v>139</v>
      </c>
      <c r="C175" s="119" t="s">
        <v>165</v>
      </c>
      <c r="D175" s="119" t="s">
        <v>154</v>
      </c>
      <c r="E175" s="119">
        <v>25</v>
      </c>
      <c r="F175" s="119" t="s">
        <v>129</v>
      </c>
      <c r="G175" s="119">
        <v>28</v>
      </c>
    </row>
    <row r="176" spans="1:9">
      <c r="A176" s="119">
        <v>120</v>
      </c>
      <c r="B176" s="119" t="s">
        <v>139</v>
      </c>
      <c r="C176" s="119" t="s">
        <v>165</v>
      </c>
      <c r="D176" s="119" t="s">
        <v>154</v>
      </c>
      <c r="E176" s="119">
        <v>5</v>
      </c>
      <c r="F176" s="119" t="s">
        <v>142</v>
      </c>
      <c r="G176" s="119">
        <v>28</v>
      </c>
    </row>
    <row r="177" spans="1:9">
      <c r="A177" s="119">
        <v>104</v>
      </c>
      <c r="B177" s="119" t="s">
        <v>136</v>
      </c>
      <c r="C177" s="119" t="s">
        <v>165</v>
      </c>
      <c r="D177" s="119" t="s">
        <v>154</v>
      </c>
      <c r="E177" s="119">
        <v>150</v>
      </c>
      <c r="F177" s="119" t="s">
        <v>119</v>
      </c>
      <c r="G177" s="119">
        <v>28</v>
      </c>
      <c r="I177" s="119" t="s">
        <v>120</v>
      </c>
    </row>
    <row r="178" spans="1:9">
      <c r="A178" s="119">
        <v>108</v>
      </c>
      <c r="B178" s="119" t="s">
        <v>136</v>
      </c>
      <c r="C178" s="119" t="s">
        <v>165</v>
      </c>
      <c r="D178" s="119" t="s">
        <v>154</v>
      </c>
      <c r="E178" s="119">
        <v>100</v>
      </c>
      <c r="F178" s="119" t="s">
        <v>124</v>
      </c>
      <c r="G178" s="119">
        <v>28</v>
      </c>
      <c r="I178" s="119" t="s">
        <v>120</v>
      </c>
    </row>
    <row r="179" spans="1:9">
      <c r="A179" s="119">
        <v>109</v>
      </c>
      <c r="B179" s="119" t="s">
        <v>136</v>
      </c>
      <c r="C179" s="119" t="s">
        <v>165</v>
      </c>
      <c r="D179" s="119" t="s">
        <v>154</v>
      </c>
      <c r="E179" s="119">
        <v>75</v>
      </c>
      <c r="F179" s="119" t="s">
        <v>125</v>
      </c>
      <c r="G179" s="119">
        <v>28</v>
      </c>
      <c r="I179" s="119" t="s">
        <v>120</v>
      </c>
    </row>
    <row r="180" spans="1:9">
      <c r="A180" s="119">
        <v>112</v>
      </c>
      <c r="B180" s="119" t="s">
        <v>136</v>
      </c>
      <c r="C180" s="119" t="s">
        <v>165</v>
      </c>
      <c r="D180" s="119" t="s">
        <v>154</v>
      </c>
      <c r="E180" s="119">
        <v>50</v>
      </c>
      <c r="F180" s="119" t="s">
        <v>127</v>
      </c>
      <c r="G180" s="119">
        <v>28</v>
      </c>
      <c r="I180" s="119" t="s">
        <v>120</v>
      </c>
    </row>
    <row r="181" spans="1:9">
      <c r="A181" s="119">
        <v>114</v>
      </c>
      <c r="B181" s="119" t="s">
        <v>136</v>
      </c>
      <c r="C181" s="119" t="s">
        <v>165</v>
      </c>
      <c r="D181" s="119" t="s">
        <v>154</v>
      </c>
      <c r="E181" s="119">
        <v>25</v>
      </c>
      <c r="F181" s="119" t="s">
        <v>129</v>
      </c>
      <c r="G181" s="119">
        <v>28</v>
      </c>
      <c r="I181" s="119" t="s">
        <v>120</v>
      </c>
    </row>
    <row r="182" spans="1:9">
      <c r="A182" s="119">
        <v>120</v>
      </c>
      <c r="B182" s="119" t="s">
        <v>136</v>
      </c>
      <c r="C182" s="119" t="s">
        <v>165</v>
      </c>
      <c r="D182" s="119" t="s">
        <v>154</v>
      </c>
      <c r="E182" s="119">
        <v>5</v>
      </c>
      <c r="F182" s="119" t="s">
        <v>142</v>
      </c>
      <c r="G182" s="119">
        <v>28</v>
      </c>
      <c r="I182" s="119" t="s">
        <v>120</v>
      </c>
    </row>
    <row r="183" spans="1:9">
      <c r="A183" s="119">
        <v>112</v>
      </c>
      <c r="B183" s="119" t="s">
        <v>137</v>
      </c>
      <c r="C183" s="119" t="s">
        <v>165</v>
      </c>
      <c r="D183" s="119" t="s">
        <v>154</v>
      </c>
      <c r="E183" s="119">
        <v>50</v>
      </c>
      <c r="F183" s="119" t="s">
        <v>127</v>
      </c>
      <c r="G183" s="119">
        <v>28</v>
      </c>
      <c r="I183" s="119" t="s">
        <v>120</v>
      </c>
    </row>
    <row r="184" spans="1:9">
      <c r="A184" s="119">
        <v>114</v>
      </c>
      <c r="B184" s="119" t="s">
        <v>137</v>
      </c>
      <c r="C184" s="119" t="s">
        <v>165</v>
      </c>
      <c r="D184" s="119" t="s">
        <v>154</v>
      </c>
      <c r="E184" s="119">
        <v>25</v>
      </c>
      <c r="F184" s="119" t="s">
        <v>129</v>
      </c>
      <c r="G184" s="119">
        <v>28</v>
      </c>
      <c r="I184" s="119" t="s">
        <v>120</v>
      </c>
    </row>
    <row r="185" spans="1:9">
      <c r="A185" s="119">
        <v>120</v>
      </c>
      <c r="B185" s="119" t="s">
        <v>137</v>
      </c>
      <c r="C185" s="119" t="s">
        <v>165</v>
      </c>
      <c r="D185" s="119" t="s">
        <v>154</v>
      </c>
      <c r="E185" s="119">
        <v>5</v>
      </c>
      <c r="F185" s="119" t="s">
        <v>142</v>
      </c>
      <c r="G185" s="119">
        <v>28</v>
      </c>
      <c r="I185" s="119" t="s">
        <v>120</v>
      </c>
    </row>
    <row r="186" spans="1:9">
      <c r="A186" s="119">
        <v>116</v>
      </c>
      <c r="B186" s="119" t="s">
        <v>155</v>
      </c>
      <c r="C186" s="119" t="s">
        <v>165</v>
      </c>
      <c r="D186" s="119" t="s">
        <v>154</v>
      </c>
      <c r="E186" s="119">
        <v>5</v>
      </c>
      <c r="F186" s="119" t="s">
        <v>131</v>
      </c>
      <c r="G186" s="119">
        <v>28</v>
      </c>
      <c r="I186" s="119" t="s">
        <v>120</v>
      </c>
    </row>
    <row r="187" spans="1:9">
      <c r="A187" s="119">
        <v>120</v>
      </c>
      <c r="B187" s="119" t="s">
        <v>156</v>
      </c>
      <c r="C187" s="119" t="s">
        <v>165</v>
      </c>
      <c r="D187" s="119" t="s">
        <v>154</v>
      </c>
      <c r="E187" s="119">
        <v>5</v>
      </c>
      <c r="F187" s="119" t="s">
        <v>142</v>
      </c>
      <c r="G187" s="119">
        <v>28</v>
      </c>
      <c r="I187" s="119" t="s">
        <v>120</v>
      </c>
    </row>
    <row r="188" spans="1:9">
      <c r="A188" s="119">
        <v>119</v>
      </c>
      <c r="B188" s="119" t="s">
        <v>157</v>
      </c>
      <c r="C188" s="119" t="s">
        <v>165</v>
      </c>
      <c r="D188" s="119" t="s">
        <v>154</v>
      </c>
      <c r="E188" s="119">
        <v>5</v>
      </c>
      <c r="F188" s="119" t="s">
        <v>138</v>
      </c>
      <c r="G188" s="119">
        <v>28</v>
      </c>
      <c r="I188" s="119" t="s">
        <v>120</v>
      </c>
    </row>
    <row r="189" spans="1:9">
      <c r="A189" s="119">
        <v>118</v>
      </c>
      <c r="B189" s="119" t="s">
        <v>158</v>
      </c>
      <c r="C189" s="119" t="s">
        <v>165</v>
      </c>
      <c r="D189" s="119" t="s">
        <v>154</v>
      </c>
      <c r="E189" s="119">
        <v>5</v>
      </c>
      <c r="F189" s="119" t="s">
        <v>135</v>
      </c>
      <c r="G189" s="119">
        <v>28</v>
      </c>
    </row>
    <row r="190" spans="1:9">
      <c r="A190" s="119">
        <v>103</v>
      </c>
      <c r="B190" s="119" t="s">
        <v>159</v>
      </c>
      <c r="C190" s="119" t="s">
        <v>165</v>
      </c>
      <c r="D190" s="119" t="s">
        <v>154</v>
      </c>
      <c r="E190" s="119">
        <v>150</v>
      </c>
      <c r="F190" s="119" t="s">
        <v>118</v>
      </c>
      <c r="G190" s="119">
        <v>28</v>
      </c>
      <c r="I190" s="119" t="s">
        <v>120</v>
      </c>
    </row>
    <row r="191" spans="1:9">
      <c r="A191" s="119">
        <v>107</v>
      </c>
      <c r="B191" s="119" t="s">
        <v>159</v>
      </c>
      <c r="C191" s="119" t="s">
        <v>165</v>
      </c>
      <c r="D191" s="119" t="s">
        <v>154</v>
      </c>
      <c r="E191" s="119">
        <v>100</v>
      </c>
      <c r="F191" s="119" t="s">
        <v>123</v>
      </c>
      <c r="G191" s="119">
        <v>28</v>
      </c>
      <c r="I191" s="119" t="s">
        <v>120</v>
      </c>
    </row>
    <row r="192" spans="1:9">
      <c r="A192" s="119">
        <v>111</v>
      </c>
      <c r="B192" s="119" t="s">
        <v>159</v>
      </c>
      <c r="C192" s="119" t="s">
        <v>165</v>
      </c>
      <c r="D192" s="119" t="s">
        <v>154</v>
      </c>
      <c r="E192" s="119">
        <v>50</v>
      </c>
      <c r="F192" s="119" t="s">
        <v>126</v>
      </c>
      <c r="G192" s="119">
        <v>28</v>
      </c>
      <c r="I192" s="119" t="s">
        <v>120</v>
      </c>
    </row>
    <row r="193" spans="1:9">
      <c r="A193" s="119">
        <v>113</v>
      </c>
      <c r="B193" s="119" t="s">
        <v>159</v>
      </c>
      <c r="C193" s="119" t="s">
        <v>165</v>
      </c>
      <c r="D193" s="119" t="s">
        <v>154</v>
      </c>
      <c r="E193" s="119">
        <v>25</v>
      </c>
      <c r="F193" s="119" t="s">
        <v>128</v>
      </c>
      <c r="G193" s="119">
        <v>28</v>
      </c>
      <c r="I193" s="119" t="s">
        <v>120</v>
      </c>
    </row>
    <row r="194" spans="1:9">
      <c r="A194" s="119">
        <v>119</v>
      </c>
      <c r="B194" s="119" t="s">
        <v>159</v>
      </c>
      <c r="C194" s="119" t="s">
        <v>165</v>
      </c>
      <c r="D194" s="119" t="s">
        <v>154</v>
      </c>
      <c r="E194" s="119">
        <v>5</v>
      </c>
      <c r="F194" s="119" t="s">
        <v>138</v>
      </c>
      <c r="G194" s="119">
        <v>28</v>
      </c>
      <c r="I194" s="119" t="s">
        <v>120</v>
      </c>
    </row>
    <row r="195" spans="1:9">
      <c r="A195" s="119">
        <v>106</v>
      </c>
      <c r="B195" s="119" t="s">
        <v>160</v>
      </c>
      <c r="C195" s="119" t="s">
        <v>165</v>
      </c>
      <c r="D195" s="119" t="s">
        <v>154</v>
      </c>
      <c r="E195" s="119">
        <v>100</v>
      </c>
      <c r="F195" s="119" t="s">
        <v>122</v>
      </c>
      <c r="G195" s="119">
        <v>28</v>
      </c>
      <c r="I195" s="119" t="s">
        <v>120</v>
      </c>
    </row>
    <row r="196" spans="1:9">
      <c r="A196" s="119">
        <v>110</v>
      </c>
      <c r="B196" s="119" t="s">
        <v>160</v>
      </c>
      <c r="C196" s="119" t="s">
        <v>165</v>
      </c>
      <c r="D196" s="119" t="s">
        <v>154</v>
      </c>
      <c r="E196" s="119">
        <v>50</v>
      </c>
      <c r="F196" s="119" t="s">
        <v>134</v>
      </c>
      <c r="G196" s="119">
        <v>28</v>
      </c>
      <c r="I196" s="119" t="s">
        <v>120</v>
      </c>
    </row>
    <row r="197" spans="1:9">
      <c r="A197" s="119">
        <v>115</v>
      </c>
      <c r="B197" s="119" t="s">
        <v>160</v>
      </c>
      <c r="C197" s="119" t="s">
        <v>165</v>
      </c>
      <c r="D197" s="119" t="s">
        <v>154</v>
      </c>
      <c r="E197" s="119">
        <v>25</v>
      </c>
      <c r="F197" s="119" t="s">
        <v>130</v>
      </c>
      <c r="G197" s="119">
        <v>28</v>
      </c>
      <c r="I197" s="119" t="s">
        <v>120</v>
      </c>
    </row>
    <row r="198" spans="1:9">
      <c r="A198" s="119">
        <v>117</v>
      </c>
      <c r="B198" s="119" t="s">
        <v>160</v>
      </c>
      <c r="C198" s="119" t="s">
        <v>165</v>
      </c>
      <c r="D198" s="119" t="s">
        <v>154</v>
      </c>
      <c r="E198" s="119">
        <v>5</v>
      </c>
      <c r="F198" s="119" t="s">
        <v>132</v>
      </c>
      <c r="G198" s="119">
        <v>28</v>
      </c>
      <c r="I198" s="119" t="s">
        <v>120</v>
      </c>
    </row>
    <row r="199" spans="1:9">
      <c r="A199" s="119">
        <v>121</v>
      </c>
      <c r="B199" s="119" t="s">
        <v>139</v>
      </c>
      <c r="C199" s="119" t="s">
        <v>166</v>
      </c>
      <c r="D199" s="119" t="s">
        <v>154</v>
      </c>
      <c r="E199" s="119">
        <v>300</v>
      </c>
      <c r="F199" s="119" t="s">
        <v>133</v>
      </c>
      <c r="G199" s="119">
        <v>32</v>
      </c>
    </row>
    <row r="200" spans="1:9">
      <c r="A200" s="119">
        <v>122</v>
      </c>
      <c r="B200" s="119" t="s">
        <v>139</v>
      </c>
      <c r="C200" s="119" t="s">
        <v>166</v>
      </c>
      <c r="D200" s="119" t="s">
        <v>154</v>
      </c>
      <c r="E200" s="119">
        <v>200</v>
      </c>
      <c r="F200" s="119" t="s">
        <v>117</v>
      </c>
      <c r="G200" s="119">
        <v>32</v>
      </c>
    </row>
    <row r="201" spans="1:9">
      <c r="A201" s="119">
        <v>124</v>
      </c>
      <c r="B201" s="119" t="s">
        <v>139</v>
      </c>
      <c r="C201" s="119" t="s">
        <v>166</v>
      </c>
      <c r="D201" s="119" t="s">
        <v>154</v>
      </c>
      <c r="E201" s="119">
        <v>150</v>
      </c>
      <c r="F201" s="119" t="s">
        <v>119</v>
      </c>
      <c r="G201" s="119">
        <v>32</v>
      </c>
    </row>
    <row r="202" spans="1:9">
      <c r="A202" s="119">
        <v>125</v>
      </c>
      <c r="B202" s="119" t="s">
        <v>139</v>
      </c>
      <c r="C202" s="119" t="s">
        <v>166</v>
      </c>
      <c r="D202" s="119" t="s">
        <v>154</v>
      </c>
      <c r="E202" s="119">
        <v>125</v>
      </c>
      <c r="F202" s="119" t="s">
        <v>121</v>
      </c>
      <c r="G202" s="119">
        <v>32</v>
      </c>
    </row>
    <row r="203" spans="1:9">
      <c r="A203" s="119">
        <v>128</v>
      </c>
      <c r="B203" s="119" t="s">
        <v>139</v>
      </c>
      <c r="C203" s="119" t="s">
        <v>166</v>
      </c>
      <c r="D203" s="119" t="s">
        <v>154</v>
      </c>
      <c r="E203" s="119">
        <v>100</v>
      </c>
      <c r="F203" s="119" t="s">
        <v>124</v>
      </c>
      <c r="G203" s="119">
        <v>32</v>
      </c>
      <c r="I203" s="119" t="s">
        <v>120</v>
      </c>
    </row>
    <row r="204" spans="1:9">
      <c r="A204" s="119">
        <v>129</v>
      </c>
      <c r="B204" s="119" t="s">
        <v>139</v>
      </c>
      <c r="C204" s="119" t="s">
        <v>166</v>
      </c>
      <c r="D204" s="119" t="s">
        <v>154</v>
      </c>
      <c r="E204" s="119">
        <v>75</v>
      </c>
      <c r="F204" s="119" t="s">
        <v>125</v>
      </c>
      <c r="G204" s="119">
        <v>32</v>
      </c>
    </row>
    <row r="205" spans="1:9">
      <c r="A205" s="119">
        <v>132</v>
      </c>
      <c r="B205" s="119" t="s">
        <v>139</v>
      </c>
      <c r="C205" s="119" t="s">
        <v>166</v>
      </c>
      <c r="D205" s="119" t="s">
        <v>154</v>
      </c>
      <c r="E205" s="119">
        <v>50</v>
      </c>
      <c r="F205" s="119" t="s">
        <v>127</v>
      </c>
      <c r="G205" s="119">
        <v>32</v>
      </c>
    </row>
    <row r="206" spans="1:9">
      <c r="A206" s="119">
        <v>134</v>
      </c>
      <c r="B206" s="119" t="s">
        <v>139</v>
      </c>
      <c r="C206" s="119" t="s">
        <v>166</v>
      </c>
      <c r="D206" s="119" t="s">
        <v>154</v>
      </c>
      <c r="E206" s="119">
        <v>25</v>
      </c>
      <c r="F206" s="119" t="s">
        <v>129</v>
      </c>
      <c r="G206" s="119">
        <v>32</v>
      </c>
    </row>
    <row r="207" spans="1:9">
      <c r="A207" s="119">
        <v>140</v>
      </c>
      <c r="B207" s="119" t="s">
        <v>139</v>
      </c>
      <c r="C207" s="119" t="s">
        <v>166</v>
      </c>
      <c r="D207" s="119" t="s">
        <v>154</v>
      </c>
      <c r="E207" s="119">
        <v>5</v>
      </c>
      <c r="F207" s="119" t="s">
        <v>142</v>
      </c>
      <c r="G207" s="119">
        <v>32</v>
      </c>
    </row>
    <row r="208" spans="1:9">
      <c r="A208" s="119">
        <v>124</v>
      </c>
      <c r="B208" s="119" t="s">
        <v>136</v>
      </c>
      <c r="C208" s="119" t="s">
        <v>166</v>
      </c>
      <c r="D208" s="119" t="s">
        <v>154</v>
      </c>
      <c r="E208" s="119">
        <v>150</v>
      </c>
      <c r="F208" s="119" t="s">
        <v>119</v>
      </c>
      <c r="G208" s="119">
        <v>32</v>
      </c>
      <c r="I208" s="119" t="s">
        <v>120</v>
      </c>
    </row>
    <row r="209" spans="1:9">
      <c r="A209" s="119">
        <v>128</v>
      </c>
      <c r="B209" s="119" t="s">
        <v>136</v>
      </c>
      <c r="C209" s="119" t="s">
        <v>166</v>
      </c>
      <c r="D209" s="119" t="s">
        <v>154</v>
      </c>
      <c r="E209" s="119">
        <v>100</v>
      </c>
      <c r="F209" s="119" t="s">
        <v>124</v>
      </c>
      <c r="G209" s="119">
        <v>32</v>
      </c>
      <c r="I209" s="119" t="s">
        <v>120</v>
      </c>
    </row>
    <row r="210" spans="1:9">
      <c r="A210" s="119">
        <v>129</v>
      </c>
      <c r="B210" s="119" t="s">
        <v>136</v>
      </c>
      <c r="C210" s="119" t="s">
        <v>166</v>
      </c>
      <c r="D210" s="119" t="s">
        <v>154</v>
      </c>
      <c r="E210" s="119">
        <v>75</v>
      </c>
      <c r="F210" s="119" t="s">
        <v>125</v>
      </c>
      <c r="G210" s="119">
        <v>32</v>
      </c>
      <c r="I210" s="119" t="s">
        <v>120</v>
      </c>
    </row>
    <row r="211" spans="1:9">
      <c r="A211" s="119">
        <v>132</v>
      </c>
      <c r="B211" s="119" t="s">
        <v>136</v>
      </c>
      <c r="C211" s="119" t="s">
        <v>166</v>
      </c>
      <c r="D211" s="119" t="s">
        <v>154</v>
      </c>
      <c r="E211" s="119">
        <v>50</v>
      </c>
      <c r="F211" s="119" t="s">
        <v>127</v>
      </c>
      <c r="G211" s="119">
        <v>32</v>
      </c>
      <c r="I211" s="119" t="s">
        <v>120</v>
      </c>
    </row>
    <row r="212" spans="1:9">
      <c r="A212" s="119">
        <v>134</v>
      </c>
      <c r="B212" s="119" t="s">
        <v>136</v>
      </c>
      <c r="C212" s="119" t="s">
        <v>166</v>
      </c>
      <c r="D212" s="119" t="s">
        <v>154</v>
      </c>
      <c r="E212" s="119">
        <v>25</v>
      </c>
      <c r="F212" s="119" t="s">
        <v>129</v>
      </c>
      <c r="G212" s="119">
        <v>32</v>
      </c>
      <c r="I212" s="119" t="s">
        <v>120</v>
      </c>
    </row>
    <row r="213" spans="1:9">
      <c r="A213" s="119">
        <v>140</v>
      </c>
      <c r="B213" s="119" t="s">
        <v>136</v>
      </c>
      <c r="C213" s="119" t="s">
        <v>166</v>
      </c>
      <c r="D213" s="119" t="s">
        <v>154</v>
      </c>
      <c r="E213" s="119">
        <v>5</v>
      </c>
      <c r="F213" s="119" t="s">
        <v>142</v>
      </c>
      <c r="G213" s="119">
        <v>32</v>
      </c>
      <c r="I213" s="119" t="s">
        <v>120</v>
      </c>
    </row>
    <row r="214" spans="1:9">
      <c r="A214" s="119">
        <v>132</v>
      </c>
      <c r="B214" s="119" t="s">
        <v>137</v>
      </c>
      <c r="C214" s="119" t="s">
        <v>166</v>
      </c>
      <c r="D214" s="119" t="s">
        <v>154</v>
      </c>
      <c r="E214" s="119">
        <v>50</v>
      </c>
      <c r="F214" s="119" t="s">
        <v>127</v>
      </c>
      <c r="G214" s="119">
        <v>32</v>
      </c>
      <c r="I214" s="119" t="s">
        <v>120</v>
      </c>
    </row>
    <row r="215" spans="1:9">
      <c r="A215" s="119">
        <v>134</v>
      </c>
      <c r="B215" s="119" t="s">
        <v>137</v>
      </c>
      <c r="C215" s="119" t="s">
        <v>166</v>
      </c>
      <c r="D215" s="119" t="s">
        <v>154</v>
      </c>
      <c r="E215" s="119">
        <v>25</v>
      </c>
      <c r="F215" s="119" t="s">
        <v>129</v>
      </c>
      <c r="G215" s="119">
        <v>32</v>
      </c>
      <c r="I215" s="119" t="s">
        <v>120</v>
      </c>
    </row>
    <row r="216" spans="1:9">
      <c r="A216" s="119">
        <v>140</v>
      </c>
      <c r="B216" s="119" t="s">
        <v>137</v>
      </c>
      <c r="C216" s="119" t="s">
        <v>166</v>
      </c>
      <c r="D216" s="119" t="s">
        <v>154</v>
      </c>
      <c r="E216" s="119">
        <v>5</v>
      </c>
      <c r="F216" s="119" t="s">
        <v>142</v>
      </c>
      <c r="G216" s="119">
        <v>32</v>
      </c>
      <c r="I216" s="119" t="s">
        <v>120</v>
      </c>
    </row>
    <row r="217" spans="1:9">
      <c r="A217" s="119">
        <v>136</v>
      </c>
      <c r="B217" s="119" t="s">
        <v>155</v>
      </c>
      <c r="C217" s="119" t="s">
        <v>166</v>
      </c>
      <c r="D217" s="119" t="s">
        <v>154</v>
      </c>
      <c r="E217" s="119">
        <v>5</v>
      </c>
      <c r="F217" s="119" t="s">
        <v>131</v>
      </c>
      <c r="G217" s="119">
        <v>32</v>
      </c>
      <c r="I217" s="119" t="s">
        <v>120</v>
      </c>
    </row>
    <row r="218" spans="1:9">
      <c r="A218" s="119">
        <v>140</v>
      </c>
      <c r="B218" s="119" t="s">
        <v>156</v>
      </c>
      <c r="C218" s="119" t="s">
        <v>166</v>
      </c>
      <c r="D218" s="119" t="s">
        <v>154</v>
      </c>
      <c r="E218" s="119">
        <v>5</v>
      </c>
      <c r="F218" s="119" t="s">
        <v>142</v>
      </c>
      <c r="G218" s="119">
        <v>32</v>
      </c>
      <c r="I218" s="119" t="s">
        <v>120</v>
      </c>
    </row>
    <row r="219" spans="1:9">
      <c r="A219" s="119">
        <v>139</v>
      </c>
      <c r="B219" s="119" t="s">
        <v>157</v>
      </c>
      <c r="C219" s="119" t="s">
        <v>166</v>
      </c>
      <c r="D219" s="119" t="s">
        <v>154</v>
      </c>
      <c r="E219" s="119">
        <v>5</v>
      </c>
      <c r="F219" s="119" t="s">
        <v>138</v>
      </c>
      <c r="G219" s="119">
        <v>32</v>
      </c>
      <c r="I219" s="119" t="s">
        <v>120</v>
      </c>
    </row>
    <row r="220" spans="1:9">
      <c r="A220" s="119">
        <v>138</v>
      </c>
      <c r="B220" s="119" t="s">
        <v>158</v>
      </c>
      <c r="C220" s="119" t="s">
        <v>166</v>
      </c>
      <c r="D220" s="119" t="s">
        <v>154</v>
      </c>
      <c r="E220" s="119">
        <v>5</v>
      </c>
      <c r="F220" s="119" t="s">
        <v>135</v>
      </c>
      <c r="G220" s="119">
        <v>32</v>
      </c>
    </row>
    <row r="221" spans="1:9">
      <c r="A221" s="119">
        <v>123</v>
      </c>
      <c r="B221" s="119" t="s">
        <v>159</v>
      </c>
      <c r="C221" s="119" t="s">
        <v>166</v>
      </c>
      <c r="D221" s="119" t="s">
        <v>154</v>
      </c>
      <c r="E221" s="119">
        <v>150</v>
      </c>
      <c r="F221" s="119" t="s">
        <v>118</v>
      </c>
      <c r="G221" s="119">
        <v>32</v>
      </c>
      <c r="I221" s="119" t="s">
        <v>120</v>
      </c>
    </row>
    <row r="222" spans="1:9">
      <c r="A222" s="119">
        <v>127</v>
      </c>
      <c r="B222" s="119" t="s">
        <v>159</v>
      </c>
      <c r="C222" s="119" t="s">
        <v>166</v>
      </c>
      <c r="D222" s="119" t="s">
        <v>154</v>
      </c>
      <c r="E222" s="119">
        <v>100</v>
      </c>
      <c r="F222" s="119" t="s">
        <v>123</v>
      </c>
      <c r="G222" s="119">
        <v>32</v>
      </c>
      <c r="I222" s="119" t="s">
        <v>120</v>
      </c>
    </row>
    <row r="223" spans="1:9">
      <c r="A223" s="119">
        <v>131</v>
      </c>
      <c r="B223" s="119" t="s">
        <v>159</v>
      </c>
      <c r="C223" s="119" t="s">
        <v>166</v>
      </c>
      <c r="D223" s="119" t="s">
        <v>154</v>
      </c>
      <c r="E223" s="119">
        <v>50</v>
      </c>
      <c r="F223" s="119" t="s">
        <v>126</v>
      </c>
      <c r="G223" s="119">
        <v>32</v>
      </c>
      <c r="I223" s="119" t="s">
        <v>120</v>
      </c>
    </row>
    <row r="224" spans="1:9">
      <c r="A224" s="119">
        <v>133</v>
      </c>
      <c r="B224" s="119" t="s">
        <v>159</v>
      </c>
      <c r="C224" s="119" t="s">
        <v>166</v>
      </c>
      <c r="D224" s="119" t="s">
        <v>154</v>
      </c>
      <c r="E224" s="119">
        <v>25</v>
      </c>
      <c r="F224" s="119" t="s">
        <v>128</v>
      </c>
      <c r="G224" s="119">
        <v>32</v>
      </c>
      <c r="I224" s="119" t="s">
        <v>120</v>
      </c>
    </row>
    <row r="225" spans="1:9">
      <c r="A225" s="119">
        <v>139</v>
      </c>
      <c r="B225" s="119" t="s">
        <v>159</v>
      </c>
      <c r="C225" s="119" t="s">
        <v>166</v>
      </c>
      <c r="D225" s="119" t="s">
        <v>154</v>
      </c>
      <c r="E225" s="119">
        <v>5</v>
      </c>
      <c r="F225" s="119" t="s">
        <v>138</v>
      </c>
      <c r="G225" s="119">
        <v>32</v>
      </c>
      <c r="I225" s="119" t="s">
        <v>120</v>
      </c>
    </row>
    <row r="226" spans="1:9">
      <c r="A226" s="119">
        <v>126</v>
      </c>
      <c r="B226" s="119" t="s">
        <v>160</v>
      </c>
      <c r="C226" s="119" t="s">
        <v>166</v>
      </c>
      <c r="D226" s="119" t="s">
        <v>154</v>
      </c>
      <c r="E226" s="119">
        <v>100</v>
      </c>
      <c r="F226" s="119" t="s">
        <v>122</v>
      </c>
      <c r="G226" s="119">
        <v>32</v>
      </c>
      <c r="I226" s="119" t="s">
        <v>120</v>
      </c>
    </row>
    <row r="227" spans="1:9">
      <c r="A227" s="119">
        <v>130</v>
      </c>
      <c r="B227" s="119" t="s">
        <v>160</v>
      </c>
      <c r="C227" s="119" t="s">
        <v>166</v>
      </c>
      <c r="D227" s="119" t="s">
        <v>154</v>
      </c>
      <c r="E227" s="119">
        <v>50</v>
      </c>
      <c r="F227" s="119" t="s">
        <v>134</v>
      </c>
      <c r="G227" s="119">
        <v>32</v>
      </c>
      <c r="I227" s="119" t="s">
        <v>120</v>
      </c>
    </row>
    <row r="228" spans="1:9">
      <c r="A228" s="119">
        <v>135</v>
      </c>
      <c r="B228" s="119" t="s">
        <v>160</v>
      </c>
      <c r="C228" s="119" t="s">
        <v>166</v>
      </c>
      <c r="D228" s="119" t="s">
        <v>154</v>
      </c>
      <c r="E228" s="119">
        <v>25</v>
      </c>
      <c r="F228" s="119" t="s">
        <v>130</v>
      </c>
      <c r="G228" s="119">
        <v>32</v>
      </c>
      <c r="I228" s="119" t="s">
        <v>120</v>
      </c>
    </row>
    <row r="229" spans="1:9">
      <c r="A229" s="119">
        <v>137</v>
      </c>
      <c r="B229" s="119" t="s">
        <v>160</v>
      </c>
      <c r="C229" s="119" t="s">
        <v>166</v>
      </c>
      <c r="D229" s="119" t="s">
        <v>154</v>
      </c>
      <c r="E229" s="119">
        <v>5</v>
      </c>
      <c r="F229" s="119" t="s">
        <v>132</v>
      </c>
      <c r="G229" s="119">
        <v>32</v>
      </c>
      <c r="I229" s="119" t="s">
        <v>120</v>
      </c>
    </row>
    <row r="230" spans="1:9">
      <c r="A230" s="119">
        <v>141</v>
      </c>
      <c r="B230" s="119" t="s">
        <v>139</v>
      </c>
      <c r="C230" s="119" t="s">
        <v>167</v>
      </c>
      <c r="D230" s="119" t="s">
        <v>154</v>
      </c>
      <c r="E230" s="119">
        <v>300</v>
      </c>
      <c r="F230" s="119" t="s">
        <v>133</v>
      </c>
      <c r="G230" s="119">
        <v>36</v>
      </c>
      <c r="I230" s="119" t="s">
        <v>120</v>
      </c>
    </row>
    <row r="231" spans="1:9">
      <c r="A231" s="119">
        <v>142</v>
      </c>
      <c r="B231" s="119" t="s">
        <v>139</v>
      </c>
      <c r="C231" s="119" t="s">
        <v>167</v>
      </c>
      <c r="D231" s="119" t="s">
        <v>154</v>
      </c>
      <c r="E231" s="119">
        <v>200</v>
      </c>
      <c r="F231" s="119" t="s">
        <v>117</v>
      </c>
      <c r="G231" s="119">
        <v>36</v>
      </c>
    </row>
    <row r="232" spans="1:9">
      <c r="A232" s="119">
        <v>144</v>
      </c>
      <c r="B232" s="119" t="s">
        <v>139</v>
      </c>
      <c r="C232" s="119" t="s">
        <v>167</v>
      </c>
      <c r="D232" s="119" t="s">
        <v>154</v>
      </c>
      <c r="E232" s="119">
        <v>150</v>
      </c>
      <c r="F232" s="119" t="s">
        <v>119</v>
      </c>
      <c r="G232" s="119">
        <v>36</v>
      </c>
    </row>
    <row r="233" spans="1:9">
      <c r="A233" s="119">
        <v>145</v>
      </c>
      <c r="B233" s="119" t="s">
        <v>139</v>
      </c>
      <c r="C233" s="119" t="s">
        <v>167</v>
      </c>
      <c r="D233" s="119" t="s">
        <v>154</v>
      </c>
      <c r="E233" s="119">
        <v>125</v>
      </c>
      <c r="F233" s="119" t="s">
        <v>121</v>
      </c>
      <c r="G233" s="119">
        <v>36</v>
      </c>
    </row>
    <row r="234" spans="1:9">
      <c r="A234" s="119">
        <v>148</v>
      </c>
      <c r="B234" s="119" t="s">
        <v>139</v>
      </c>
      <c r="C234" s="119" t="s">
        <v>167</v>
      </c>
      <c r="D234" s="119" t="s">
        <v>154</v>
      </c>
      <c r="E234" s="119">
        <v>100</v>
      </c>
      <c r="F234" s="119" t="s">
        <v>124</v>
      </c>
      <c r="G234" s="119">
        <v>36</v>
      </c>
    </row>
    <row r="235" spans="1:9">
      <c r="A235" s="119">
        <v>149</v>
      </c>
      <c r="B235" s="119" t="s">
        <v>139</v>
      </c>
      <c r="C235" s="119" t="s">
        <v>167</v>
      </c>
      <c r="D235" s="119" t="s">
        <v>154</v>
      </c>
      <c r="E235" s="119">
        <v>75</v>
      </c>
      <c r="F235" s="119" t="s">
        <v>125</v>
      </c>
      <c r="G235" s="119">
        <v>36</v>
      </c>
    </row>
    <row r="236" spans="1:9">
      <c r="A236" s="119">
        <v>152</v>
      </c>
      <c r="B236" s="119" t="s">
        <v>139</v>
      </c>
      <c r="C236" s="119" t="s">
        <v>167</v>
      </c>
      <c r="D236" s="119" t="s">
        <v>154</v>
      </c>
      <c r="E236" s="119">
        <v>50</v>
      </c>
      <c r="F236" s="119" t="s">
        <v>127</v>
      </c>
      <c r="G236" s="119">
        <v>36</v>
      </c>
    </row>
    <row r="237" spans="1:9">
      <c r="A237" s="119">
        <v>154</v>
      </c>
      <c r="B237" s="119" t="s">
        <v>139</v>
      </c>
      <c r="C237" s="119" t="s">
        <v>167</v>
      </c>
      <c r="D237" s="119" t="s">
        <v>154</v>
      </c>
      <c r="E237" s="119">
        <v>25</v>
      </c>
      <c r="F237" s="119" t="s">
        <v>129</v>
      </c>
      <c r="G237" s="119">
        <v>36</v>
      </c>
    </row>
    <row r="238" spans="1:9">
      <c r="A238" s="119">
        <v>160</v>
      </c>
      <c r="B238" s="119" t="s">
        <v>139</v>
      </c>
      <c r="C238" s="119" t="s">
        <v>167</v>
      </c>
      <c r="D238" s="119" t="s">
        <v>154</v>
      </c>
      <c r="E238" s="119">
        <v>5</v>
      </c>
      <c r="F238" s="119" t="s">
        <v>142</v>
      </c>
      <c r="G238" s="119">
        <v>36</v>
      </c>
    </row>
    <row r="239" spans="1:9">
      <c r="A239" s="119">
        <v>144</v>
      </c>
      <c r="B239" s="119" t="s">
        <v>136</v>
      </c>
      <c r="C239" s="119" t="s">
        <v>167</v>
      </c>
      <c r="D239" s="119" t="s">
        <v>154</v>
      </c>
      <c r="E239" s="119">
        <v>150</v>
      </c>
      <c r="F239" s="119" t="s">
        <v>119</v>
      </c>
      <c r="G239" s="119">
        <v>36</v>
      </c>
      <c r="I239" s="119" t="s">
        <v>120</v>
      </c>
    </row>
    <row r="240" spans="1:9">
      <c r="A240" s="119">
        <v>148</v>
      </c>
      <c r="B240" s="119" t="s">
        <v>136</v>
      </c>
      <c r="C240" s="119" t="s">
        <v>167</v>
      </c>
      <c r="D240" s="119" t="s">
        <v>154</v>
      </c>
      <c r="E240" s="119">
        <v>100</v>
      </c>
      <c r="F240" s="119" t="s">
        <v>124</v>
      </c>
      <c r="G240" s="119">
        <v>36</v>
      </c>
      <c r="I240" s="119" t="s">
        <v>120</v>
      </c>
    </row>
    <row r="241" spans="1:9">
      <c r="A241" s="119">
        <v>149</v>
      </c>
      <c r="B241" s="119" t="s">
        <v>136</v>
      </c>
      <c r="C241" s="119" t="s">
        <v>167</v>
      </c>
      <c r="D241" s="119" t="s">
        <v>154</v>
      </c>
      <c r="E241" s="119">
        <v>75</v>
      </c>
      <c r="F241" s="119" t="s">
        <v>125</v>
      </c>
      <c r="G241" s="119">
        <v>36</v>
      </c>
      <c r="I241" s="119" t="s">
        <v>120</v>
      </c>
    </row>
    <row r="242" spans="1:9">
      <c r="A242" s="119">
        <v>152</v>
      </c>
      <c r="B242" s="119" t="s">
        <v>136</v>
      </c>
      <c r="C242" s="119" t="s">
        <v>167</v>
      </c>
      <c r="D242" s="119" t="s">
        <v>154</v>
      </c>
      <c r="E242" s="119">
        <v>50</v>
      </c>
      <c r="F242" s="119" t="s">
        <v>127</v>
      </c>
      <c r="G242" s="119">
        <v>36</v>
      </c>
      <c r="I242" s="119" t="s">
        <v>120</v>
      </c>
    </row>
    <row r="243" spans="1:9">
      <c r="A243" s="119">
        <v>154</v>
      </c>
      <c r="B243" s="119" t="s">
        <v>136</v>
      </c>
      <c r="C243" s="119" t="s">
        <v>167</v>
      </c>
      <c r="D243" s="119" t="s">
        <v>154</v>
      </c>
      <c r="E243" s="119">
        <v>25</v>
      </c>
      <c r="F243" s="119" t="s">
        <v>129</v>
      </c>
      <c r="G243" s="119">
        <v>36</v>
      </c>
      <c r="I243" s="119" t="s">
        <v>120</v>
      </c>
    </row>
    <row r="244" spans="1:9">
      <c r="A244" s="119">
        <v>160</v>
      </c>
      <c r="B244" s="119" t="s">
        <v>136</v>
      </c>
      <c r="C244" s="119" t="s">
        <v>167</v>
      </c>
      <c r="D244" s="119" t="s">
        <v>154</v>
      </c>
      <c r="E244" s="119">
        <v>5</v>
      </c>
      <c r="F244" s="119" t="s">
        <v>142</v>
      </c>
      <c r="G244" s="119">
        <v>36</v>
      </c>
      <c r="I244" s="119" t="s">
        <v>120</v>
      </c>
    </row>
    <row r="245" spans="1:9">
      <c r="A245" s="119">
        <v>152</v>
      </c>
      <c r="B245" s="119" t="s">
        <v>137</v>
      </c>
      <c r="C245" s="119" t="s">
        <v>167</v>
      </c>
      <c r="D245" s="119" t="s">
        <v>154</v>
      </c>
      <c r="E245" s="119">
        <v>50</v>
      </c>
      <c r="F245" s="119" t="s">
        <v>127</v>
      </c>
      <c r="G245" s="119">
        <v>36</v>
      </c>
      <c r="I245" s="119" t="s">
        <v>120</v>
      </c>
    </row>
    <row r="246" spans="1:9">
      <c r="A246" s="119">
        <v>154</v>
      </c>
      <c r="B246" s="119" t="s">
        <v>137</v>
      </c>
      <c r="C246" s="119" t="s">
        <v>167</v>
      </c>
      <c r="D246" s="119" t="s">
        <v>154</v>
      </c>
      <c r="E246" s="119">
        <v>25</v>
      </c>
      <c r="F246" s="119" t="s">
        <v>129</v>
      </c>
      <c r="G246" s="119">
        <v>36</v>
      </c>
      <c r="I246" s="119" t="s">
        <v>120</v>
      </c>
    </row>
    <row r="247" spans="1:9">
      <c r="A247" s="119">
        <v>160</v>
      </c>
      <c r="B247" s="119" t="s">
        <v>137</v>
      </c>
      <c r="C247" s="119" t="s">
        <v>167</v>
      </c>
      <c r="D247" s="119" t="s">
        <v>154</v>
      </c>
      <c r="E247" s="119">
        <v>5</v>
      </c>
      <c r="F247" s="119" t="s">
        <v>142</v>
      </c>
      <c r="G247" s="119">
        <v>36</v>
      </c>
      <c r="I247" s="119" t="s">
        <v>120</v>
      </c>
    </row>
    <row r="248" spans="1:9">
      <c r="A248" s="119">
        <v>156</v>
      </c>
      <c r="B248" s="119" t="s">
        <v>155</v>
      </c>
      <c r="C248" s="119" t="s">
        <v>167</v>
      </c>
      <c r="D248" s="119" t="s">
        <v>154</v>
      </c>
      <c r="E248" s="119">
        <v>5</v>
      </c>
      <c r="F248" s="119" t="s">
        <v>131</v>
      </c>
      <c r="G248" s="119">
        <v>36</v>
      </c>
      <c r="I248" s="119" t="s">
        <v>120</v>
      </c>
    </row>
    <row r="249" spans="1:9">
      <c r="A249" s="119">
        <v>160</v>
      </c>
      <c r="B249" s="119" t="s">
        <v>156</v>
      </c>
      <c r="C249" s="119" t="s">
        <v>167</v>
      </c>
      <c r="D249" s="119" t="s">
        <v>154</v>
      </c>
      <c r="E249" s="119">
        <v>5</v>
      </c>
      <c r="F249" s="119" t="s">
        <v>142</v>
      </c>
      <c r="G249" s="119">
        <v>36</v>
      </c>
      <c r="I249" s="119" t="s">
        <v>120</v>
      </c>
    </row>
    <row r="250" spans="1:9">
      <c r="A250" s="119">
        <v>159</v>
      </c>
      <c r="B250" s="119" t="s">
        <v>157</v>
      </c>
      <c r="C250" s="119" t="s">
        <v>167</v>
      </c>
      <c r="D250" s="119" t="s">
        <v>154</v>
      </c>
      <c r="E250" s="119">
        <v>5</v>
      </c>
      <c r="F250" s="119" t="s">
        <v>138</v>
      </c>
      <c r="G250" s="119">
        <v>36</v>
      </c>
      <c r="I250" s="119" t="s">
        <v>120</v>
      </c>
    </row>
    <row r="251" spans="1:9">
      <c r="A251" s="119">
        <v>158</v>
      </c>
      <c r="B251" s="119" t="s">
        <v>158</v>
      </c>
      <c r="C251" s="119" t="s">
        <v>167</v>
      </c>
      <c r="D251" s="119" t="s">
        <v>154</v>
      </c>
      <c r="E251" s="119">
        <v>5</v>
      </c>
      <c r="F251" s="119" t="s">
        <v>135</v>
      </c>
      <c r="G251" s="119">
        <v>36</v>
      </c>
    </row>
    <row r="252" spans="1:9">
      <c r="A252" s="119">
        <v>143</v>
      </c>
      <c r="B252" s="119" t="s">
        <v>159</v>
      </c>
      <c r="C252" s="119" t="s">
        <v>167</v>
      </c>
      <c r="D252" s="119" t="s">
        <v>154</v>
      </c>
      <c r="E252" s="119">
        <v>150</v>
      </c>
      <c r="F252" s="119" t="s">
        <v>118</v>
      </c>
      <c r="G252" s="119">
        <v>36</v>
      </c>
      <c r="I252" s="119" t="s">
        <v>120</v>
      </c>
    </row>
    <row r="253" spans="1:9">
      <c r="A253" s="119">
        <v>147</v>
      </c>
      <c r="B253" s="119" t="s">
        <v>159</v>
      </c>
      <c r="C253" s="119" t="s">
        <v>167</v>
      </c>
      <c r="D253" s="119" t="s">
        <v>154</v>
      </c>
      <c r="E253" s="119">
        <v>100</v>
      </c>
      <c r="F253" s="119" t="s">
        <v>123</v>
      </c>
      <c r="G253" s="119">
        <v>36</v>
      </c>
      <c r="I253" s="119" t="s">
        <v>120</v>
      </c>
    </row>
    <row r="254" spans="1:9">
      <c r="A254" s="119">
        <v>151</v>
      </c>
      <c r="B254" s="119" t="s">
        <v>159</v>
      </c>
      <c r="C254" s="119" t="s">
        <v>167</v>
      </c>
      <c r="D254" s="119" t="s">
        <v>154</v>
      </c>
      <c r="E254" s="119">
        <v>50</v>
      </c>
      <c r="F254" s="119" t="s">
        <v>126</v>
      </c>
      <c r="G254" s="119">
        <v>36</v>
      </c>
      <c r="I254" s="119" t="s">
        <v>120</v>
      </c>
    </row>
    <row r="255" spans="1:9">
      <c r="A255" s="119">
        <v>153</v>
      </c>
      <c r="B255" s="119" t="s">
        <v>159</v>
      </c>
      <c r="C255" s="119" t="s">
        <v>167</v>
      </c>
      <c r="D255" s="119" t="s">
        <v>154</v>
      </c>
      <c r="E255" s="119">
        <v>25</v>
      </c>
      <c r="F255" s="119" t="s">
        <v>128</v>
      </c>
      <c r="G255" s="119">
        <v>36</v>
      </c>
      <c r="I255" s="119" t="s">
        <v>120</v>
      </c>
    </row>
    <row r="256" spans="1:9">
      <c r="A256" s="119">
        <v>159</v>
      </c>
      <c r="B256" s="119" t="s">
        <v>159</v>
      </c>
      <c r="C256" s="119" t="s">
        <v>167</v>
      </c>
      <c r="D256" s="119" t="s">
        <v>154</v>
      </c>
      <c r="E256" s="119">
        <v>5</v>
      </c>
      <c r="F256" s="119" t="s">
        <v>138</v>
      </c>
      <c r="G256" s="119">
        <v>36</v>
      </c>
      <c r="I256" s="119" t="s">
        <v>120</v>
      </c>
    </row>
    <row r="257" spans="1:9">
      <c r="A257" s="119">
        <v>146</v>
      </c>
      <c r="B257" s="119" t="s">
        <v>160</v>
      </c>
      <c r="C257" s="119" t="s">
        <v>167</v>
      </c>
      <c r="D257" s="119" t="s">
        <v>154</v>
      </c>
      <c r="E257" s="119">
        <v>100</v>
      </c>
      <c r="F257" s="119" t="s">
        <v>122</v>
      </c>
      <c r="G257" s="119">
        <v>36</v>
      </c>
      <c r="I257" s="119" t="s">
        <v>120</v>
      </c>
    </row>
    <row r="258" spans="1:9">
      <c r="A258" s="119">
        <v>150</v>
      </c>
      <c r="B258" s="119" t="s">
        <v>160</v>
      </c>
      <c r="C258" s="119" t="s">
        <v>167</v>
      </c>
      <c r="D258" s="119" t="s">
        <v>154</v>
      </c>
      <c r="E258" s="119">
        <v>50</v>
      </c>
      <c r="F258" s="119" t="s">
        <v>134</v>
      </c>
      <c r="G258" s="119">
        <v>36</v>
      </c>
      <c r="I258" s="119" t="s">
        <v>120</v>
      </c>
    </row>
    <row r="259" spans="1:9">
      <c r="A259" s="119">
        <v>155</v>
      </c>
      <c r="B259" s="119" t="s">
        <v>160</v>
      </c>
      <c r="C259" s="119" t="s">
        <v>167</v>
      </c>
      <c r="D259" s="119" t="s">
        <v>154</v>
      </c>
      <c r="E259" s="119">
        <v>25</v>
      </c>
      <c r="F259" s="119" t="s">
        <v>130</v>
      </c>
      <c r="G259" s="119">
        <v>36</v>
      </c>
      <c r="I259" s="119" t="s">
        <v>120</v>
      </c>
    </row>
    <row r="260" spans="1:9">
      <c r="A260" s="119">
        <v>157</v>
      </c>
      <c r="B260" s="119" t="s">
        <v>160</v>
      </c>
      <c r="C260" s="119" t="s">
        <v>167</v>
      </c>
      <c r="D260" s="119" t="s">
        <v>154</v>
      </c>
      <c r="E260" s="119">
        <v>5</v>
      </c>
      <c r="F260" s="119" t="s">
        <v>132</v>
      </c>
      <c r="G260" s="119">
        <v>36</v>
      </c>
      <c r="I260" s="119" t="s">
        <v>120</v>
      </c>
    </row>
    <row r="261" spans="1:9">
      <c r="A261" s="119">
        <v>161</v>
      </c>
      <c r="B261" s="119" t="s">
        <v>139</v>
      </c>
      <c r="C261" s="119" t="s">
        <v>168</v>
      </c>
      <c r="D261" s="119" t="s">
        <v>154</v>
      </c>
      <c r="E261" s="119">
        <v>300</v>
      </c>
      <c r="F261" s="119" t="s">
        <v>133</v>
      </c>
      <c r="G261" s="119">
        <v>40</v>
      </c>
    </row>
    <row r="262" spans="1:9">
      <c r="A262" s="119">
        <v>162</v>
      </c>
      <c r="B262" s="119" t="s">
        <v>139</v>
      </c>
      <c r="C262" s="119" t="s">
        <v>168</v>
      </c>
      <c r="D262" s="119" t="s">
        <v>154</v>
      </c>
      <c r="E262" s="119">
        <v>200</v>
      </c>
      <c r="F262" s="119" t="s">
        <v>117</v>
      </c>
      <c r="G262" s="119">
        <v>40</v>
      </c>
    </row>
    <row r="263" spans="1:9">
      <c r="A263" s="119">
        <v>164</v>
      </c>
      <c r="B263" s="119" t="s">
        <v>139</v>
      </c>
      <c r="C263" s="119" t="s">
        <v>168</v>
      </c>
      <c r="D263" s="119" t="s">
        <v>154</v>
      </c>
      <c r="E263" s="119">
        <v>150</v>
      </c>
      <c r="F263" s="119" t="s">
        <v>119</v>
      </c>
      <c r="G263" s="119">
        <v>40</v>
      </c>
    </row>
    <row r="264" spans="1:9">
      <c r="A264" s="119">
        <v>165</v>
      </c>
      <c r="B264" s="119" t="s">
        <v>139</v>
      </c>
      <c r="C264" s="119" t="s">
        <v>168</v>
      </c>
      <c r="D264" s="119" t="s">
        <v>154</v>
      </c>
      <c r="E264" s="119">
        <v>125</v>
      </c>
      <c r="F264" s="119" t="s">
        <v>121</v>
      </c>
      <c r="G264" s="119">
        <v>40</v>
      </c>
    </row>
    <row r="265" spans="1:9">
      <c r="A265" s="119">
        <v>168</v>
      </c>
      <c r="B265" s="119" t="s">
        <v>139</v>
      </c>
      <c r="C265" s="119" t="s">
        <v>168</v>
      </c>
      <c r="D265" s="119" t="s">
        <v>154</v>
      </c>
      <c r="E265" s="119">
        <v>100</v>
      </c>
      <c r="F265" s="119" t="s">
        <v>124</v>
      </c>
      <c r="G265" s="119">
        <v>40</v>
      </c>
    </row>
    <row r="266" spans="1:9">
      <c r="A266" s="119">
        <v>169</v>
      </c>
      <c r="B266" s="119" t="s">
        <v>139</v>
      </c>
      <c r="C266" s="119" t="s">
        <v>168</v>
      </c>
      <c r="D266" s="119" t="s">
        <v>154</v>
      </c>
      <c r="E266" s="119">
        <v>75</v>
      </c>
      <c r="F266" s="119" t="s">
        <v>125</v>
      </c>
      <c r="G266" s="119">
        <v>40</v>
      </c>
    </row>
    <row r="267" spans="1:9">
      <c r="A267" s="119">
        <v>172</v>
      </c>
      <c r="B267" s="119" t="s">
        <v>139</v>
      </c>
      <c r="C267" s="119" t="s">
        <v>168</v>
      </c>
      <c r="D267" s="119" t="s">
        <v>154</v>
      </c>
      <c r="E267" s="119">
        <v>50</v>
      </c>
      <c r="F267" s="119" t="s">
        <v>127</v>
      </c>
      <c r="G267" s="119">
        <v>40</v>
      </c>
    </row>
    <row r="268" spans="1:9">
      <c r="A268" s="119">
        <v>174</v>
      </c>
      <c r="B268" s="119" t="s">
        <v>139</v>
      </c>
      <c r="C268" s="119" t="s">
        <v>168</v>
      </c>
      <c r="D268" s="119" t="s">
        <v>154</v>
      </c>
      <c r="E268" s="119">
        <v>25</v>
      </c>
      <c r="F268" s="119" t="s">
        <v>129</v>
      </c>
      <c r="G268" s="119">
        <v>40</v>
      </c>
      <c r="I268" s="119" t="s">
        <v>120</v>
      </c>
    </row>
    <row r="269" spans="1:9">
      <c r="A269" s="119">
        <v>180</v>
      </c>
      <c r="B269" s="119" t="s">
        <v>139</v>
      </c>
      <c r="C269" s="119" t="s">
        <v>168</v>
      </c>
      <c r="D269" s="119" t="s">
        <v>154</v>
      </c>
      <c r="E269" s="119">
        <v>5</v>
      </c>
      <c r="F269" s="119" t="s">
        <v>142</v>
      </c>
      <c r="G269" s="119">
        <v>40</v>
      </c>
    </row>
    <row r="270" spans="1:9">
      <c r="A270" s="119">
        <v>164</v>
      </c>
      <c r="B270" s="119" t="s">
        <v>136</v>
      </c>
      <c r="C270" s="119" t="s">
        <v>168</v>
      </c>
      <c r="D270" s="119" t="s">
        <v>154</v>
      </c>
      <c r="E270" s="119">
        <v>150</v>
      </c>
      <c r="F270" s="119" t="s">
        <v>119</v>
      </c>
      <c r="G270" s="119">
        <v>40</v>
      </c>
      <c r="I270" s="119" t="s">
        <v>120</v>
      </c>
    </row>
    <row r="271" spans="1:9">
      <c r="A271" s="119">
        <v>168</v>
      </c>
      <c r="B271" s="119" t="s">
        <v>136</v>
      </c>
      <c r="C271" s="119" t="s">
        <v>168</v>
      </c>
      <c r="D271" s="119" t="s">
        <v>154</v>
      </c>
      <c r="E271" s="119">
        <v>100</v>
      </c>
      <c r="F271" s="119" t="s">
        <v>124</v>
      </c>
      <c r="G271" s="119">
        <v>40</v>
      </c>
      <c r="I271" s="119" t="s">
        <v>120</v>
      </c>
    </row>
    <row r="272" spans="1:9">
      <c r="A272" s="119">
        <v>169</v>
      </c>
      <c r="B272" s="119" t="s">
        <v>136</v>
      </c>
      <c r="C272" s="119" t="s">
        <v>168</v>
      </c>
      <c r="D272" s="119" t="s">
        <v>154</v>
      </c>
      <c r="E272" s="119">
        <v>75</v>
      </c>
      <c r="F272" s="119" t="s">
        <v>125</v>
      </c>
      <c r="G272" s="119">
        <v>40</v>
      </c>
      <c r="I272" s="119" t="s">
        <v>120</v>
      </c>
    </row>
    <row r="273" spans="1:9">
      <c r="A273" s="119">
        <v>172</v>
      </c>
      <c r="B273" s="119" t="s">
        <v>136</v>
      </c>
      <c r="C273" s="119" t="s">
        <v>168</v>
      </c>
      <c r="D273" s="119" t="s">
        <v>154</v>
      </c>
      <c r="E273" s="119">
        <v>50</v>
      </c>
      <c r="F273" s="119" t="s">
        <v>127</v>
      </c>
      <c r="G273" s="119">
        <v>40</v>
      </c>
      <c r="I273" s="119" t="s">
        <v>120</v>
      </c>
    </row>
    <row r="274" spans="1:9">
      <c r="A274" s="119">
        <v>174</v>
      </c>
      <c r="B274" s="119" t="s">
        <v>136</v>
      </c>
      <c r="C274" s="119" t="s">
        <v>168</v>
      </c>
      <c r="D274" s="119" t="s">
        <v>154</v>
      </c>
      <c r="E274" s="119">
        <v>25</v>
      </c>
      <c r="F274" s="119" t="s">
        <v>129</v>
      </c>
      <c r="G274" s="119">
        <v>40</v>
      </c>
      <c r="I274" s="119" t="s">
        <v>120</v>
      </c>
    </row>
    <row r="275" spans="1:9">
      <c r="A275" s="119">
        <v>180</v>
      </c>
      <c r="B275" s="119" t="s">
        <v>136</v>
      </c>
      <c r="C275" s="119" t="s">
        <v>168</v>
      </c>
      <c r="D275" s="119" t="s">
        <v>154</v>
      </c>
      <c r="E275" s="119">
        <v>5</v>
      </c>
      <c r="F275" s="119" t="s">
        <v>142</v>
      </c>
      <c r="G275" s="119">
        <v>40</v>
      </c>
      <c r="I275" s="119" t="s">
        <v>120</v>
      </c>
    </row>
    <row r="276" spans="1:9">
      <c r="A276" s="119">
        <v>172</v>
      </c>
      <c r="B276" s="119" t="s">
        <v>137</v>
      </c>
      <c r="C276" s="119" t="s">
        <v>168</v>
      </c>
      <c r="D276" s="119" t="s">
        <v>154</v>
      </c>
      <c r="E276" s="119">
        <v>50</v>
      </c>
      <c r="F276" s="119" t="s">
        <v>127</v>
      </c>
      <c r="G276" s="119">
        <v>40</v>
      </c>
      <c r="I276" s="119" t="s">
        <v>120</v>
      </c>
    </row>
    <row r="277" spans="1:9">
      <c r="A277" s="119">
        <v>174</v>
      </c>
      <c r="B277" s="119" t="s">
        <v>137</v>
      </c>
      <c r="C277" s="119" t="s">
        <v>168</v>
      </c>
      <c r="D277" s="119" t="s">
        <v>154</v>
      </c>
      <c r="E277" s="119">
        <v>25</v>
      </c>
      <c r="F277" s="119" t="s">
        <v>129</v>
      </c>
      <c r="G277" s="119">
        <v>40</v>
      </c>
      <c r="I277" s="119" t="s">
        <v>120</v>
      </c>
    </row>
    <row r="278" spans="1:9">
      <c r="A278" s="119">
        <v>180</v>
      </c>
      <c r="B278" s="119" t="s">
        <v>137</v>
      </c>
      <c r="C278" s="119" t="s">
        <v>168</v>
      </c>
      <c r="D278" s="119" t="s">
        <v>154</v>
      </c>
      <c r="E278" s="119">
        <v>5</v>
      </c>
      <c r="F278" s="119" t="s">
        <v>142</v>
      </c>
      <c r="G278" s="119">
        <v>40</v>
      </c>
      <c r="I278" s="119" t="s">
        <v>120</v>
      </c>
    </row>
    <row r="279" spans="1:9">
      <c r="A279" s="119">
        <v>176</v>
      </c>
      <c r="B279" s="119" t="s">
        <v>155</v>
      </c>
      <c r="C279" s="119" t="s">
        <v>168</v>
      </c>
      <c r="D279" s="119" t="s">
        <v>154</v>
      </c>
      <c r="E279" s="119">
        <v>5</v>
      </c>
      <c r="F279" s="119" t="s">
        <v>131</v>
      </c>
      <c r="G279" s="119">
        <v>40</v>
      </c>
      <c r="I279" s="119" t="s">
        <v>120</v>
      </c>
    </row>
    <row r="280" spans="1:9">
      <c r="A280" s="119">
        <v>180</v>
      </c>
      <c r="B280" s="119" t="s">
        <v>156</v>
      </c>
      <c r="C280" s="119" t="s">
        <v>168</v>
      </c>
      <c r="D280" s="119" t="s">
        <v>154</v>
      </c>
      <c r="E280" s="119">
        <v>5</v>
      </c>
      <c r="F280" s="119" t="s">
        <v>142</v>
      </c>
      <c r="G280" s="119">
        <v>40</v>
      </c>
      <c r="I280" s="119" t="s">
        <v>120</v>
      </c>
    </row>
    <row r="281" spans="1:9">
      <c r="A281" s="119">
        <v>179</v>
      </c>
      <c r="B281" s="119" t="s">
        <v>157</v>
      </c>
      <c r="C281" s="119" t="s">
        <v>168</v>
      </c>
      <c r="D281" s="119" t="s">
        <v>154</v>
      </c>
      <c r="E281" s="119">
        <v>5</v>
      </c>
      <c r="F281" s="119" t="s">
        <v>138</v>
      </c>
      <c r="G281" s="119">
        <v>40</v>
      </c>
      <c r="I281" s="119" t="s">
        <v>120</v>
      </c>
    </row>
    <row r="282" spans="1:9">
      <c r="A282" s="119">
        <v>178</v>
      </c>
      <c r="B282" s="119" t="s">
        <v>158</v>
      </c>
      <c r="C282" s="119" t="s">
        <v>168</v>
      </c>
      <c r="D282" s="119" t="s">
        <v>154</v>
      </c>
      <c r="E282" s="119">
        <v>5</v>
      </c>
      <c r="F282" s="119" t="s">
        <v>135</v>
      </c>
      <c r="G282" s="119">
        <v>40</v>
      </c>
    </row>
    <row r="283" spans="1:9">
      <c r="A283" s="119">
        <v>163</v>
      </c>
      <c r="B283" s="119" t="s">
        <v>159</v>
      </c>
      <c r="C283" s="119" t="s">
        <v>168</v>
      </c>
      <c r="D283" s="119" t="s">
        <v>154</v>
      </c>
      <c r="E283" s="119">
        <v>150</v>
      </c>
      <c r="F283" s="119" t="s">
        <v>118</v>
      </c>
      <c r="G283" s="119">
        <v>40</v>
      </c>
      <c r="I283" s="119" t="s">
        <v>120</v>
      </c>
    </row>
    <row r="284" spans="1:9">
      <c r="A284" s="119">
        <v>167</v>
      </c>
      <c r="B284" s="119" t="s">
        <v>159</v>
      </c>
      <c r="C284" s="119" t="s">
        <v>168</v>
      </c>
      <c r="D284" s="119" t="s">
        <v>154</v>
      </c>
      <c r="E284" s="119">
        <v>100</v>
      </c>
      <c r="F284" s="119" t="s">
        <v>123</v>
      </c>
      <c r="G284" s="119">
        <v>40</v>
      </c>
      <c r="I284" s="119" t="s">
        <v>120</v>
      </c>
    </row>
    <row r="285" spans="1:9">
      <c r="A285" s="119">
        <v>171</v>
      </c>
      <c r="B285" s="119" t="s">
        <v>159</v>
      </c>
      <c r="C285" s="119" t="s">
        <v>168</v>
      </c>
      <c r="D285" s="119" t="s">
        <v>154</v>
      </c>
      <c r="E285" s="119">
        <v>50</v>
      </c>
      <c r="F285" s="119" t="s">
        <v>126</v>
      </c>
      <c r="G285" s="119">
        <v>40</v>
      </c>
      <c r="I285" s="119" t="s">
        <v>120</v>
      </c>
    </row>
    <row r="286" spans="1:9">
      <c r="A286" s="119">
        <v>173</v>
      </c>
      <c r="B286" s="119" t="s">
        <v>159</v>
      </c>
      <c r="C286" s="119" t="s">
        <v>168</v>
      </c>
      <c r="D286" s="119" t="s">
        <v>154</v>
      </c>
      <c r="E286" s="119">
        <v>25</v>
      </c>
      <c r="F286" s="119" t="s">
        <v>128</v>
      </c>
      <c r="G286" s="119">
        <v>40</v>
      </c>
      <c r="I286" s="119" t="s">
        <v>120</v>
      </c>
    </row>
    <row r="287" spans="1:9">
      <c r="A287" s="119">
        <v>179</v>
      </c>
      <c r="B287" s="119" t="s">
        <v>159</v>
      </c>
      <c r="C287" s="119" t="s">
        <v>168</v>
      </c>
      <c r="D287" s="119" t="s">
        <v>154</v>
      </c>
      <c r="E287" s="119">
        <v>5</v>
      </c>
      <c r="F287" s="119" t="s">
        <v>138</v>
      </c>
      <c r="G287" s="119">
        <v>40</v>
      </c>
      <c r="I287" s="119" t="s">
        <v>120</v>
      </c>
    </row>
    <row r="288" spans="1:9">
      <c r="A288" s="119">
        <v>166</v>
      </c>
      <c r="B288" s="119" t="s">
        <v>160</v>
      </c>
      <c r="C288" s="119" t="s">
        <v>168</v>
      </c>
      <c r="D288" s="119" t="s">
        <v>154</v>
      </c>
      <c r="E288" s="119">
        <v>100</v>
      </c>
      <c r="F288" s="119" t="s">
        <v>122</v>
      </c>
      <c r="G288" s="119">
        <v>40</v>
      </c>
      <c r="I288" s="119" t="s">
        <v>120</v>
      </c>
    </row>
    <row r="289" spans="1:9">
      <c r="A289" s="119">
        <v>170</v>
      </c>
      <c r="B289" s="119" t="s">
        <v>160</v>
      </c>
      <c r="C289" s="119" t="s">
        <v>168</v>
      </c>
      <c r="D289" s="119" t="s">
        <v>154</v>
      </c>
      <c r="E289" s="119">
        <v>50</v>
      </c>
      <c r="F289" s="119" t="s">
        <v>134</v>
      </c>
      <c r="G289" s="119">
        <v>40</v>
      </c>
      <c r="I289" s="119" t="s">
        <v>120</v>
      </c>
    </row>
    <row r="290" spans="1:9">
      <c r="A290" s="119">
        <v>175</v>
      </c>
      <c r="B290" s="119" t="s">
        <v>160</v>
      </c>
      <c r="C290" s="119" t="s">
        <v>168</v>
      </c>
      <c r="D290" s="119" t="s">
        <v>154</v>
      </c>
      <c r="E290" s="119">
        <v>25</v>
      </c>
      <c r="F290" s="119" t="s">
        <v>130</v>
      </c>
      <c r="G290" s="119">
        <v>40</v>
      </c>
      <c r="I290" s="119" t="s">
        <v>120</v>
      </c>
    </row>
    <row r="291" spans="1:9">
      <c r="A291" s="119">
        <v>177</v>
      </c>
      <c r="B291" s="119" t="s">
        <v>160</v>
      </c>
      <c r="C291" s="119" t="s">
        <v>168</v>
      </c>
      <c r="D291" s="119" t="s">
        <v>154</v>
      </c>
      <c r="E291" s="119">
        <v>5</v>
      </c>
      <c r="F291" s="119" t="s">
        <v>132</v>
      </c>
      <c r="G291" s="119">
        <v>40</v>
      </c>
      <c r="I291" s="119" t="s">
        <v>120</v>
      </c>
    </row>
    <row r="292" spans="1:9">
      <c r="A292" s="119">
        <v>181</v>
      </c>
      <c r="B292" s="119" t="s">
        <v>139</v>
      </c>
      <c r="C292" s="119" t="s">
        <v>169</v>
      </c>
      <c r="D292" s="119" t="s">
        <v>154</v>
      </c>
      <c r="E292" s="119">
        <v>300</v>
      </c>
      <c r="F292" s="119" t="s">
        <v>133</v>
      </c>
      <c r="G292" s="119">
        <v>44</v>
      </c>
    </row>
    <row r="293" spans="1:9">
      <c r="A293" s="119">
        <v>182</v>
      </c>
      <c r="B293" s="119" t="s">
        <v>139</v>
      </c>
      <c r="C293" s="119" t="s">
        <v>169</v>
      </c>
      <c r="D293" s="119" t="s">
        <v>154</v>
      </c>
      <c r="E293" s="119">
        <v>200</v>
      </c>
      <c r="F293" s="119" t="s">
        <v>117</v>
      </c>
      <c r="G293" s="119">
        <v>44</v>
      </c>
    </row>
    <row r="294" spans="1:9">
      <c r="A294" s="119">
        <v>184</v>
      </c>
      <c r="B294" s="119" t="s">
        <v>139</v>
      </c>
      <c r="C294" s="119" t="s">
        <v>169</v>
      </c>
      <c r="D294" s="119" t="s">
        <v>154</v>
      </c>
      <c r="E294" s="119">
        <v>150</v>
      </c>
      <c r="F294" s="119" t="s">
        <v>119</v>
      </c>
      <c r="G294" s="119">
        <v>44</v>
      </c>
      <c r="I294" s="119" t="s">
        <v>120</v>
      </c>
    </row>
    <row r="295" spans="1:9">
      <c r="A295" s="119">
        <v>185</v>
      </c>
      <c r="B295" s="119" t="s">
        <v>139</v>
      </c>
      <c r="C295" s="119" t="s">
        <v>169</v>
      </c>
      <c r="D295" s="119" t="s">
        <v>154</v>
      </c>
      <c r="E295" s="119">
        <v>125</v>
      </c>
      <c r="F295" s="119" t="s">
        <v>121</v>
      </c>
      <c r="G295" s="119">
        <v>44</v>
      </c>
    </row>
    <row r="296" spans="1:9">
      <c r="A296" s="119">
        <v>188</v>
      </c>
      <c r="B296" s="119" t="s">
        <v>139</v>
      </c>
      <c r="C296" s="119" t="s">
        <v>169</v>
      </c>
      <c r="D296" s="119" t="s">
        <v>154</v>
      </c>
      <c r="E296" s="119">
        <v>100</v>
      </c>
      <c r="F296" s="119" t="s">
        <v>124</v>
      </c>
      <c r="G296" s="119">
        <v>44</v>
      </c>
    </row>
    <row r="297" spans="1:9">
      <c r="A297" s="119">
        <v>189</v>
      </c>
      <c r="B297" s="119" t="s">
        <v>139</v>
      </c>
      <c r="C297" s="119" t="s">
        <v>169</v>
      </c>
      <c r="D297" s="119" t="s">
        <v>154</v>
      </c>
      <c r="E297" s="119">
        <v>75</v>
      </c>
      <c r="F297" s="119" t="s">
        <v>125</v>
      </c>
      <c r="G297" s="119">
        <v>44</v>
      </c>
    </row>
    <row r="298" spans="1:9">
      <c r="A298" s="119">
        <v>192</v>
      </c>
      <c r="B298" s="119" t="s">
        <v>139</v>
      </c>
      <c r="C298" s="119" t="s">
        <v>169</v>
      </c>
      <c r="D298" s="119" t="s">
        <v>154</v>
      </c>
      <c r="E298" s="119">
        <v>50</v>
      </c>
      <c r="F298" s="119" t="s">
        <v>127</v>
      </c>
      <c r="G298" s="119">
        <v>44</v>
      </c>
    </row>
    <row r="299" spans="1:9">
      <c r="A299" s="119">
        <v>194</v>
      </c>
      <c r="B299" s="119" t="s">
        <v>139</v>
      </c>
      <c r="C299" s="119" t="s">
        <v>169</v>
      </c>
      <c r="D299" s="119" t="s">
        <v>154</v>
      </c>
      <c r="E299" s="119">
        <v>25</v>
      </c>
      <c r="F299" s="119" t="s">
        <v>129</v>
      </c>
      <c r="G299" s="119">
        <v>44</v>
      </c>
    </row>
    <row r="300" spans="1:9">
      <c r="A300" s="119">
        <v>200</v>
      </c>
      <c r="B300" s="119" t="s">
        <v>139</v>
      </c>
      <c r="C300" s="119" t="s">
        <v>169</v>
      </c>
      <c r="D300" s="119" t="s">
        <v>154</v>
      </c>
      <c r="E300" s="119">
        <v>5</v>
      </c>
      <c r="F300" s="119" t="s">
        <v>142</v>
      </c>
      <c r="G300" s="119">
        <v>44</v>
      </c>
    </row>
    <row r="301" spans="1:9">
      <c r="A301" s="119">
        <v>184</v>
      </c>
      <c r="B301" s="119" t="s">
        <v>136</v>
      </c>
      <c r="C301" s="119" t="s">
        <v>169</v>
      </c>
      <c r="D301" s="119" t="s">
        <v>154</v>
      </c>
      <c r="E301" s="119">
        <v>150</v>
      </c>
      <c r="F301" s="119" t="s">
        <v>119</v>
      </c>
      <c r="G301" s="119">
        <v>44</v>
      </c>
      <c r="I301" s="119" t="s">
        <v>120</v>
      </c>
    </row>
    <row r="302" spans="1:9">
      <c r="A302" s="119">
        <v>188</v>
      </c>
      <c r="B302" s="119" t="s">
        <v>136</v>
      </c>
      <c r="C302" s="119" t="s">
        <v>169</v>
      </c>
      <c r="D302" s="119" t="s">
        <v>154</v>
      </c>
      <c r="E302" s="119">
        <v>100</v>
      </c>
      <c r="F302" s="119" t="s">
        <v>124</v>
      </c>
      <c r="G302" s="119">
        <v>44</v>
      </c>
      <c r="I302" s="119" t="s">
        <v>120</v>
      </c>
    </row>
    <row r="303" spans="1:9">
      <c r="A303" s="119">
        <v>189</v>
      </c>
      <c r="B303" s="119" t="s">
        <v>136</v>
      </c>
      <c r="C303" s="119" t="s">
        <v>169</v>
      </c>
      <c r="D303" s="119" t="s">
        <v>154</v>
      </c>
      <c r="E303" s="119">
        <v>75</v>
      </c>
      <c r="F303" s="119" t="s">
        <v>125</v>
      </c>
      <c r="G303" s="119">
        <v>44</v>
      </c>
      <c r="I303" s="119" t="s">
        <v>120</v>
      </c>
    </row>
    <row r="304" spans="1:9">
      <c r="A304" s="119">
        <v>192</v>
      </c>
      <c r="B304" s="119" t="s">
        <v>136</v>
      </c>
      <c r="C304" s="119" t="s">
        <v>169</v>
      </c>
      <c r="D304" s="119" t="s">
        <v>154</v>
      </c>
      <c r="E304" s="119">
        <v>50</v>
      </c>
      <c r="F304" s="119" t="s">
        <v>127</v>
      </c>
      <c r="G304" s="119">
        <v>44</v>
      </c>
      <c r="I304" s="119" t="s">
        <v>120</v>
      </c>
    </row>
    <row r="305" spans="1:9">
      <c r="A305" s="119">
        <v>194</v>
      </c>
      <c r="B305" s="119" t="s">
        <v>136</v>
      </c>
      <c r="C305" s="119" t="s">
        <v>169</v>
      </c>
      <c r="D305" s="119" t="s">
        <v>154</v>
      </c>
      <c r="E305" s="119">
        <v>25</v>
      </c>
      <c r="F305" s="119" t="s">
        <v>129</v>
      </c>
      <c r="G305" s="119">
        <v>44</v>
      </c>
      <c r="I305" s="119" t="s">
        <v>120</v>
      </c>
    </row>
    <row r="306" spans="1:9">
      <c r="A306" s="119">
        <v>200</v>
      </c>
      <c r="B306" s="119" t="s">
        <v>136</v>
      </c>
      <c r="C306" s="119" t="s">
        <v>169</v>
      </c>
      <c r="D306" s="119" t="s">
        <v>154</v>
      </c>
      <c r="E306" s="119">
        <v>5</v>
      </c>
      <c r="F306" s="119" t="s">
        <v>142</v>
      </c>
      <c r="G306" s="119">
        <v>44</v>
      </c>
      <c r="I306" s="119" t="s">
        <v>120</v>
      </c>
    </row>
    <row r="307" spans="1:9">
      <c r="A307" s="119">
        <v>192</v>
      </c>
      <c r="B307" s="119" t="s">
        <v>137</v>
      </c>
      <c r="C307" s="119" t="s">
        <v>169</v>
      </c>
      <c r="D307" s="119" t="s">
        <v>154</v>
      </c>
      <c r="E307" s="119">
        <v>50</v>
      </c>
      <c r="F307" s="119" t="s">
        <v>127</v>
      </c>
      <c r="G307" s="119">
        <v>44</v>
      </c>
      <c r="I307" s="119" t="s">
        <v>120</v>
      </c>
    </row>
    <row r="308" spans="1:9">
      <c r="A308" s="119">
        <v>194</v>
      </c>
      <c r="B308" s="119" t="s">
        <v>137</v>
      </c>
      <c r="C308" s="119" t="s">
        <v>169</v>
      </c>
      <c r="D308" s="119" t="s">
        <v>154</v>
      </c>
      <c r="E308" s="119">
        <v>25</v>
      </c>
      <c r="F308" s="119" t="s">
        <v>129</v>
      </c>
      <c r="G308" s="119">
        <v>44</v>
      </c>
      <c r="I308" s="119" t="s">
        <v>120</v>
      </c>
    </row>
    <row r="309" spans="1:9">
      <c r="A309" s="119">
        <v>200</v>
      </c>
      <c r="B309" s="119" t="s">
        <v>137</v>
      </c>
      <c r="C309" s="119" t="s">
        <v>169</v>
      </c>
      <c r="D309" s="119" t="s">
        <v>154</v>
      </c>
      <c r="E309" s="119">
        <v>5</v>
      </c>
      <c r="F309" s="119" t="s">
        <v>142</v>
      </c>
      <c r="G309" s="119">
        <v>44</v>
      </c>
      <c r="I309" s="119" t="s">
        <v>120</v>
      </c>
    </row>
    <row r="310" spans="1:9">
      <c r="A310" s="119">
        <v>196</v>
      </c>
      <c r="B310" s="119" t="s">
        <v>155</v>
      </c>
      <c r="C310" s="119" t="s">
        <v>169</v>
      </c>
      <c r="D310" s="119" t="s">
        <v>154</v>
      </c>
      <c r="E310" s="119">
        <v>5</v>
      </c>
      <c r="F310" s="119" t="s">
        <v>131</v>
      </c>
      <c r="G310" s="119">
        <v>44</v>
      </c>
      <c r="I310" s="119" t="s">
        <v>120</v>
      </c>
    </row>
    <row r="311" spans="1:9">
      <c r="A311" s="119">
        <v>200</v>
      </c>
      <c r="B311" s="119" t="s">
        <v>156</v>
      </c>
      <c r="C311" s="119" t="s">
        <v>169</v>
      </c>
      <c r="D311" s="119" t="s">
        <v>154</v>
      </c>
      <c r="E311" s="119">
        <v>5</v>
      </c>
      <c r="F311" s="119" t="s">
        <v>142</v>
      </c>
      <c r="G311" s="119">
        <v>44</v>
      </c>
      <c r="I311" s="119" t="s">
        <v>120</v>
      </c>
    </row>
    <row r="312" spans="1:9">
      <c r="A312" s="119">
        <v>199</v>
      </c>
      <c r="B312" s="119" t="s">
        <v>157</v>
      </c>
      <c r="C312" s="119" t="s">
        <v>169</v>
      </c>
      <c r="D312" s="119" t="s">
        <v>154</v>
      </c>
      <c r="E312" s="119">
        <v>5</v>
      </c>
      <c r="F312" s="119" t="s">
        <v>138</v>
      </c>
      <c r="G312" s="119">
        <v>44</v>
      </c>
      <c r="I312" s="119" t="s">
        <v>120</v>
      </c>
    </row>
    <row r="313" spans="1:9">
      <c r="A313" s="119">
        <v>198</v>
      </c>
      <c r="B313" s="119" t="s">
        <v>158</v>
      </c>
      <c r="C313" s="119" t="s">
        <v>169</v>
      </c>
      <c r="D313" s="119" t="s">
        <v>154</v>
      </c>
      <c r="E313" s="119">
        <v>5</v>
      </c>
      <c r="F313" s="119" t="s">
        <v>135</v>
      </c>
      <c r="G313" s="119">
        <v>44</v>
      </c>
    </row>
    <row r="314" spans="1:9">
      <c r="A314" s="119">
        <v>183</v>
      </c>
      <c r="B314" s="119" t="s">
        <v>159</v>
      </c>
      <c r="C314" s="119" t="s">
        <v>169</v>
      </c>
      <c r="D314" s="119" t="s">
        <v>154</v>
      </c>
      <c r="E314" s="119">
        <v>150</v>
      </c>
      <c r="F314" s="119" t="s">
        <v>118</v>
      </c>
      <c r="G314" s="119">
        <v>44</v>
      </c>
      <c r="I314" s="119" t="s">
        <v>120</v>
      </c>
    </row>
    <row r="315" spans="1:9">
      <c r="A315" s="119">
        <v>187</v>
      </c>
      <c r="B315" s="119" t="s">
        <v>159</v>
      </c>
      <c r="C315" s="119" t="s">
        <v>169</v>
      </c>
      <c r="D315" s="119" t="s">
        <v>154</v>
      </c>
      <c r="E315" s="119">
        <v>100</v>
      </c>
      <c r="F315" s="119" t="s">
        <v>123</v>
      </c>
      <c r="G315" s="119">
        <v>44</v>
      </c>
      <c r="I315" s="119" t="s">
        <v>120</v>
      </c>
    </row>
    <row r="316" spans="1:9">
      <c r="A316" s="119">
        <v>191</v>
      </c>
      <c r="B316" s="119" t="s">
        <v>159</v>
      </c>
      <c r="C316" s="119" t="s">
        <v>169</v>
      </c>
      <c r="D316" s="119" t="s">
        <v>154</v>
      </c>
      <c r="E316" s="119">
        <v>50</v>
      </c>
      <c r="F316" s="119" t="s">
        <v>126</v>
      </c>
      <c r="G316" s="119">
        <v>44</v>
      </c>
      <c r="I316" s="119" t="s">
        <v>120</v>
      </c>
    </row>
    <row r="317" spans="1:9">
      <c r="A317" s="119">
        <v>193</v>
      </c>
      <c r="B317" s="119" t="s">
        <v>159</v>
      </c>
      <c r="C317" s="119" t="s">
        <v>169</v>
      </c>
      <c r="D317" s="119" t="s">
        <v>154</v>
      </c>
      <c r="E317" s="119">
        <v>25</v>
      </c>
      <c r="F317" s="119" t="s">
        <v>128</v>
      </c>
      <c r="G317" s="119">
        <v>44</v>
      </c>
      <c r="I317" s="119" t="s">
        <v>120</v>
      </c>
    </row>
    <row r="318" spans="1:9">
      <c r="A318" s="119">
        <v>199</v>
      </c>
      <c r="B318" s="119" t="s">
        <v>159</v>
      </c>
      <c r="C318" s="119" t="s">
        <v>169</v>
      </c>
      <c r="D318" s="119" t="s">
        <v>154</v>
      </c>
      <c r="E318" s="119">
        <v>5</v>
      </c>
      <c r="F318" s="119" t="s">
        <v>138</v>
      </c>
      <c r="G318" s="119">
        <v>44</v>
      </c>
      <c r="I318" s="119" t="s">
        <v>120</v>
      </c>
    </row>
    <row r="319" spans="1:9">
      <c r="A319" s="119">
        <v>186</v>
      </c>
      <c r="B319" s="119" t="s">
        <v>160</v>
      </c>
      <c r="C319" s="119" t="s">
        <v>169</v>
      </c>
      <c r="D319" s="119" t="s">
        <v>154</v>
      </c>
      <c r="E319" s="119">
        <v>100</v>
      </c>
      <c r="F319" s="119" t="s">
        <v>122</v>
      </c>
      <c r="G319" s="119">
        <v>44</v>
      </c>
      <c r="I319" s="119" t="s">
        <v>120</v>
      </c>
    </row>
    <row r="320" spans="1:9">
      <c r="A320" s="119">
        <v>190</v>
      </c>
      <c r="B320" s="119" t="s">
        <v>160</v>
      </c>
      <c r="C320" s="119" t="s">
        <v>169</v>
      </c>
      <c r="D320" s="119" t="s">
        <v>154</v>
      </c>
      <c r="E320" s="119">
        <v>50</v>
      </c>
      <c r="F320" s="119" t="s">
        <v>134</v>
      </c>
      <c r="G320" s="119">
        <v>44</v>
      </c>
      <c r="I320" s="119" t="s">
        <v>120</v>
      </c>
    </row>
    <row r="321" spans="1:9">
      <c r="A321" s="119">
        <v>195</v>
      </c>
      <c r="B321" s="119" t="s">
        <v>160</v>
      </c>
      <c r="C321" s="119" t="s">
        <v>169</v>
      </c>
      <c r="D321" s="119" t="s">
        <v>154</v>
      </c>
      <c r="E321" s="119">
        <v>25</v>
      </c>
      <c r="F321" s="119" t="s">
        <v>130</v>
      </c>
      <c r="G321" s="119">
        <v>44</v>
      </c>
      <c r="I321" s="119" t="s">
        <v>120</v>
      </c>
    </row>
    <row r="322" spans="1:9">
      <c r="A322" s="119">
        <v>197</v>
      </c>
      <c r="B322" s="119" t="s">
        <v>160</v>
      </c>
      <c r="C322" s="119" t="s">
        <v>169</v>
      </c>
      <c r="D322" s="119" t="s">
        <v>154</v>
      </c>
      <c r="E322" s="119">
        <v>5</v>
      </c>
      <c r="F322" s="119" t="s">
        <v>132</v>
      </c>
      <c r="G322" s="119">
        <v>44</v>
      </c>
      <c r="I322" s="119" t="s">
        <v>120</v>
      </c>
    </row>
    <row r="323" spans="1:9">
      <c r="A323" s="119">
        <v>201</v>
      </c>
      <c r="B323" s="119" t="s">
        <v>139</v>
      </c>
      <c r="C323" s="119" t="s">
        <v>170</v>
      </c>
      <c r="D323" s="119" t="s">
        <v>154</v>
      </c>
      <c r="E323" s="119">
        <v>300</v>
      </c>
      <c r="F323" s="119" t="s">
        <v>133</v>
      </c>
      <c r="G323" s="119">
        <v>48</v>
      </c>
      <c r="I323" s="119" t="s">
        <v>120</v>
      </c>
    </row>
    <row r="324" spans="1:9">
      <c r="A324" s="119">
        <v>202</v>
      </c>
      <c r="B324" s="119" t="s">
        <v>139</v>
      </c>
      <c r="C324" s="119" t="s">
        <v>170</v>
      </c>
      <c r="D324" s="119" t="s">
        <v>154</v>
      </c>
      <c r="E324" s="119">
        <v>200</v>
      </c>
      <c r="F324" s="119" t="s">
        <v>117</v>
      </c>
      <c r="G324" s="119">
        <v>48</v>
      </c>
    </row>
    <row r="325" spans="1:9">
      <c r="A325" s="119">
        <v>204</v>
      </c>
      <c r="B325" s="119" t="s">
        <v>139</v>
      </c>
      <c r="C325" s="119" t="s">
        <v>170</v>
      </c>
      <c r="D325" s="119" t="s">
        <v>154</v>
      </c>
      <c r="E325" s="119">
        <v>150</v>
      </c>
      <c r="F325" s="119" t="s">
        <v>119</v>
      </c>
      <c r="G325" s="119">
        <v>48</v>
      </c>
    </row>
    <row r="326" spans="1:9">
      <c r="A326" s="119">
        <v>205</v>
      </c>
      <c r="B326" s="119" t="s">
        <v>139</v>
      </c>
      <c r="C326" s="119" t="s">
        <v>170</v>
      </c>
      <c r="D326" s="119" t="s">
        <v>154</v>
      </c>
      <c r="E326" s="119">
        <v>125</v>
      </c>
      <c r="F326" s="119" t="s">
        <v>121</v>
      </c>
      <c r="G326" s="119">
        <v>48</v>
      </c>
    </row>
    <row r="327" spans="1:9">
      <c r="A327" s="119">
        <v>208</v>
      </c>
      <c r="B327" s="119" t="s">
        <v>139</v>
      </c>
      <c r="C327" s="119" t="s">
        <v>170</v>
      </c>
      <c r="D327" s="119" t="s">
        <v>154</v>
      </c>
      <c r="E327" s="119">
        <v>100</v>
      </c>
      <c r="F327" s="119" t="s">
        <v>124</v>
      </c>
      <c r="G327" s="119">
        <v>48</v>
      </c>
    </row>
    <row r="328" spans="1:9">
      <c r="A328" s="119">
        <v>209</v>
      </c>
      <c r="B328" s="119" t="s">
        <v>139</v>
      </c>
      <c r="C328" s="119" t="s">
        <v>170</v>
      </c>
      <c r="D328" s="119" t="s">
        <v>154</v>
      </c>
      <c r="E328" s="119">
        <v>75</v>
      </c>
      <c r="F328" s="119" t="s">
        <v>125</v>
      </c>
      <c r="G328" s="119">
        <v>48</v>
      </c>
    </row>
    <row r="329" spans="1:9">
      <c r="A329" s="119">
        <v>212</v>
      </c>
      <c r="B329" s="119" t="s">
        <v>139</v>
      </c>
      <c r="C329" s="119" t="s">
        <v>170</v>
      </c>
      <c r="D329" s="119" t="s">
        <v>154</v>
      </c>
      <c r="E329" s="119">
        <v>50</v>
      </c>
      <c r="F329" s="119" t="s">
        <v>127</v>
      </c>
      <c r="G329" s="119">
        <v>48</v>
      </c>
    </row>
    <row r="330" spans="1:9">
      <c r="A330" s="119">
        <v>214</v>
      </c>
      <c r="B330" s="119" t="s">
        <v>139</v>
      </c>
      <c r="C330" s="119" t="s">
        <v>170</v>
      </c>
      <c r="D330" s="119" t="s">
        <v>154</v>
      </c>
      <c r="E330" s="119">
        <v>25</v>
      </c>
      <c r="F330" s="119" t="s">
        <v>129</v>
      </c>
      <c r="G330" s="119">
        <v>48</v>
      </c>
    </row>
    <row r="331" spans="1:9">
      <c r="A331" s="119">
        <v>220</v>
      </c>
      <c r="B331" s="119" t="s">
        <v>139</v>
      </c>
      <c r="C331" s="119" t="s">
        <v>170</v>
      </c>
      <c r="D331" s="119" t="s">
        <v>154</v>
      </c>
      <c r="E331" s="119">
        <v>5</v>
      </c>
      <c r="F331" s="119" t="s">
        <v>142</v>
      </c>
      <c r="G331" s="119">
        <v>48</v>
      </c>
    </row>
    <row r="332" spans="1:9">
      <c r="A332" s="119">
        <v>204</v>
      </c>
      <c r="B332" s="119" t="s">
        <v>136</v>
      </c>
      <c r="C332" s="119" t="s">
        <v>170</v>
      </c>
      <c r="D332" s="119" t="s">
        <v>154</v>
      </c>
      <c r="E332" s="119">
        <v>150</v>
      </c>
      <c r="F332" s="119" t="s">
        <v>119</v>
      </c>
      <c r="G332" s="119">
        <v>48</v>
      </c>
      <c r="I332" s="119" t="s">
        <v>120</v>
      </c>
    </row>
    <row r="333" spans="1:9">
      <c r="A333" s="119">
        <v>208</v>
      </c>
      <c r="B333" s="119" t="s">
        <v>136</v>
      </c>
      <c r="C333" s="119" t="s">
        <v>170</v>
      </c>
      <c r="D333" s="119" t="s">
        <v>154</v>
      </c>
      <c r="E333" s="119">
        <v>100</v>
      </c>
      <c r="F333" s="119" t="s">
        <v>124</v>
      </c>
      <c r="G333" s="119">
        <v>48</v>
      </c>
      <c r="I333" s="119" t="s">
        <v>120</v>
      </c>
    </row>
    <row r="334" spans="1:9">
      <c r="A334" s="119">
        <v>209</v>
      </c>
      <c r="B334" s="119" t="s">
        <v>136</v>
      </c>
      <c r="C334" s="119" t="s">
        <v>170</v>
      </c>
      <c r="D334" s="119" t="s">
        <v>154</v>
      </c>
      <c r="E334" s="119">
        <v>75</v>
      </c>
      <c r="F334" s="119" t="s">
        <v>125</v>
      </c>
      <c r="G334" s="119">
        <v>48</v>
      </c>
      <c r="I334" s="119" t="s">
        <v>120</v>
      </c>
    </row>
    <row r="335" spans="1:9">
      <c r="A335" s="119">
        <v>212</v>
      </c>
      <c r="B335" s="119" t="s">
        <v>136</v>
      </c>
      <c r="C335" s="119" t="s">
        <v>170</v>
      </c>
      <c r="D335" s="119" t="s">
        <v>154</v>
      </c>
      <c r="E335" s="119">
        <v>50</v>
      </c>
      <c r="F335" s="119" t="s">
        <v>127</v>
      </c>
      <c r="G335" s="119">
        <v>48</v>
      </c>
      <c r="I335" s="119" t="s">
        <v>120</v>
      </c>
    </row>
    <row r="336" spans="1:9">
      <c r="A336" s="119">
        <v>214</v>
      </c>
      <c r="B336" s="119" t="s">
        <v>136</v>
      </c>
      <c r="C336" s="119" t="s">
        <v>170</v>
      </c>
      <c r="D336" s="119" t="s">
        <v>154</v>
      </c>
      <c r="E336" s="119">
        <v>25</v>
      </c>
      <c r="F336" s="119" t="s">
        <v>129</v>
      </c>
      <c r="G336" s="119">
        <v>48</v>
      </c>
      <c r="I336" s="119" t="s">
        <v>120</v>
      </c>
    </row>
    <row r="337" spans="1:9">
      <c r="A337" s="119">
        <v>220</v>
      </c>
      <c r="B337" s="119" t="s">
        <v>136</v>
      </c>
      <c r="C337" s="119" t="s">
        <v>170</v>
      </c>
      <c r="D337" s="119" t="s">
        <v>154</v>
      </c>
      <c r="E337" s="119">
        <v>5</v>
      </c>
      <c r="F337" s="119" t="s">
        <v>142</v>
      </c>
      <c r="G337" s="119">
        <v>48</v>
      </c>
      <c r="I337" s="119" t="s">
        <v>120</v>
      </c>
    </row>
    <row r="338" spans="1:9">
      <c r="A338" s="119">
        <v>212</v>
      </c>
      <c r="B338" s="119" t="s">
        <v>137</v>
      </c>
      <c r="C338" s="119" t="s">
        <v>170</v>
      </c>
      <c r="D338" s="119" t="s">
        <v>154</v>
      </c>
      <c r="E338" s="119">
        <v>50</v>
      </c>
      <c r="F338" s="119" t="s">
        <v>127</v>
      </c>
      <c r="G338" s="119">
        <v>48</v>
      </c>
      <c r="I338" s="119" t="s">
        <v>120</v>
      </c>
    </row>
    <row r="339" spans="1:9">
      <c r="A339" s="119">
        <v>214</v>
      </c>
      <c r="B339" s="119" t="s">
        <v>137</v>
      </c>
      <c r="C339" s="119" t="s">
        <v>170</v>
      </c>
      <c r="D339" s="119" t="s">
        <v>154</v>
      </c>
      <c r="E339" s="119">
        <v>25</v>
      </c>
      <c r="F339" s="119" t="s">
        <v>129</v>
      </c>
      <c r="G339" s="119">
        <v>48</v>
      </c>
      <c r="I339" s="119" t="s">
        <v>120</v>
      </c>
    </row>
    <row r="340" spans="1:9">
      <c r="A340" s="119">
        <v>220</v>
      </c>
      <c r="B340" s="119" t="s">
        <v>137</v>
      </c>
      <c r="C340" s="119" t="s">
        <v>170</v>
      </c>
      <c r="D340" s="119" t="s">
        <v>154</v>
      </c>
      <c r="E340" s="119">
        <v>5</v>
      </c>
      <c r="F340" s="119" t="s">
        <v>142</v>
      </c>
      <c r="G340" s="119">
        <v>48</v>
      </c>
      <c r="I340" s="119" t="s">
        <v>120</v>
      </c>
    </row>
    <row r="341" spans="1:9">
      <c r="A341" s="119">
        <v>216</v>
      </c>
      <c r="B341" s="119" t="s">
        <v>155</v>
      </c>
      <c r="C341" s="119" t="s">
        <v>170</v>
      </c>
      <c r="D341" s="119" t="s">
        <v>154</v>
      </c>
      <c r="E341" s="119">
        <v>5</v>
      </c>
      <c r="F341" s="119" t="s">
        <v>131</v>
      </c>
      <c r="G341" s="119">
        <v>48</v>
      </c>
      <c r="I341" s="119" t="s">
        <v>120</v>
      </c>
    </row>
    <row r="342" spans="1:9">
      <c r="A342" s="119">
        <v>220</v>
      </c>
      <c r="B342" s="119" t="s">
        <v>156</v>
      </c>
      <c r="C342" s="119" t="s">
        <v>170</v>
      </c>
      <c r="D342" s="119" t="s">
        <v>154</v>
      </c>
      <c r="E342" s="119">
        <v>5</v>
      </c>
      <c r="F342" s="119" t="s">
        <v>142</v>
      </c>
      <c r="G342" s="119">
        <v>48</v>
      </c>
      <c r="I342" s="119" t="s">
        <v>120</v>
      </c>
    </row>
    <row r="343" spans="1:9">
      <c r="A343" s="119">
        <v>219</v>
      </c>
      <c r="B343" s="119" t="s">
        <v>157</v>
      </c>
      <c r="C343" s="119" t="s">
        <v>170</v>
      </c>
      <c r="D343" s="119" t="s">
        <v>154</v>
      </c>
      <c r="E343" s="119">
        <v>5</v>
      </c>
      <c r="F343" s="119" t="s">
        <v>138</v>
      </c>
      <c r="G343" s="119">
        <v>48</v>
      </c>
      <c r="I343" s="119" t="s">
        <v>120</v>
      </c>
    </row>
    <row r="344" spans="1:9">
      <c r="A344" s="119">
        <v>218</v>
      </c>
      <c r="B344" s="119" t="s">
        <v>158</v>
      </c>
      <c r="C344" s="119" t="s">
        <v>170</v>
      </c>
      <c r="D344" s="119" t="s">
        <v>154</v>
      </c>
      <c r="E344" s="119">
        <v>5</v>
      </c>
      <c r="F344" s="119" t="s">
        <v>135</v>
      </c>
      <c r="G344" s="119">
        <v>48</v>
      </c>
    </row>
    <row r="345" spans="1:9">
      <c r="A345" s="119">
        <v>203</v>
      </c>
      <c r="B345" s="119" t="s">
        <v>159</v>
      </c>
      <c r="C345" s="119" t="s">
        <v>170</v>
      </c>
      <c r="D345" s="119" t="s">
        <v>154</v>
      </c>
      <c r="E345" s="119">
        <v>150</v>
      </c>
      <c r="F345" s="119" t="s">
        <v>118</v>
      </c>
      <c r="G345" s="119">
        <v>48</v>
      </c>
      <c r="I345" s="119" t="s">
        <v>120</v>
      </c>
    </row>
    <row r="346" spans="1:9">
      <c r="A346" s="119">
        <v>207</v>
      </c>
      <c r="B346" s="119" t="s">
        <v>159</v>
      </c>
      <c r="C346" s="119" t="s">
        <v>170</v>
      </c>
      <c r="D346" s="119" t="s">
        <v>154</v>
      </c>
      <c r="E346" s="119">
        <v>100</v>
      </c>
      <c r="F346" s="119" t="s">
        <v>123</v>
      </c>
      <c r="G346" s="119">
        <v>48</v>
      </c>
      <c r="I346" s="119" t="s">
        <v>120</v>
      </c>
    </row>
    <row r="347" spans="1:9">
      <c r="A347" s="119">
        <v>211</v>
      </c>
      <c r="B347" s="119" t="s">
        <v>159</v>
      </c>
      <c r="C347" s="119" t="s">
        <v>170</v>
      </c>
      <c r="D347" s="119" t="s">
        <v>154</v>
      </c>
      <c r="E347" s="119">
        <v>50</v>
      </c>
      <c r="F347" s="119" t="s">
        <v>126</v>
      </c>
      <c r="G347" s="119">
        <v>48</v>
      </c>
      <c r="I347" s="119" t="s">
        <v>120</v>
      </c>
    </row>
    <row r="348" spans="1:9">
      <c r="A348" s="119">
        <v>213</v>
      </c>
      <c r="B348" s="119" t="s">
        <v>159</v>
      </c>
      <c r="C348" s="119" t="s">
        <v>170</v>
      </c>
      <c r="D348" s="119" t="s">
        <v>154</v>
      </c>
      <c r="E348" s="119">
        <v>25</v>
      </c>
      <c r="F348" s="119" t="s">
        <v>128</v>
      </c>
      <c r="G348" s="119">
        <v>48</v>
      </c>
      <c r="I348" s="119" t="s">
        <v>120</v>
      </c>
    </row>
    <row r="349" spans="1:9">
      <c r="A349" s="119">
        <v>219</v>
      </c>
      <c r="B349" s="119" t="s">
        <v>159</v>
      </c>
      <c r="C349" s="119" t="s">
        <v>170</v>
      </c>
      <c r="D349" s="119" t="s">
        <v>154</v>
      </c>
      <c r="E349" s="119">
        <v>5</v>
      </c>
      <c r="F349" s="119" t="s">
        <v>138</v>
      </c>
      <c r="G349" s="119">
        <v>48</v>
      </c>
      <c r="I349" s="119" t="s">
        <v>120</v>
      </c>
    </row>
    <row r="350" spans="1:9">
      <c r="A350" s="119">
        <v>206</v>
      </c>
      <c r="B350" s="119" t="s">
        <v>160</v>
      </c>
      <c r="C350" s="119" t="s">
        <v>170</v>
      </c>
      <c r="D350" s="119" t="s">
        <v>154</v>
      </c>
      <c r="E350" s="119">
        <v>100</v>
      </c>
      <c r="F350" s="119" t="s">
        <v>122</v>
      </c>
      <c r="G350" s="119">
        <v>48</v>
      </c>
      <c r="I350" s="119" t="s">
        <v>120</v>
      </c>
    </row>
    <row r="351" spans="1:9">
      <c r="A351" s="119">
        <v>210</v>
      </c>
      <c r="B351" s="119" t="s">
        <v>160</v>
      </c>
      <c r="C351" s="119" t="s">
        <v>170</v>
      </c>
      <c r="D351" s="119" t="s">
        <v>154</v>
      </c>
      <c r="E351" s="119">
        <v>50</v>
      </c>
      <c r="F351" s="119" t="s">
        <v>134</v>
      </c>
      <c r="G351" s="119">
        <v>48</v>
      </c>
      <c r="I351" s="119" t="s">
        <v>120</v>
      </c>
    </row>
    <row r="352" spans="1:9">
      <c r="A352" s="119">
        <v>215</v>
      </c>
      <c r="B352" s="119" t="s">
        <v>160</v>
      </c>
      <c r="C352" s="119" t="s">
        <v>170</v>
      </c>
      <c r="D352" s="119" t="s">
        <v>154</v>
      </c>
      <c r="E352" s="119">
        <v>25</v>
      </c>
      <c r="F352" s="119" t="s">
        <v>130</v>
      </c>
      <c r="G352" s="119">
        <v>48</v>
      </c>
      <c r="I352" s="119" t="s">
        <v>120</v>
      </c>
    </row>
    <row r="353" spans="1:9">
      <c r="A353" s="119">
        <v>217</v>
      </c>
      <c r="B353" s="119" t="s">
        <v>160</v>
      </c>
      <c r="C353" s="119" t="s">
        <v>170</v>
      </c>
      <c r="D353" s="119" t="s">
        <v>154</v>
      </c>
      <c r="E353" s="119">
        <v>5</v>
      </c>
      <c r="F353" s="119" t="s">
        <v>132</v>
      </c>
      <c r="G353" s="119">
        <v>48</v>
      </c>
      <c r="I353" s="119" t="s">
        <v>120</v>
      </c>
    </row>
    <row r="354" spans="1:9">
      <c r="A354" s="119">
        <v>221</v>
      </c>
      <c r="B354" s="119" t="s">
        <v>116</v>
      </c>
      <c r="C354" s="119" t="s">
        <v>171</v>
      </c>
      <c r="D354" s="119" t="s">
        <v>154</v>
      </c>
      <c r="E354" s="119">
        <v>300</v>
      </c>
      <c r="F354" s="119" t="s">
        <v>133</v>
      </c>
      <c r="G354" s="119">
        <v>53</v>
      </c>
    </row>
    <row r="355" spans="1:9">
      <c r="A355" s="119">
        <v>222</v>
      </c>
      <c r="B355" s="119" t="s">
        <v>116</v>
      </c>
      <c r="C355" s="119" t="s">
        <v>171</v>
      </c>
      <c r="D355" s="119" t="s">
        <v>154</v>
      </c>
      <c r="E355" s="119">
        <v>200</v>
      </c>
      <c r="F355" s="119" t="s">
        <v>117</v>
      </c>
      <c r="G355" s="119">
        <v>53</v>
      </c>
    </row>
    <row r="356" spans="1:9">
      <c r="A356" s="119">
        <v>224</v>
      </c>
      <c r="B356" s="119" t="s">
        <v>116</v>
      </c>
      <c r="C356" s="119" t="s">
        <v>171</v>
      </c>
      <c r="D356" s="119" t="s">
        <v>154</v>
      </c>
      <c r="E356" s="119">
        <v>150</v>
      </c>
      <c r="F356" s="119" t="s">
        <v>119</v>
      </c>
      <c r="G356" s="119">
        <v>53</v>
      </c>
    </row>
    <row r="357" spans="1:9">
      <c r="A357" s="119">
        <v>225</v>
      </c>
      <c r="B357" s="119" t="s">
        <v>116</v>
      </c>
      <c r="C357" s="119" t="s">
        <v>171</v>
      </c>
      <c r="D357" s="119" t="s">
        <v>154</v>
      </c>
      <c r="E357" s="119">
        <v>125</v>
      </c>
      <c r="F357" s="119" t="s">
        <v>121</v>
      </c>
      <c r="G357" s="119">
        <v>53</v>
      </c>
    </row>
    <row r="358" spans="1:9">
      <c r="A358" s="119">
        <v>228</v>
      </c>
      <c r="B358" s="119" t="s">
        <v>116</v>
      </c>
      <c r="C358" s="119" t="s">
        <v>171</v>
      </c>
      <c r="D358" s="119" t="s">
        <v>154</v>
      </c>
      <c r="E358" s="119">
        <v>100</v>
      </c>
      <c r="F358" s="119" t="s">
        <v>124</v>
      </c>
      <c r="G358" s="119">
        <v>53</v>
      </c>
    </row>
    <row r="359" spans="1:9">
      <c r="A359" s="119">
        <v>229</v>
      </c>
      <c r="B359" s="119" t="s">
        <v>116</v>
      </c>
      <c r="C359" s="119" t="s">
        <v>171</v>
      </c>
      <c r="D359" s="119" t="s">
        <v>154</v>
      </c>
      <c r="E359" s="119">
        <v>75</v>
      </c>
      <c r="F359" s="119" t="s">
        <v>125</v>
      </c>
      <c r="G359" s="119">
        <v>53</v>
      </c>
    </row>
    <row r="360" spans="1:9">
      <c r="A360" s="119">
        <v>232</v>
      </c>
      <c r="B360" s="119" t="s">
        <v>116</v>
      </c>
      <c r="C360" s="119" t="s">
        <v>171</v>
      </c>
      <c r="D360" s="119" t="s">
        <v>154</v>
      </c>
      <c r="E360" s="119">
        <v>50</v>
      </c>
      <c r="F360" s="119" t="s">
        <v>127</v>
      </c>
      <c r="G360" s="119">
        <v>53</v>
      </c>
      <c r="I360" s="119" t="s">
        <v>120</v>
      </c>
    </row>
    <row r="361" spans="1:9">
      <c r="A361" s="119">
        <v>234</v>
      </c>
      <c r="B361" s="119" t="s">
        <v>116</v>
      </c>
      <c r="C361" s="119" t="s">
        <v>171</v>
      </c>
      <c r="D361" s="119" t="s">
        <v>154</v>
      </c>
      <c r="E361" s="119">
        <v>25</v>
      </c>
      <c r="F361" s="119" t="s">
        <v>129</v>
      </c>
      <c r="G361" s="119">
        <v>53</v>
      </c>
    </row>
    <row r="362" spans="1:9">
      <c r="A362" s="119">
        <v>240</v>
      </c>
      <c r="B362" s="119" t="s">
        <v>116</v>
      </c>
      <c r="C362" s="119" t="s">
        <v>171</v>
      </c>
      <c r="D362" s="119" t="s">
        <v>154</v>
      </c>
      <c r="E362" s="119">
        <v>5</v>
      </c>
      <c r="F362" s="119" t="s">
        <v>142</v>
      </c>
      <c r="G362" s="119">
        <v>53</v>
      </c>
    </row>
    <row r="363" spans="1:9">
      <c r="A363" s="119">
        <v>221</v>
      </c>
      <c r="B363" s="119" t="s">
        <v>139</v>
      </c>
      <c r="C363" s="119" t="s">
        <v>171</v>
      </c>
      <c r="D363" s="119" t="s">
        <v>154</v>
      </c>
      <c r="E363" s="119">
        <v>300</v>
      </c>
      <c r="F363" s="119" t="s">
        <v>133</v>
      </c>
      <c r="G363" s="119">
        <v>53</v>
      </c>
    </row>
    <row r="364" spans="1:9">
      <c r="A364" s="119">
        <v>222</v>
      </c>
      <c r="B364" s="119" t="s">
        <v>139</v>
      </c>
      <c r="C364" s="119" t="s">
        <v>171</v>
      </c>
      <c r="D364" s="119" t="s">
        <v>154</v>
      </c>
      <c r="E364" s="119">
        <v>200</v>
      </c>
      <c r="F364" s="119" t="s">
        <v>117</v>
      </c>
      <c r="G364" s="119">
        <v>53</v>
      </c>
      <c r="I364" s="119" t="s">
        <v>120</v>
      </c>
    </row>
    <row r="365" spans="1:9">
      <c r="A365" s="119">
        <v>224</v>
      </c>
      <c r="B365" s="119" t="s">
        <v>139</v>
      </c>
      <c r="C365" s="119" t="s">
        <v>171</v>
      </c>
      <c r="D365" s="119" t="s">
        <v>154</v>
      </c>
      <c r="E365" s="119">
        <v>150</v>
      </c>
      <c r="F365" s="119" t="s">
        <v>119</v>
      </c>
      <c r="G365" s="119">
        <v>53</v>
      </c>
    </row>
    <row r="366" spans="1:9">
      <c r="A366" s="119">
        <v>225</v>
      </c>
      <c r="B366" s="119" t="s">
        <v>139</v>
      </c>
      <c r="C366" s="119" t="s">
        <v>171</v>
      </c>
      <c r="D366" s="119" t="s">
        <v>154</v>
      </c>
      <c r="E366" s="119">
        <v>125</v>
      </c>
      <c r="F366" s="119" t="s">
        <v>121</v>
      </c>
      <c r="G366" s="119">
        <v>53</v>
      </c>
    </row>
    <row r="367" spans="1:9">
      <c r="A367" s="119">
        <v>228</v>
      </c>
      <c r="B367" s="119" t="s">
        <v>139</v>
      </c>
      <c r="C367" s="119" t="s">
        <v>171</v>
      </c>
      <c r="D367" s="119" t="s">
        <v>154</v>
      </c>
      <c r="E367" s="119">
        <v>100</v>
      </c>
      <c r="F367" s="119" t="s">
        <v>124</v>
      </c>
      <c r="G367" s="119">
        <v>53</v>
      </c>
    </row>
    <row r="368" spans="1:9">
      <c r="A368" s="119">
        <v>229</v>
      </c>
      <c r="B368" s="119" t="s">
        <v>139</v>
      </c>
      <c r="C368" s="119" t="s">
        <v>171</v>
      </c>
      <c r="D368" s="119" t="s">
        <v>154</v>
      </c>
      <c r="E368" s="119">
        <v>75</v>
      </c>
      <c r="F368" s="119" t="s">
        <v>125</v>
      </c>
      <c r="G368" s="119">
        <v>53</v>
      </c>
    </row>
    <row r="369" spans="1:9">
      <c r="A369" s="119">
        <v>232</v>
      </c>
      <c r="B369" s="119" t="s">
        <v>139</v>
      </c>
      <c r="C369" s="119" t="s">
        <v>171</v>
      </c>
      <c r="D369" s="119" t="s">
        <v>154</v>
      </c>
      <c r="E369" s="119">
        <v>50</v>
      </c>
      <c r="F369" s="119" t="s">
        <v>127</v>
      </c>
      <c r="G369" s="119">
        <v>53</v>
      </c>
    </row>
    <row r="370" spans="1:9">
      <c r="A370" s="119">
        <v>234</v>
      </c>
      <c r="B370" s="119" t="s">
        <v>139</v>
      </c>
      <c r="C370" s="119" t="s">
        <v>171</v>
      </c>
      <c r="D370" s="119" t="s">
        <v>154</v>
      </c>
      <c r="E370" s="119">
        <v>25</v>
      </c>
      <c r="F370" s="119" t="s">
        <v>129</v>
      </c>
      <c r="G370" s="119">
        <v>53</v>
      </c>
    </row>
    <row r="371" spans="1:9">
      <c r="A371" s="119">
        <v>240</v>
      </c>
      <c r="B371" s="119" t="s">
        <v>139</v>
      </c>
      <c r="C371" s="119" t="s">
        <v>171</v>
      </c>
      <c r="D371" s="119" t="s">
        <v>154</v>
      </c>
      <c r="E371" s="119">
        <v>5</v>
      </c>
      <c r="F371" s="119" t="s">
        <v>142</v>
      </c>
      <c r="G371" s="119">
        <v>53</v>
      </c>
    </row>
    <row r="372" spans="1:9">
      <c r="A372" s="119">
        <v>224</v>
      </c>
      <c r="B372" s="119" t="s">
        <v>136</v>
      </c>
      <c r="C372" s="119" t="s">
        <v>171</v>
      </c>
      <c r="D372" s="119" t="s">
        <v>154</v>
      </c>
      <c r="E372" s="119">
        <v>150</v>
      </c>
      <c r="F372" s="119" t="s">
        <v>119</v>
      </c>
      <c r="G372" s="119">
        <v>53</v>
      </c>
      <c r="I372" s="119" t="s">
        <v>120</v>
      </c>
    </row>
    <row r="373" spans="1:9">
      <c r="A373" s="119">
        <v>228</v>
      </c>
      <c r="B373" s="119" t="s">
        <v>136</v>
      </c>
      <c r="C373" s="119" t="s">
        <v>171</v>
      </c>
      <c r="D373" s="119" t="s">
        <v>154</v>
      </c>
      <c r="E373" s="119">
        <v>100</v>
      </c>
      <c r="F373" s="119" t="s">
        <v>124</v>
      </c>
      <c r="G373" s="119">
        <v>53</v>
      </c>
      <c r="I373" s="119" t="s">
        <v>120</v>
      </c>
    </row>
    <row r="374" spans="1:9">
      <c r="A374" s="119">
        <v>229</v>
      </c>
      <c r="B374" s="119" t="s">
        <v>136</v>
      </c>
      <c r="C374" s="119" t="s">
        <v>171</v>
      </c>
      <c r="D374" s="119" t="s">
        <v>154</v>
      </c>
      <c r="E374" s="119">
        <v>75</v>
      </c>
      <c r="F374" s="119" t="s">
        <v>125</v>
      </c>
      <c r="G374" s="119">
        <v>53</v>
      </c>
      <c r="I374" s="119" t="s">
        <v>120</v>
      </c>
    </row>
    <row r="375" spans="1:9">
      <c r="A375" s="119">
        <v>232</v>
      </c>
      <c r="B375" s="119" t="s">
        <v>136</v>
      </c>
      <c r="C375" s="119" t="s">
        <v>171</v>
      </c>
      <c r="D375" s="119" t="s">
        <v>154</v>
      </c>
      <c r="E375" s="119">
        <v>50</v>
      </c>
      <c r="F375" s="119" t="s">
        <v>127</v>
      </c>
      <c r="G375" s="119">
        <v>53</v>
      </c>
      <c r="I375" s="119" t="s">
        <v>120</v>
      </c>
    </row>
    <row r="376" spans="1:9">
      <c r="A376" s="119">
        <v>234</v>
      </c>
      <c r="B376" s="119" t="s">
        <v>136</v>
      </c>
      <c r="C376" s="119" t="s">
        <v>171</v>
      </c>
      <c r="D376" s="119" t="s">
        <v>154</v>
      </c>
      <c r="E376" s="119">
        <v>25</v>
      </c>
      <c r="F376" s="119" t="s">
        <v>129</v>
      </c>
      <c r="G376" s="119">
        <v>53</v>
      </c>
      <c r="I376" s="119" t="s">
        <v>120</v>
      </c>
    </row>
    <row r="377" spans="1:9">
      <c r="A377" s="119">
        <v>240</v>
      </c>
      <c r="B377" s="119" t="s">
        <v>136</v>
      </c>
      <c r="C377" s="119" t="s">
        <v>171</v>
      </c>
      <c r="D377" s="119" t="s">
        <v>154</v>
      </c>
      <c r="E377" s="119">
        <v>5</v>
      </c>
      <c r="F377" s="119" t="s">
        <v>142</v>
      </c>
      <c r="G377" s="119">
        <v>53</v>
      </c>
      <c r="I377" s="119" t="s">
        <v>120</v>
      </c>
    </row>
    <row r="378" spans="1:9">
      <c r="A378" s="119">
        <v>232</v>
      </c>
      <c r="B378" s="119" t="s">
        <v>137</v>
      </c>
      <c r="C378" s="119" t="s">
        <v>171</v>
      </c>
      <c r="D378" s="119" t="s">
        <v>154</v>
      </c>
      <c r="E378" s="119">
        <v>50</v>
      </c>
      <c r="F378" s="119" t="s">
        <v>127</v>
      </c>
      <c r="G378" s="119">
        <v>53</v>
      </c>
      <c r="I378" s="119" t="s">
        <v>120</v>
      </c>
    </row>
    <row r="379" spans="1:9">
      <c r="A379" s="119">
        <v>234</v>
      </c>
      <c r="B379" s="119" t="s">
        <v>137</v>
      </c>
      <c r="C379" s="119" t="s">
        <v>171</v>
      </c>
      <c r="D379" s="119" t="s">
        <v>154</v>
      </c>
      <c r="E379" s="119">
        <v>25</v>
      </c>
      <c r="F379" s="119" t="s">
        <v>129</v>
      </c>
      <c r="G379" s="119">
        <v>53</v>
      </c>
      <c r="I379" s="119" t="s">
        <v>120</v>
      </c>
    </row>
    <row r="380" spans="1:9">
      <c r="A380" s="119">
        <v>240</v>
      </c>
      <c r="B380" s="119" t="s">
        <v>137</v>
      </c>
      <c r="C380" s="119" t="s">
        <v>171</v>
      </c>
      <c r="D380" s="119" t="s">
        <v>154</v>
      </c>
      <c r="E380" s="119">
        <v>5</v>
      </c>
      <c r="F380" s="119" t="s">
        <v>142</v>
      </c>
      <c r="G380" s="119">
        <v>53</v>
      </c>
      <c r="I380" s="119" t="s">
        <v>120</v>
      </c>
    </row>
    <row r="381" spans="1:9">
      <c r="A381" s="119">
        <v>236</v>
      </c>
      <c r="B381" s="119" t="s">
        <v>155</v>
      </c>
      <c r="C381" s="119" t="s">
        <v>171</v>
      </c>
      <c r="D381" s="119" t="s">
        <v>154</v>
      </c>
      <c r="E381" s="119">
        <v>5</v>
      </c>
      <c r="F381" s="119" t="s">
        <v>131</v>
      </c>
      <c r="G381" s="119">
        <v>53</v>
      </c>
      <c r="I381" s="119" t="s">
        <v>120</v>
      </c>
    </row>
    <row r="382" spans="1:9">
      <c r="A382" s="119">
        <v>240</v>
      </c>
      <c r="B382" s="119" t="s">
        <v>156</v>
      </c>
      <c r="C382" s="119" t="s">
        <v>171</v>
      </c>
      <c r="D382" s="119" t="s">
        <v>154</v>
      </c>
      <c r="E382" s="119">
        <v>5</v>
      </c>
      <c r="F382" s="119" t="s">
        <v>142</v>
      </c>
      <c r="G382" s="119">
        <v>53</v>
      </c>
      <c r="I382" s="119" t="s">
        <v>120</v>
      </c>
    </row>
    <row r="383" spans="1:9">
      <c r="A383" s="119">
        <v>239</v>
      </c>
      <c r="B383" s="119" t="s">
        <v>157</v>
      </c>
      <c r="C383" s="119" t="s">
        <v>171</v>
      </c>
      <c r="D383" s="119" t="s">
        <v>154</v>
      </c>
      <c r="E383" s="119">
        <v>5</v>
      </c>
      <c r="F383" s="119" t="s">
        <v>138</v>
      </c>
      <c r="G383" s="119">
        <v>53</v>
      </c>
      <c r="I383" s="119" t="s">
        <v>120</v>
      </c>
    </row>
    <row r="384" spans="1:9">
      <c r="A384" s="119">
        <v>238</v>
      </c>
      <c r="B384" s="119" t="s">
        <v>158</v>
      </c>
      <c r="C384" s="119" t="s">
        <v>171</v>
      </c>
      <c r="D384" s="119" t="s">
        <v>154</v>
      </c>
      <c r="E384" s="119">
        <v>5</v>
      </c>
      <c r="F384" s="119" t="s">
        <v>135</v>
      </c>
      <c r="G384" s="119">
        <v>53</v>
      </c>
    </row>
    <row r="385" spans="1:9">
      <c r="A385" s="119">
        <v>223</v>
      </c>
      <c r="B385" s="119" t="s">
        <v>159</v>
      </c>
      <c r="C385" s="119" t="s">
        <v>171</v>
      </c>
      <c r="D385" s="119" t="s">
        <v>154</v>
      </c>
      <c r="E385" s="119">
        <v>150</v>
      </c>
      <c r="F385" s="119" t="s">
        <v>118</v>
      </c>
      <c r="G385" s="119">
        <v>53</v>
      </c>
      <c r="I385" s="119" t="s">
        <v>120</v>
      </c>
    </row>
    <row r="386" spans="1:9">
      <c r="A386" s="119">
        <v>227</v>
      </c>
      <c r="B386" s="119" t="s">
        <v>159</v>
      </c>
      <c r="C386" s="119" t="s">
        <v>171</v>
      </c>
      <c r="D386" s="119" t="s">
        <v>154</v>
      </c>
      <c r="E386" s="119">
        <v>100</v>
      </c>
      <c r="F386" s="119" t="s">
        <v>123</v>
      </c>
      <c r="G386" s="119">
        <v>53</v>
      </c>
      <c r="I386" s="119" t="s">
        <v>120</v>
      </c>
    </row>
    <row r="387" spans="1:9">
      <c r="A387" s="119">
        <v>231</v>
      </c>
      <c r="B387" s="119" t="s">
        <v>159</v>
      </c>
      <c r="C387" s="119" t="s">
        <v>171</v>
      </c>
      <c r="D387" s="119" t="s">
        <v>154</v>
      </c>
      <c r="E387" s="119">
        <v>50</v>
      </c>
      <c r="F387" s="119" t="s">
        <v>126</v>
      </c>
      <c r="G387" s="119">
        <v>53</v>
      </c>
      <c r="I387" s="119" t="s">
        <v>120</v>
      </c>
    </row>
    <row r="388" spans="1:9">
      <c r="A388" s="119">
        <v>233</v>
      </c>
      <c r="B388" s="119" t="s">
        <v>159</v>
      </c>
      <c r="C388" s="119" t="s">
        <v>171</v>
      </c>
      <c r="D388" s="119" t="s">
        <v>154</v>
      </c>
      <c r="E388" s="119">
        <v>25</v>
      </c>
      <c r="F388" s="119" t="s">
        <v>128</v>
      </c>
      <c r="G388" s="119">
        <v>53</v>
      </c>
      <c r="I388" s="119" t="s">
        <v>120</v>
      </c>
    </row>
    <row r="389" spans="1:9">
      <c r="A389" s="119">
        <v>239</v>
      </c>
      <c r="B389" s="119" t="s">
        <v>159</v>
      </c>
      <c r="C389" s="119" t="s">
        <v>171</v>
      </c>
      <c r="D389" s="119" t="s">
        <v>154</v>
      </c>
      <c r="E389" s="119">
        <v>5</v>
      </c>
      <c r="F389" s="119" t="s">
        <v>138</v>
      </c>
      <c r="G389" s="119">
        <v>53</v>
      </c>
      <c r="I389" s="119" t="s">
        <v>120</v>
      </c>
    </row>
    <row r="390" spans="1:9">
      <c r="A390" s="119">
        <v>226</v>
      </c>
      <c r="B390" s="119" t="s">
        <v>160</v>
      </c>
      <c r="C390" s="119" t="s">
        <v>171</v>
      </c>
      <c r="D390" s="119" t="s">
        <v>154</v>
      </c>
      <c r="E390" s="119">
        <v>100</v>
      </c>
      <c r="F390" s="119" t="s">
        <v>122</v>
      </c>
      <c r="G390" s="119">
        <v>53</v>
      </c>
      <c r="I390" s="119" t="s">
        <v>120</v>
      </c>
    </row>
    <row r="391" spans="1:9">
      <c r="A391" s="119">
        <v>230</v>
      </c>
      <c r="B391" s="119" t="s">
        <v>160</v>
      </c>
      <c r="C391" s="119" t="s">
        <v>171</v>
      </c>
      <c r="D391" s="119" t="s">
        <v>154</v>
      </c>
      <c r="E391" s="119">
        <v>50</v>
      </c>
      <c r="F391" s="119" t="s">
        <v>134</v>
      </c>
      <c r="G391" s="119">
        <v>53</v>
      </c>
      <c r="I391" s="119" t="s">
        <v>120</v>
      </c>
    </row>
    <row r="392" spans="1:9">
      <c r="A392" s="119">
        <v>235</v>
      </c>
      <c r="B392" s="119" t="s">
        <v>160</v>
      </c>
      <c r="C392" s="119" t="s">
        <v>171</v>
      </c>
      <c r="D392" s="119" t="s">
        <v>154</v>
      </c>
      <c r="E392" s="119">
        <v>25</v>
      </c>
      <c r="F392" s="119" t="s">
        <v>130</v>
      </c>
      <c r="G392" s="119">
        <v>53</v>
      </c>
      <c r="I392" s="119" t="s">
        <v>120</v>
      </c>
    </row>
    <row r="393" spans="1:9">
      <c r="A393" s="119">
        <v>237</v>
      </c>
      <c r="B393" s="119" t="s">
        <v>160</v>
      </c>
      <c r="C393" s="119" t="s">
        <v>171</v>
      </c>
      <c r="D393" s="119" t="s">
        <v>154</v>
      </c>
      <c r="E393" s="119">
        <v>5</v>
      </c>
      <c r="F393" s="119" t="s">
        <v>132</v>
      </c>
      <c r="G393" s="119">
        <v>53</v>
      </c>
      <c r="I393" s="119" t="s">
        <v>120</v>
      </c>
    </row>
    <row r="394" spans="1:9">
      <c r="A394" s="119">
        <v>241</v>
      </c>
      <c r="B394" s="119" t="s">
        <v>116</v>
      </c>
      <c r="C394" s="119" t="s">
        <v>172</v>
      </c>
      <c r="D394" s="119" t="s">
        <v>154</v>
      </c>
      <c r="E394" s="119">
        <v>2000</v>
      </c>
      <c r="F394" s="119" t="s">
        <v>133</v>
      </c>
      <c r="G394" s="119">
        <v>58</v>
      </c>
    </row>
    <row r="395" spans="1:9">
      <c r="A395" s="119">
        <v>242</v>
      </c>
      <c r="B395" s="119" t="s">
        <v>116</v>
      </c>
      <c r="C395" s="119" t="s">
        <v>172</v>
      </c>
      <c r="D395" s="119" t="s">
        <v>154</v>
      </c>
      <c r="E395" s="119">
        <v>1500</v>
      </c>
      <c r="F395" s="119" t="s">
        <v>117</v>
      </c>
      <c r="G395" s="119">
        <v>58</v>
      </c>
      <c r="I395" s="119" t="s">
        <v>120</v>
      </c>
    </row>
    <row r="396" spans="1:9">
      <c r="A396" s="119">
        <v>243</v>
      </c>
      <c r="B396" s="119" t="s">
        <v>116</v>
      </c>
      <c r="C396" s="119" t="s">
        <v>172</v>
      </c>
      <c r="D396" s="119" t="s">
        <v>154</v>
      </c>
      <c r="E396" s="119">
        <v>1250</v>
      </c>
      <c r="F396" s="119" t="s">
        <v>118</v>
      </c>
      <c r="G396" s="119">
        <v>58</v>
      </c>
    </row>
    <row r="397" spans="1:9">
      <c r="A397" s="119">
        <v>244</v>
      </c>
      <c r="B397" s="119" t="s">
        <v>116</v>
      </c>
      <c r="C397" s="119" t="s">
        <v>172</v>
      </c>
      <c r="D397" s="119" t="s">
        <v>154</v>
      </c>
      <c r="E397" s="119">
        <v>1000</v>
      </c>
      <c r="F397" s="119" t="s">
        <v>119</v>
      </c>
      <c r="G397" s="119">
        <v>58</v>
      </c>
    </row>
    <row r="398" spans="1:9">
      <c r="A398" s="119">
        <v>245</v>
      </c>
      <c r="B398" s="119" t="s">
        <v>116</v>
      </c>
      <c r="C398" s="119" t="s">
        <v>172</v>
      </c>
      <c r="D398" s="119" t="s">
        <v>154</v>
      </c>
      <c r="E398" s="119">
        <v>800</v>
      </c>
      <c r="F398" s="119" t="s">
        <v>121</v>
      </c>
      <c r="G398" s="119">
        <v>58</v>
      </c>
    </row>
    <row r="399" spans="1:9">
      <c r="A399" s="119">
        <v>246</v>
      </c>
      <c r="B399" s="119" t="s">
        <v>116</v>
      </c>
      <c r="C399" s="119" t="s">
        <v>172</v>
      </c>
      <c r="D399" s="119" t="s">
        <v>154</v>
      </c>
      <c r="E399" s="119">
        <v>600</v>
      </c>
      <c r="F399" s="119" t="s">
        <v>122</v>
      </c>
      <c r="G399" s="119">
        <v>58</v>
      </c>
    </row>
    <row r="400" spans="1:9">
      <c r="A400" s="119">
        <v>247</v>
      </c>
      <c r="B400" s="119" t="s">
        <v>116</v>
      </c>
      <c r="C400" s="119" t="s">
        <v>172</v>
      </c>
      <c r="D400" s="119" t="s">
        <v>154</v>
      </c>
      <c r="E400" s="119">
        <v>400</v>
      </c>
      <c r="F400" s="119" t="s">
        <v>123</v>
      </c>
      <c r="G400" s="119">
        <v>58</v>
      </c>
    </row>
    <row r="401" spans="1:9">
      <c r="A401" s="119">
        <v>248</v>
      </c>
      <c r="B401" s="119" t="s">
        <v>116</v>
      </c>
      <c r="C401" s="119" t="s">
        <v>172</v>
      </c>
      <c r="D401" s="119" t="s">
        <v>154</v>
      </c>
      <c r="E401" s="119">
        <v>300</v>
      </c>
      <c r="F401" s="119" t="s">
        <v>124</v>
      </c>
      <c r="G401" s="119">
        <v>58</v>
      </c>
    </row>
    <row r="402" spans="1:9">
      <c r="A402" s="119">
        <v>249</v>
      </c>
      <c r="B402" s="119" t="s">
        <v>116</v>
      </c>
      <c r="C402" s="119" t="s">
        <v>172</v>
      </c>
      <c r="D402" s="119" t="s">
        <v>154</v>
      </c>
      <c r="E402" s="119">
        <v>250</v>
      </c>
      <c r="F402" s="119" t="s">
        <v>125</v>
      </c>
      <c r="G402" s="119">
        <v>58</v>
      </c>
      <c r="I402" s="119" t="s">
        <v>120</v>
      </c>
    </row>
    <row r="403" spans="1:9">
      <c r="A403" s="119">
        <v>250</v>
      </c>
      <c r="B403" s="119" t="s">
        <v>116</v>
      </c>
      <c r="C403" s="119" t="s">
        <v>172</v>
      </c>
      <c r="D403" s="119" t="s">
        <v>154</v>
      </c>
      <c r="E403" s="119">
        <v>200</v>
      </c>
      <c r="F403" s="119" t="s">
        <v>134</v>
      </c>
      <c r="G403" s="119">
        <v>58</v>
      </c>
    </row>
    <row r="404" spans="1:9">
      <c r="A404" s="119">
        <v>251</v>
      </c>
      <c r="B404" s="119" t="s">
        <v>116</v>
      </c>
      <c r="C404" s="119" t="s">
        <v>172</v>
      </c>
      <c r="D404" s="119" t="s">
        <v>154</v>
      </c>
      <c r="E404" s="119">
        <v>175</v>
      </c>
      <c r="F404" s="119" t="s">
        <v>126</v>
      </c>
      <c r="G404" s="119">
        <v>58</v>
      </c>
    </row>
    <row r="405" spans="1:9">
      <c r="A405" s="119">
        <v>252</v>
      </c>
      <c r="B405" s="119" t="s">
        <v>116</v>
      </c>
      <c r="C405" s="119" t="s">
        <v>172</v>
      </c>
      <c r="D405" s="119" t="s">
        <v>154</v>
      </c>
      <c r="E405" s="119">
        <v>150</v>
      </c>
      <c r="F405" s="119" t="s">
        <v>127</v>
      </c>
      <c r="G405" s="119">
        <v>58</v>
      </c>
    </row>
    <row r="406" spans="1:9">
      <c r="A406" s="119">
        <v>253</v>
      </c>
      <c r="B406" s="119" t="s">
        <v>116</v>
      </c>
      <c r="C406" s="119" t="s">
        <v>172</v>
      </c>
      <c r="D406" s="119" t="s">
        <v>154</v>
      </c>
      <c r="E406" s="119">
        <v>125</v>
      </c>
      <c r="F406" s="119" t="s">
        <v>128</v>
      </c>
      <c r="G406" s="119">
        <v>58</v>
      </c>
    </row>
    <row r="407" spans="1:9">
      <c r="A407" s="119">
        <v>254</v>
      </c>
      <c r="B407" s="119" t="s">
        <v>116</v>
      </c>
      <c r="C407" s="119" t="s">
        <v>172</v>
      </c>
      <c r="D407" s="119" t="s">
        <v>154</v>
      </c>
      <c r="E407" s="119">
        <v>100</v>
      </c>
      <c r="F407" s="119" t="s">
        <v>129</v>
      </c>
      <c r="G407" s="119">
        <v>58</v>
      </c>
    </row>
    <row r="408" spans="1:9">
      <c r="A408" s="119">
        <v>255</v>
      </c>
      <c r="B408" s="119" t="s">
        <v>116</v>
      </c>
      <c r="C408" s="119" t="s">
        <v>172</v>
      </c>
      <c r="D408" s="119" t="s">
        <v>154</v>
      </c>
      <c r="E408" s="119">
        <v>75</v>
      </c>
      <c r="F408" s="119" t="s">
        <v>130</v>
      </c>
      <c r="G408" s="119">
        <v>58</v>
      </c>
    </row>
    <row r="409" spans="1:9">
      <c r="A409" s="119">
        <v>256</v>
      </c>
      <c r="B409" s="119" t="s">
        <v>116</v>
      </c>
      <c r="C409" s="119" t="s">
        <v>172</v>
      </c>
      <c r="D409" s="119" t="s">
        <v>154</v>
      </c>
      <c r="E409" s="119">
        <v>60</v>
      </c>
      <c r="F409" s="119" t="s">
        <v>131</v>
      </c>
      <c r="G409" s="119">
        <v>58</v>
      </c>
    </row>
    <row r="410" spans="1:9">
      <c r="A410" s="119">
        <v>257</v>
      </c>
      <c r="B410" s="119" t="s">
        <v>116</v>
      </c>
      <c r="C410" s="119" t="s">
        <v>172</v>
      </c>
      <c r="D410" s="119" t="s">
        <v>154</v>
      </c>
      <c r="E410" s="119">
        <v>50</v>
      </c>
      <c r="F410" s="119" t="s">
        <v>132</v>
      </c>
      <c r="G410" s="119">
        <v>58</v>
      </c>
    </row>
    <row r="411" spans="1:9">
      <c r="A411" s="119">
        <v>258</v>
      </c>
      <c r="B411" s="119" t="s">
        <v>116</v>
      </c>
      <c r="C411" s="119" t="s">
        <v>172</v>
      </c>
      <c r="D411" s="119" t="s">
        <v>154</v>
      </c>
      <c r="E411" s="119">
        <v>25</v>
      </c>
      <c r="F411" s="119" t="s">
        <v>135</v>
      </c>
      <c r="G411" s="119">
        <v>58</v>
      </c>
    </row>
    <row r="412" spans="1:9">
      <c r="A412" s="119">
        <v>259</v>
      </c>
      <c r="B412" s="119" t="s">
        <v>116</v>
      </c>
      <c r="C412" s="119" t="s">
        <v>172</v>
      </c>
      <c r="D412" s="119" t="s">
        <v>154</v>
      </c>
      <c r="E412" s="119">
        <v>10</v>
      </c>
      <c r="F412" s="119" t="s">
        <v>138</v>
      </c>
      <c r="G412" s="119">
        <v>58</v>
      </c>
    </row>
    <row r="413" spans="1:9">
      <c r="A413" s="119">
        <v>260</v>
      </c>
      <c r="B413" s="119" t="s">
        <v>116</v>
      </c>
      <c r="C413" s="119" t="s">
        <v>172</v>
      </c>
      <c r="D413" s="119" t="s">
        <v>154</v>
      </c>
      <c r="E413" s="119">
        <v>5</v>
      </c>
      <c r="F413" s="119" t="s">
        <v>142</v>
      </c>
      <c r="G413" s="119">
        <v>58</v>
      </c>
      <c r="I413" s="119" t="s">
        <v>120</v>
      </c>
    </row>
    <row r="414" spans="1:9">
      <c r="A414" s="119">
        <v>264</v>
      </c>
      <c r="B414" s="119" t="s">
        <v>116</v>
      </c>
      <c r="C414" s="119" t="s">
        <v>172</v>
      </c>
      <c r="D414" s="119" t="s">
        <v>154</v>
      </c>
      <c r="E414" s="119">
        <v>0</v>
      </c>
      <c r="F414" s="119" t="s">
        <v>146</v>
      </c>
      <c r="G414" s="119">
        <v>58</v>
      </c>
    </row>
    <row r="415" spans="1:9">
      <c r="A415" s="119">
        <v>241</v>
      </c>
      <c r="B415" s="119" t="s">
        <v>139</v>
      </c>
      <c r="C415" s="119" t="s">
        <v>172</v>
      </c>
      <c r="D415" s="119" t="s">
        <v>154</v>
      </c>
      <c r="E415" s="119">
        <v>2000</v>
      </c>
      <c r="F415" s="119" t="s">
        <v>133</v>
      </c>
      <c r="G415" s="119">
        <v>58</v>
      </c>
    </row>
    <row r="416" spans="1:9">
      <c r="A416" s="119">
        <v>242</v>
      </c>
      <c r="B416" s="119" t="s">
        <v>139</v>
      </c>
      <c r="C416" s="119" t="s">
        <v>172</v>
      </c>
      <c r="D416" s="119" t="s">
        <v>154</v>
      </c>
      <c r="E416" s="119">
        <v>1500</v>
      </c>
      <c r="F416" s="119" t="s">
        <v>117</v>
      </c>
      <c r="G416" s="119">
        <v>58</v>
      </c>
    </row>
    <row r="417" spans="1:9">
      <c r="A417" s="119">
        <v>243</v>
      </c>
      <c r="B417" s="119" t="s">
        <v>139</v>
      </c>
      <c r="C417" s="119" t="s">
        <v>172</v>
      </c>
      <c r="D417" s="119" t="s">
        <v>154</v>
      </c>
      <c r="E417" s="119">
        <v>1250</v>
      </c>
      <c r="F417" s="119" t="s">
        <v>118</v>
      </c>
      <c r="G417" s="119">
        <v>58</v>
      </c>
    </row>
    <row r="418" spans="1:9">
      <c r="A418" s="119">
        <v>244</v>
      </c>
      <c r="B418" s="119" t="s">
        <v>139</v>
      </c>
      <c r="C418" s="119" t="s">
        <v>172</v>
      </c>
      <c r="D418" s="119" t="s">
        <v>154</v>
      </c>
      <c r="E418" s="119">
        <v>1000</v>
      </c>
      <c r="F418" s="119" t="s">
        <v>119</v>
      </c>
      <c r="G418" s="119">
        <v>58</v>
      </c>
      <c r="I418" s="119" t="s">
        <v>120</v>
      </c>
    </row>
    <row r="419" spans="1:9">
      <c r="A419" s="119">
        <v>245</v>
      </c>
      <c r="B419" s="119" t="s">
        <v>139</v>
      </c>
      <c r="C419" s="119" t="s">
        <v>172</v>
      </c>
      <c r="D419" s="119" t="s">
        <v>154</v>
      </c>
      <c r="E419" s="119">
        <v>800</v>
      </c>
      <c r="F419" s="119" t="s">
        <v>121</v>
      </c>
      <c r="G419" s="119">
        <v>58</v>
      </c>
    </row>
    <row r="420" spans="1:9">
      <c r="A420" s="119">
        <v>246</v>
      </c>
      <c r="B420" s="119" t="s">
        <v>139</v>
      </c>
      <c r="C420" s="119" t="s">
        <v>172</v>
      </c>
      <c r="D420" s="119" t="s">
        <v>154</v>
      </c>
      <c r="E420" s="119">
        <v>600</v>
      </c>
      <c r="F420" s="119" t="s">
        <v>122</v>
      </c>
      <c r="G420" s="119">
        <v>58</v>
      </c>
    </row>
    <row r="421" spans="1:9">
      <c r="A421" s="119">
        <v>247</v>
      </c>
      <c r="B421" s="119" t="s">
        <v>139</v>
      </c>
      <c r="C421" s="119" t="s">
        <v>172</v>
      </c>
      <c r="D421" s="119" t="s">
        <v>154</v>
      </c>
      <c r="E421" s="119">
        <v>400</v>
      </c>
      <c r="F421" s="119" t="s">
        <v>123</v>
      </c>
      <c r="G421" s="119">
        <v>58</v>
      </c>
    </row>
    <row r="422" spans="1:9">
      <c r="A422" s="119">
        <v>248</v>
      </c>
      <c r="B422" s="119" t="s">
        <v>139</v>
      </c>
      <c r="C422" s="119" t="s">
        <v>172</v>
      </c>
      <c r="D422" s="119" t="s">
        <v>154</v>
      </c>
      <c r="E422" s="119">
        <v>300</v>
      </c>
      <c r="F422" s="119" t="s">
        <v>124</v>
      </c>
      <c r="G422" s="119">
        <v>58</v>
      </c>
    </row>
    <row r="423" spans="1:9">
      <c r="A423" s="119">
        <v>249</v>
      </c>
      <c r="B423" s="119" t="s">
        <v>139</v>
      </c>
      <c r="C423" s="119" t="s">
        <v>172</v>
      </c>
      <c r="D423" s="119" t="s">
        <v>154</v>
      </c>
      <c r="E423" s="119">
        <v>250</v>
      </c>
      <c r="F423" s="119" t="s">
        <v>125</v>
      </c>
      <c r="G423" s="119">
        <v>58</v>
      </c>
    </row>
    <row r="424" spans="1:9">
      <c r="A424" s="119">
        <v>250</v>
      </c>
      <c r="B424" s="119" t="s">
        <v>139</v>
      </c>
      <c r="C424" s="119" t="s">
        <v>172</v>
      </c>
      <c r="D424" s="119" t="s">
        <v>154</v>
      </c>
      <c r="E424" s="119">
        <v>200</v>
      </c>
      <c r="F424" s="119" t="s">
        <v>134</v>
      </c>
      <c r="G424" s="119">
        <v>58</v>
      </c>
    </row>
    <row r="425" spans="1:9">
      <c r="A425" s="119">
        <v>251</v>
      </c>
      <c r="B425" s="119" t="s">
        <v>139</v>
      </c>
      <c r="C425" s="119" t="s">
        <v>172</v>
      </c>
      <c r="D425" s="119" t="s">
        <v>154</v>
      </c>
      <c r="E425" s="119">
        <v>175</v>
      </c>
      <c r="F425" s="119" t="s">
        <v>126</v>
      </c>
      <c r="G425" s="119">
        <v>58</v>
      </c>
    </row>
    <row r="426" spans="1:9">
      <c r="A426" s="119">
        <v>252</v>
      </c>
      <c r="B426" s="119" t="s">
        <v>139</v>
      </c>
      <c r="C426" s="119" t="s">
        <v>172</v>
      </c>
      <c r="D426" s="119" t="s">
        <v>154</v>
      </c>
      <c r="E426" s="119">
        <v>150</v>
      </c>
      <c r="F426" s="119" t="s">
        <v>127</v>
      </c>
      <c r="G426" s="119">
        <v>58</v>
      </c>
    </row>
    <row r="427" spans="1:9">
      <c r="A427" s="119">
        <v>253</v>
      </c>
      <c r="B427" s="119" t="s">
        <v>139</v>
      </c>
      <c r="C427" s="119" t="s">
        <v>172</v>
      </c>
      <c r="D427" s="119" t="s">
        <v>154</v>
      </c>
      <c r="E427" s="119">
        <v>125</v>
      </c>
      <c r="F427" s="119" t="s">
        <v>128</v>
      </c>
      <c r="G427" s="119">
        <v>58</v>
      </c>
      <c r="I427" s="119" t="s">
        <v>120</v>
      </c>
    </row>
    <row r="428" spans="1:9">
      <c r="A428" s="119">
        <v>254</v>
      </c>
      <c r="B428" s="119" t="s">
        <v>139</v>
      </c>
      <c r="C428" s="119" t="s">
        <v>172</v>
      </c>
      <c r="D428" s="119" t="s">
        <v>154</v>
      </c>
      <c r="E428" s="119">
        <v>100</v>
      </c>
      <c r="F428" s="119" t="s">
        <v>129</v>
      </c>
      <c r="G428" s="119">
        <v>58</v>
      </c>
    </row>
    <row r="429" spans="1:9">
      <c r="A429" s="119">
        <v>255</v>
      </c>
      <c r="B429" s="119" t="s">
        <v>139</v>
      </c>
      <c r="C429" s="119" t="s">
        <v>172</v>
      </c>
      <c r="D429" s="119" t="s">
        <v>154</v>
      </c>
      <c r="E429" s="119">
        <v>75</v>
      </c>
      <c r="F429" s="119" t="s">
        <v>130</v>
      </c>
      <c r="G429" s="119">
        <v>58</v>
      </c>
    </row>
    <row r="430" spans="1:9">
      <c r="A430" s="119">
        <v>256</v>
      </c>
      <c r="B430" s="119" t="s">
        <v>139</v>
      </c>
      <c r="C430" s="119" t="s">
        <v>172</v>
      </c>
      <c r="D430" s="119" t="s">
        <v>154</v>
      </c>
      <c r="E430" s="119">
        <v>60</v>
      </c>
      <c r="F430" s="119" t="s">
        <v>131</v>
      </c>
      <c r="G430" s="119">
        <v>58</v>
      </c>
    </row>
    <row r="431" spans="1:9">
      <c r="A431" s="119">
        <v>257</v>
      </c>
      <c r="B431" s="119" t="s">
        <v>139</v>
      </c>
      <c r="C431" s="119" t="s">
        <v>172</v>
      </c>
      <c r="D431" s="119" t="s">
        <v>154</v>
      </c>
      <c r="E431" s="119">
        <v>50</v>
      </c>
      <c r="F431" s="119" t="s">
        <v>132</v>
      </c>
      <c r="G431" s="119">
        <v>58</v>
      </c>
    </row>
    <row r="432" spans="1:9">
      <c r="A432" s="119">
        <v>258</v>
      </c>
      <c r="B432" s="119" t="s">
        <v>139</v>
      </c>
      <c r="C432" s="119" t="s">
        <v>172</v>
      </c>
      <c r="D432" s="119" t="s">
        <v>154</v>
      </c>
      <c r="E432" s="119">
        <v>25</v>
      </c>
      <c r="F432" s="119" t="s">
        <v>135</v>
      </c>
      <c r="G432" s="119">
        <v>58</v>
      </c>
    </row>
    <row r="433" spans="1:9">
      <c r="A433" s="119">
        <v>259</v>
      </c>
      <c r="B433" s="119" t="s">
        <v>139</v>
      </c>
      <c r="C433" s="119" t="s">
        <v>172</v>
      </c>
      <c r="D433" s="119" t="s">
        <v>154</v>
      </c>
      <c r="E433" s="119">
        <v>10</v>
      </c>
      <c r="F433" s="119" t="s">
        <v>138</v>
      </c>
      <c r="G433" s="119">
        <v>58</v>
      </c>
      <c r="I433" s="119" t="s">
        <v>120</v>
      </c>
    </row>
    <row r="434" spans="1:9">
      <c r="A434" s="119">
        <v>260</v>
      </c>
      <c r="B434" s="119" t="s">
        <v>139</v>
      </c>
      <c r="C434" s="119" t="s">
        <v>172</v>
      </c>
      <c r="D434" s="119" t="s">
        <v>154</v>
      </c>
      <c r="E434" s="119">
        <v>5</v>
      </c>
      <c r="F434" s="119" t="s">
        <v>142</v>
      </c>
      <c r="G434" s="119">
        <v>58</v>
      </c>
    </row>
    <row r="435" spans="1:9">
      <c r="A435" s="119">
        <v>264</v>
      </c>
      <c r="B435" s="119" t="s">
        <v>139</v>
      </c>
      <c r="C435" s="119" t="s">
        <v>172</v>
      </c>
      <c r="D435" s="119" t="s">
        <v>154</v>
      </c>
      <c r="E435" s="119">
        <v>0</v>
      </c>
      <c r="F435" s="119" t="s">
        <v>146</v>
      </c>
      <c r="G435" s="119">
        <v>58</v>
      </c>
    </row>
    <row r="436" spans="1:9">
      <c r="A436" s="119">
        <v>241</v>
      </c>
      <c r="B436" s="119" t="s">
        <v>140</v>
      </c>
      <c r="C436" s="119" t="s">
        <v>172</v>
      </c>
      <c r="D436" s="119" t="s">
        <v>154</v>
      </c>
      <c r="E436" s="119">
        <v>2000</v>
      </c>
      <c r="F436" s="119" t="s">
        <v>133</v>
      </c>
      <c r="G436" s="119">
        <v>58</v>
      </c>
    </row>
    <row r="437" spans="1:9">
      <c r="A437" s="119">
        <v>242</v>
      </c>
      <c r="B437" s="119" t="s">
        <v>140</v>
      </c>
      <c r="C437" s="119" t="s">
        <v>172</v>
      </c>
      <c r="D437" s="119" t="s">
        <v>154</v>
      </c>
      <c r="E437" s="119">
        <v>1500</v>
      </c>
      <c r="F437" s="119" t="s">
        <v>117</v>
      </c>
      <c r="G437" s="119">
        <v>58</v>
      </c>
      <c r="I437" s="119" t="s">
        <v>120</v>
      </c>
    </row>
    <row r="438" spans="1:9">
      <c r="A438" s="119">
        <v>243</v>
      </c>
      <c r="B438" s="119" t="s">
        <v>140</v>
      </c>
      <c r="C438" s="119" t="s">
        <v>172</v>
      </c>
      <c r="D438" s="119" t="s">
        <v>154</v>
      </c>
      <c r="E438" s="119">
        <v>1250</v>
      </c>
      <c r="F438" s="119" t="s">
        <v>118</v>
      </c>
      <c r="G438" s="119">
        <v>58</v>
      </c>
    </row>
    <row r="439" spans="1:9">
      <c r="A439" s="119">
        <v>244</v>
      </c>
      <c r="B439" s="119" t="s">
        <v>140</v>
      </c>
      <c r="C439" s="119" t="s">
        <v>172</v>
      </c>
      <c r="D439" s="119" t="s">
        <v>154</v>
      </c>
      <c r="E439" s="119">
        <v>1000</v>
      </c>
      <c r="F439" s="119" t="s">
        <v>119</v>
      </c>
      <c r="G439" s="119">
        <v>58</v>
      </c>
    </row>
    <row r="440" spans="1:9">
      <c r="A440" s="119">
        <v>245</v>
      </c>
      <c r="B440" s="119" t="s">
        <v>140</v>
      </c>
      <c r="C440" s="119" t="s">
        <v>172</v>
      </c>
      <c r="D440" s="119" t="s">
        <v>154</v>
      </c>
      <c r="E440" s="119">
        <v>800</v>
      </c>
      <c r="F440" s="119" t="s">
        <v>121</v>
      </c>
      <c r="G440" s="119">
        <v>58</v>
      </c>
    </row>
    <row r="441" spans="1:9">
      <c r="A441" s="119">
        <v>246</v>
      </c>
      <c r="B441" s="119" t="s">
        <v>140</v>
      </c>
      <c r="C441" s="119" t="s">
        <v>172</v>
      </c>
      <c r="D441" s="119" t="s">
        <v>154</v>
      </c>
      <c r="E441" s="119">
        <v>600</v>
      </c>
      <c r="F441" s="119" t="s">
        <v>122</v>
      </c>
      <c r="G441" s="119">
        <v>58</v>
      </c>
    </row>
    <row r="442" spans="1:9">
      <c r="A442" s="119">
        <v>247</v>
      </c>
      <c r="B442" s="119" t="s">
        <v>140</v>
      </c>
      <c r="C442" s="119" t="s">
        <v>172</v>
      </c>
      <c r="D442" s="119" t="s">
        <v>154</v>
      </c>
      <c r="E442" s="119">
        <v>400</v>
      </c>
      <c r="F442" s="119" t="s">
        <v>123</v>
      </c>
      <c r="G442" s="119">
        <v>58</v>
      </c>
    </row>
    <row r="443" spans="1:9">
      <c r="A443" s="119">
        <v>252</v>
      </c>
      <c r="B443" s="119" t="s">
        <v>136</v>
      </c>
      <c r="C443" s="119" t="s">
        <v>172</v>
      </c>
      <c r="D443" s="119" t="s">
        <v>154</v>
      </c>
      <c r="E443" s="119">
        <v>150</v>
      </c>
      <c r="F443" s="119" t="s">
        <v>127</v>
      </c>
      <c r="G443" s="119">
        <v>58</v>
      </c>
      <c r="I443" s="119" t="s">
        <v>120</v>
      </c>
    </row>
    <row r="444" spans="1:9">
      <c r="A444" s="119">
        <v>254</v>
      </c>
      <c r="B444" s="119" t="s">
        <v>136</v>
      </c>
      <c r="C444" s="119" t="s">
        <v>172</v>
      </c>
      <c r="D444" s="119" t="s">
        <v>154</v>
      </c>
      <c r="E444" s="119">
        <v>100</v>
      </c>
      <c r="F444" s="119" t="s">
        <v>129</v>
      </c>
      <c r="G444" s="119">
        <v>58</v>
      </c>
      <c r="I444" s="119" t="s">
        <v>120</v>
      </c>
    </row>
    <row r="445" spans="1:9">
      <c r="A445" s="119">
        <v>255</v>
      </c>
      <c r="B445" s="119" t="s">
        <v>136</v>
      </c>
      <c r="C445" s="119" t="s">
        <v>172</v>
      </c>
      <c r="D445" s="119" t="s">
        <v>154</v>
      </c>
      <c r="E445" s="119">
        <v>75</v>
      </c>
      <c r="F445" s="119" t="s">
        <v>130</v>
      </c>
      <c r="G445" s="119">
        <v>58</v>
      </c>
      <c r="I445" s="119" t="s">
        <v>120</v>
      </c>
    </row>
    <row r="446" spans="1:9">
      <c r="A446" s="119">
        <v>257</v>
      </c>
      <c r="B446" s="119" t="s">
        <v>136</v>
      </c>
      <c r="C446" s="119" t="s">
        <v>172</v>
      </c>
      <c r="D446" s="119" t="s">
        <v>154</v>
      </c>
      <c r="E446" s="119">
        <v>50</v>
      </c>
      <c r="F446" s="119" t="s">
        <v>132</v>
      </c>
      <c r="G446" s="119">
        <v>58</v>
      </c>
      <c r="I446" s="119" t="s">
        <v>120</v>
      </c>
    </row>
    <row r="447" spans="1:9">
      <c r="A447" s="119">
        <v>258</v>
      </c>
      <c r="B447" s="119" t="s">
        <v>136</v>
      </c>
      <c r="C447" s="119" t="s">
        <v>172</v>
      </c>
      <c r="D447" s="119" t="s">
        <v>154</v>
      </c>
      <c r="E447" s="119">
        <v>25</v>
      </c>
      <c r="F447" s="119" t="s">
        <v>135</v>
      </c>
      <c r="G447" s="119">
        <v>58</v>
      </c>
      <c r="I447" s="119" t="s">
        <v>120</v>
      </c>
    </row>
    <row r="448" spans="1:9">
      <c r="A448" s="119">
        <v>261</v>
      </c>
      <c r="B448" s="119" t="s">
        <v>136</v>
      </c>
      <c r="C448" s="119" t="s">
        <v>172</v>
      </c>
      <c r="D448" s="119" t="s">
        <v>154</v>
      </c>
      <c r="E448" s="119">
        <v>5</v>
      </c>
      <c r="F448" s="119" t="s">
        <v>143</v>
      </c>
      <c r="G448" s="119">
        <v>58</v>
      </c>
      <c r="I448" s="119" t="s">
        <v>120</v>
      </c>
    </row>
    <row r="449" spans="1:9">
      <c r="A449" s="119">
        <v>257</v>
      </c>
      <c r="B449" s="119" t="s">
        <v>137</v>
      </c>
      <c r="C449" s="119" t="s">
        <v>172</v>
      </c>
      <c r="D449" s="119" t="s">
        <v>154</v>
      </c>
      <c r="E449" s="119">
        <v>50</v>
      </c>
      <c r="F449" s="119" t="s">
        <v>132</v>
      </c>
      <c r="G449" s="119">
        <v>58</v>
      </c>
      <c r="I449" s="119" t="s">
        <v>120</v>
      </c>
    </row>
    <row r="450" spans="1:9">
      <c r="A450" s="119">
        <v>258</v>
      </c>
      <c r="B450" s="119" t="s">
        <v>137</v>
      </c>
      <c r="C450" s="119" t="s">
        <v>172</v>
      </c>
      <c r="D450" s="119" t="s">
        <v>154</v>
      </c>
      <c r="E450" s="119">
        <v>25</v>
      </c>
      <c r="F450" s="119" t="s">
        <v>135</v>
      </c>
      <c r="G450" s="119">
        <v>58</v>
      </c>
      <c r="I450" s="119" t="s">
        <v>120</v>
      </c>
    </row>
    <row r="451" spans="1:9">
      <c r="A451" s="119">
        <v>261</v>
      </c>
      <c r="B451" s="119" t="s">
        <v>137</v>
      </c>
      <c r="C451" s="119" t="s">
        <v>172</v>
      </c>
      <c r="D451" s="119" t="s">
        <v>154</v>
      </c>
      <c r="E451" s="119">
        <v>5</v>
      </c>
      <c r="F451" s="119" t="s">
        <v>143</v>
      </c>
      <c r="G451" s="119">
        <v>58</v>
      </c>
      <c r="I451" s="119" t="s">
        <v>120</v>
      </c>
    </row>
    <row r="452" spans="1:9">
      <c r="A452" s="119">
        <v>263</v>
      </c>
      <c r="B452" s="119" t="s">
        <v>155</v>
      </c>
      <c r="C452" s="119" t="s">
        <v>172</v>
      </c>
      <c r="D452" s="119" t="s">
        <v>154</v>
      </c>
      <c r="E452" s="119">
        <v>5</v>
      </c>
      <c r="F452" s="119" t="s">
        <v>145</v>
      </c>
      <c r="G452" s="119">
        <v>58</v>
      </c>
      <c r="I452" s="119" t="s">
        <v>120</v>
      </c>
    </row>
    <row r="453" spans="1:9">
      <c r="A453" s="119">
        <v>261</v>
      </c>
      <c r="B453" s="119" t="s">
        <v>156</v>
      </c>
      <c r="C453" s="119" t="s">
        <v>172</v>
      </c>
      <c r="D453" s="119" t="s">
        <v>154</v>
      </c>
      <c r="E453" s="119">
        <v>5</v>
      </c>
      <c r="F453" s="119" t="s">
        <v>143</v>
      </c>
      <c r="G453" s="119">
        <v>58</v>
      </c>
      <c r="I453" s="119" t="s">
        <v>120</v>
      </c>
    </row>
    <row r="454" spans="1:9">
      <c r="A454" s="119">
        <v>260</v>
      </c>
      <c r="B454" s="119" t="s">
        <v>157</v>
      </c>
      <c r="C454" s="119" t="s">
        <v>172</v>
      </c>
      <c r="D454" s="119" t="s">
        <v>154</v>
      </c>
      <c r="E454" s="119">
        <v>5</v>
      </c>
      <c r="F454" s="119" t="s">
        <v>142</v>
      </c>
      <c r="G454" s="119">
        <v>58</v>
      </c>
      <c r="I454" s="119" t="s">
        <v>120</v>
      </c>
    </row>
    <row r="455" spans="1:9">
      <c r="A455" s="119">
        <v>262</v>
      </c>
      <c r="B455" s="119" t="s">
        <v>158</v>
      </c>
      <c r="C455" s="119" t="s">
        <v>172</v>
      </c>
      <c r="D455" s="119" t="s">
        <v>154</v>
      </c>
      <c r="E455" s="119">
        <v>5</v>
      </c>
      <c r="F455" s="119" t="s">
        <v>144</v>
      </c>
      <c r="G455" s="119">
        <v>58</v>
      </c>
    </row>
    <row r="456" spans="1:9">
      <c r="A456" s="119">
        <v>241</v>
      </c>
      <c r="B456" s="119" t="s">
        <v>141</v>
      </c>
      <c r="C456" s="119" t="s">
        <v>172</v>
      </c>
      <c r="D456" s="119" t="s">
        <v>154</v>
      </c>
      <c r="E456" s="119">
        <v>2000</v>
      </c>
      <c r="F456" s="119" t="s">
        <v>133</v>
      </c>
      <c r="G456" s="119">
        <v>58</v>
      </c>
    </row>
    <row r="457" spans="1:9">
      <c r="A457" s="119">
        <v>242</v>
      </c>
      <c r="B457" s="119" t="s">
        <v>141</v>
      </c>
      <c r="C457" s="119" t="s">
        <v>172</v>
      </c>
      <c r="D457" s="119" t="s">
        <v>154</v>
      </c>
      <c r="E457" s="119">
        <v>1500</v>
      </c>
      <c r="F457" s="119" t="s">
        <v>117</v>
      </c>
      <c r="G457" s="119">
        <v>58</v>
      </c>
    </row>
    <row r="458" spans="1:9">
      <c r="A458" s="119">
        <v>243</v>
      </c>
      <c r="B458" s="119" t="s">
        <v>141</v>
      </c>
      <c r="C458" s="119" t="s">
        <v>172</v>
      </c>
      <c r="D458" s="119" t="s">
        <v>154</v>
      </c>
      <c r="E458" s="119">
        <v>1250</v>
      </c>
      <c r="F458" s="119" t="s">
        <v>118</v>
      </c>
      <c r="G458" s="119">
        <v>58</v>
      </c>
    </row>
    <row r="459" spans="1:9">
      <c r="A459" s="119">
        <v>244</v>
      </c>
      <c r="B459" s="119" t="s">
        <v>141</v>
      </c>
      <c r="C459" s="119" t="s">
        <v>172</v>
      </c>
      <c r="D459" s="119" t="s">
        <v>154</v>
      </c>
      <c r="E459" s="119">
        <v>1000</v>
      </c>
      <c r="F459" s="119" t="s">
        <v>119</v>
      </c>
      <c r="G459" s="119">
        <v>58</v>
      </c>
    </row>
    <row r="460" spans="1:9">
      <c r="A460" s="119">
        <v>265</v>
      </c>
      <c r="B460" s="119" t="s">
        <v>139</v>
      </c>
      <c r="C460" s="119" t="s">
        <v>173</v>
      </c>
      <c r="D460" s="119" t="s">
        <v>154</v>
      </c>
      <c r="E460" s="119">
        <v>300</v>
      </c>
      <c r="F460" s="119" t="s">
        <v>133</v>
      </c>
      <c r="G460" s="119">
        <v>62</v>
      </c>
    </row>
    <row r="461" spans="1:9">
      <c r="A461" s="119">
        <v>266</v>
      </c>
      <c r="B461" s="119" t="s">
        <v>139</v>
      </c>
      <c r="C461" s="119" t="s">
        <v>173</v>
      </c>
      <c r="D461" s="119" t="s">
        <v>154</v>
      </c>
      <c r="E461" s="119">
        <v>200</v>
      </c>
      <c r="F461" s="119" t="s">
        <v>117</v>
      </c>
      <c r="G461" s="119">
        <v>62</v>
      </c>
    </row>
    <row r="462" spans="1:9">
      <c r="A462" s="119">
        <v>268</v>
      </c>
      <c r="B462" s="119" t="s">
        <v>139</v>
      </c>
      <c r="C462" s="119" t="s">
        <v>173</v>
      </c>
      <c r="D462" s="119" t="s">
        <v>154</v>
      </c>
      <c r="E462" s="119">
        <v>150</v>
      </c>
      <c r="F462" s="119" t="s">
        <v>119</v>
      </c>
      <c r="G462" s="119">
        <v>62</v>
      </c>
    </row>
    <row r="463" spans="1:9">
      <c r="A463" s="119">
        <v>269</v>
      </c>
      <c r="B463" s="119" t="s">
        <v>139</v>
      </c>
      <c r="C463" s="119" t="s">
        <v>173</v>
      </c>
      <c r="D463" s="119" t="s">
        <v>154</v>
      </c>
      <c r="E463" s="119">
        <v>125</v>
      </c>
      <c r="F463" s="119" t="s">
        <v>121</v>
      </c>
      <c r="G463" s="119">
        <v>62</v>
      </c>
      <c r="I463" s="119" t="s">
        <v>120</v>
      </c>
    </row>
    <row r="464" spans="1:9">
      <c r="A464" s="119">
        <v>272</v>
      </c>
      <c r="B464" s="119" t="s">
        <v>139</v>
      </c>
      <c r="C464" s="119" t="s">
        <v>173</v>
      </c>
      <c r="D464" s="119" t="s">
        <v>154</v>
      </c>
      <c r="E464" s="119">
        <v>100</v>
      </c>
      <c r="F464" s="119" t="s">
        <v>124</v>
      </c>
      <c r="G464" s="119">
        <v>62</v>
      </c>
    </row>
    <row r="465" spans="1:9">
      <c r="A465" s="119">
        <v>273</v>
      </c>
      <c r="B465" s="119" t="s">
        <v>139</v>
      </c>
      <c r="C465" s="119" t="s">
        <v>173</v>
      </c>
      <c r="D465" s="119" t="s">
        <v>154</v>
      </c>
      <c r="E465" s="119">
        <v>75</v>
      </c>
      <c r="F465" s="119" t="s">
        <v>125</v>
      </c>
      <c r="G465" s="119">
        <v>62</v>
      </c>
    </row>
    <row r="466" spans="1:9">
      <c r="A466" s="119">
        <v>276</v>
      </c>
      <c r="B466" s="119" t="s">
        <v>139</v>
      </c>
      <c r="C466" s="119" t="s">
        <v>173</v>
      </c>
      <c r="D466" s="119" t="s">
        <v>154</v>
      </c>
      <c r="E466" s="119">
        <v>50</v>
      </c>
      <c r="F466" s="119" t="s">
        <v>127</v>
      </c>
      <c r="G466" s="119">
        <v>62</v>
      </c>
    </row>
    <row r="467" spans="1:9">
      <c r="A467" s="119">
        <v>278</v>
      </c>
      <c r="B467" s="119" t="s">
        <v>139</v>
      </c>
      <c r="C467" s="119" t="s">
        <v>173</v>
      </c>
      <c r="D467" s="119" t="s">
        <v>154</v>
      </c>
      <c r="E467" s="119">
        <v>25</v>
      </c>
      <c r="F467" s="119" t="s">
        <v>129</v>
      </c>
      <c r="G467" s="119">
        <v>62</v>
      </c>
    </row>
    <row r="468" spans="1:9">
      <c r="A468" s="119">
        <v>284</v>
      </c>
      <c r="B468" s="119" t="s">
        <v>139</v>
      </c>
      <c r="C468" s="119" t="s">
        <v>173</v>
      </c>
      <c r="D468" s="119" t="s">
        <v>154</v>
      </c>
      <c r="E468" s="119">
        <v>5</v>
      </c>
      <c r="F468" s="119" t="s">
        <v>142</v>
      </c>
      <c r="G468" s="119">
        <v>62</v>
      </c>
    </row>
    <row r="469" spans="1:9">
      <c r="A469" s="119">
        <v>268</v>
      </c>
      <c r="B469" s="119" t="s">
        <v>136</v>
      </c>
      <c r="C469" s="119" t="s">
        <v>173</v>
      </c>
      <c r="D469" s="119" t="s">
        <v>154</v>
      </c>
      <c r="E469" s="119">
        <v>150</v>
      </c>
      <c r="F469" s="119" t="s">
        <v>119</v>
      </c>
      <c r="G469" s="119">
        <v>62</v>
      </c>
      <c r="I469" s="119" t="s">
        <v>120</v>
      </c>
    </row>
    <row r="470" spans="1:9">
      <c r="A470" s="119">
        <v>272</v>
      </c>
      <c r="B470" s="119" t="s">
        <v>136</v>
      </c>
      <c r="C470" s="119" t="s">
        <v>173</v>
      </c>
      <c r="D470" s="119" t="s">
        <v>154</v>
      </c>
      <c r="E470" s="119">
        <v>100</v>
      </c>
      <c r="F470" s="119" t="s">
        <v>124</v>
      </c>
      <c r="G470" s="119">
        <v>62</v>
      </c>
      <c r="I470" s="119" t="s">
        <v>120</v>
      </c>
    </row>
    <row r="471" spans="1:9">
      <c r="A471" s="119">
        <v>273</v>
      </c>
      <c r="B471" s="119" t="s">
        <v>136</v>
      </c>
      <c r="C471" s="119" t="s">
        <v>173</v>
      </c>
      <c r="D471" s="119" t="s">
        <v>154</v>
      </c>
      <c r="E471" s="119">
        <v>75</v>
      </c>
      <c r="F471" s="119" t="s">
        <v>125</v>
      </c>
      <c r="G471" s="119">
        <v>62</v>
      </c>
      <c r="I471" s="119" t="s">
        <v>120</v>
      </c>
    </row>
    <row r="472" spans="1:9">
      <c r="A472" s="119">
        <v>276</v>
      </c>
      <c r="B472" s="119" t="s">
        <v>136</v>
      </c>
      <c r="C472" s="119" t="s">
        <v>173</v>
      </c>
      <c r="D472" s="119" t="s">
        <v>154</v>
      </c>
      <c r="E472" s="119">
        <v>50</v>
      </c>
      <c r="F472" s="119" t="s">
        <v>127</v>
      </c>
      <c r="G472" s="119">
        <v>62</v>
      </c>
      <c r="I472" s="119" t="s">
        <v>120</v>
      </c>
    </row>
    <row r="473" spans="1:9">
      <c r="A473" s="119">
        <v>278</v>
      </c>
      <c r="B473" s="119" t="s">
        <v>136</v>
      </c>
      <c r="C473" s="119" t="s">
        <v>173</v>
      </c>
      <c r="D473" s="119" t="s">
        <v>154</v>
      </c>
      <c r="E473" s="119">
        <v>25</v>
      </c>
      <c r="F473" s="119" t="s">
        <v>129</v>
      </c>
      <c r="G473" s="119">
        <v>62</v>
      </c>
      <c r="I473" s="119" t="s">
        <v>120</v>
      </c>
    </row>
    <row r="474" spans="1:9">
      <c r="A474" s="119">
        <v>284</v>
      </c>
      <c r="B474" s="119" t="s">
        <v>136</v>
      </c>
      <c r="C474" s="119" t="s">
        <v>173</v>
      </c>
      <c r="D474" s="119" t="s">
        <v>154</v>
      </c>
      <c r="E474" s="119">
        <v>5</v>
      </c>
      <c r="F474" s="119" t="s">
        <v>142</v>
      </c>
      <c r="G474" s="119">
        <v>62</v>
      </c>
      <c r="I474" s="119" t="s">
        <v>120</v>
      </c>
    </row>
    <row r="475" spans="1:9">
      <c r="A475" s="119">
        <v>276</v>
      </c>
      <c r="B475" s="119" t="s">
        <v>137</v>
      </c>
      <c r="C475" s="119" t="s">
        <v>173</v>
      </c>
      <c r="D475" s="119" t="s">
        <v>154</v>
      </c>
      <c r="E475" s="119">
        <v>50</v>
      </c>
      <c r="F475" s="119" t="s">
        <v>127</v>
      </c>
      <c r="G475" s="119">
        <v>62</v>
      </c>
      <c r="I475" s="119" t="s">
        <v>120</v>
      </c>
    </row>
    <row r="476" spans="1:9">
      <c r="A476" s="119">
        <v>278</v>
      </c>
      <c r="B476" s="119" t="s">
        <v>137</v>
      </c>
      <c r="C476" s="119" t="s">
        <v>173</v>
      </c>
      <c r="D476" s="119" t="s">
        <v>154</v>
      </c>
      <c r="E476" s="119">
        <v>25</v>
      </c>
      <c r="F476" s="119" t="s">
        <v>129</v>
      </c>
      <c r="G476" s="119">
        <v>62</v>
      </c>
      <c r="I476" s="119" t="s">
        <v>120</v>
      </c>
    </row>
    <row r="477" spans="1:9">
      <c r="A477" s="119">
        <v>284</v>
      </c>
      <c r="B477" s="119" t="s">
        <v>137</v>
      </c>
      <c r="C477" s="119" t="s">
        <v>173</v>
      </c>
      <c r="D477" s="119" t="s">
        <v>154</v>
      </c>
      <c r="E477" s="119">
        <v>5</v>
      </c>
      <c r="F477" s="119" t="s">
        <v>142</v>
      </c>
      <c r="G477" s="119">
        <v>62</v>
      </c>
      <c r="I477" s="119" t="s">
        <v>120</v>
      </c>
    </row>
    <row r="478" spans="1:9">
      <c r="A478" s="119">
        <v>280</v>
      </c>
      <c r="B478" s="119" t="s">
        <v>155</v>
      </c>
      <c r="C478" s="119" t="s">
        <v>173</v>
      </c>
      <c r="D478" s="119" t="s">
        <v>154</v>
      </c>
      <c r="E478" s="119">
        <v>5</v>
      </c>
      <c r="F478" s="119" t="s">
        <v>131</v>
      </c>
      <c r="G478" s="119">
        <v>62</v>
      </c>
      <c r="I478" s="119" t="s">
        <v>120</v>
      </c>
    </row>
    <row r="479" spans="1:9">
      <c r="A479" s="119">
        <v>284</v>
      </c>
      <c r="B479" s="119" t="s">
        <v>156</v>
      </c>
      <c r="C479" s="119" t="s">
        <v>173</v>
      </c>
      <c r="D479" s="119" t="s">
        <v>154</v>
      </c>
      <c r="E479" s="119">
        <v>5</v>
      </c>
      <c r="F479" s="119" t="s">
        <v>142</v>
      </c>
      <c r="G479" s="119">
        <v>62</v>
      </c>
      <c r="I479" s="119" t="s">
        <v>120</v>
      </c>
    </row>
    <row r="480" spans="1:9">
      <c r="A480" s="119">
        <v>283</v>
      </c>
      <c r="B480" s="119" t="s">
        <v>157</v>
      </c>
      <c r="C480" s="119" t="s">
        <v>173</v>
      </c>
      <c r="D480" s="119" t="s">
        <v>154</v>
      </c>
      <c r="E480" s="119">
        <v>5</v>
      </c>
      <c r="F480" s="119" t="s">
        <v>138</v>
      </c>
      <c r="G480" s="119">
        <v>62</v>
      </c>
      <c r="I480" s="119" t="s">
        <v>120</v>
      </c>
    </row>
    <row r="481" spans="1:9">
      <c r="A481" s="119">
        <v>282</v>
      </c>
      <c r="B481" s="119" t="s">
        <v>158</v>
      </c>
      <c r="C481" s="119" t="s">
        <v>173</v>
      </c>
      <c r="D481" s="119" t="s">
        <v>154</v>
      </c>
      <c r="E481" s="119">
        <v>5</v>
      </c>
      <c r="F481" s="119" t="s">
        <v>135</v>
      </c>
      <c r="G481" s="119">
        <v>62</v>
      </c>
    </row>
    <row r="482" spans="1:9">
      <c r="A482" s="119">
        <v>267</v>
      </c>
      <c r="B482" s="119" t="s">
        <v>159</v>
      </c>
      <c r="C482" s="119" t="s">
        <v>173</v>
      </c>
      <c r="D482" s="119" t="s">
        <v>154</v>
      </c>
      <c r="E482" s="119">
        <v>150</v>
      </c>
      <c r="F482" s="119" t="s">
        <v>118</v>
      </c>
      <c r="G482" s="119">
        <v>62</v>
      </c>
      <c r="I482" s="119" t="s">
        <v>120</v>
      </c>
    </row>
    <row r="483" spans="1:9">
      <c r="A483" s="119">
        <v>271</v>
      </c>
      <c r="B483" s="119" t="s">
        <v>159</v>
      </c>
      <c r="C483" s="119" t="s">
        <v>173</v>
      </c>
      <c r="D483" s="119" t="s">
        <v>154</v>
      </c>
      <c r="E483" s="119">
        <v>100</v>
      </c>
      <c r="F483" s="119" t="s">
        <v>123</v>
      </c>
      <c r="G483" s="119">
        <v>62</v>
      </c>
      <c r="I483" s="119" t="s">
        <v>120</v>
      </c>
    </row>
    <row r="484" spans="1:9">
      <c r="A484" s="119">
        <v>275</v>
      </c>
      <c r="B484" s="119" t="s">
        <v>159</v>
      </c>
      <c r="C484" s="119" t="s">
        <v>173</v>
      </c>
      <c r="D484" s="119" t="s">
        <v>154</v>
      </c>
      <c r="E484" s="119">
        <v>50</v>
      </c>
      <c r="F484" s="119" t="s">
        <v>126</v>
      </c>
      <c r="G484" s="119">
        <v>62</v>
      </c>
      <c r="I484" s="119" t="s">
        <v>120</v>
      </c>
    </row>
    <row r="485" spans="1:9">
      <c r="A485" s="119">
        <v>277</v>
      </c>
      <c r="B485" s="119" t="s">
        <v>159</v>
      </c>
      <c r="C485" s="119" t="s">
        <v>173</v>
      </c>
      <c r="D485" s="119" t="s">
        <v>154</v>
      </c>
      <c r="E485" s="119">
        <v>25</v>
      </c>
      <c r="F485" s="119" t="s">
        <v>128</v>
      </c>
      <c r="G485" s="119">
        <v>62</v>
      </c>
      <c r="I485" s="119" t="s">
        <v>120</v>
      </c>
    </row>
    <row r="486" spans="1:9">
      <c r="A486" s="119">
        <v>283</v>
      </c>
      <c r="B486" s="119" t="s">
        <v>159</v>
      </c>
      <c r="C486" s="119" t="s">
        <v>173</v>
      </c>
      <c r="D486" s="119" t="s">
        <v>154</v>
      </c>
      <c r="E486" s="119">
        <v>5</v>
      </c>
      <c r="F486" s="119" t="s">
        <v>138</v>
      </c>
      <c r="G486" s="119">
        <v>62</v>
      </c>
      <c r="I486" s="119" t="s">
        <v>120</v>
      </c>
    </row>
    <row r="487" spans="1:9">
      <c r="A487" s="119">
        <v>270</v>
      </c>
      <c r="B487" s="119" t="s">
        <v>160</v>
      </c>
      <c r="C487" s="119" t="s">
        <v>173</v>
      </c>
      <c r="D487" s="119" t="s">
        <v>154</v>
      </c>
      <c r="E487" s="119">
        <v>100</v>
      </c>
      <c r="F487" s="119" t="s">
        <v>122</v>
      </c>
      <c r="G487" s="119">
        <v>62</v>
      </c>
      <c r="I487" s="119" t="s">
        <v>120</v>
      </c>
    </row>
    <row r="488" spans="1:9">
      <c r="A488" s="119">
        <v>274</v>
      </c>
      <c r="B488" s="119" t="s">
        <v>160</v>
      </c>
      <c r="C488" s="119" t="s">
        <v>173</v>
      </c>
      <c r="D488" s="119" t="s">
        <v>154</v>
      </c>
      <c r="E488" s="119">
        <v>50</v>
      </c>
      <c r="F488" s="119" t="s">
        <v>134</v>
      </c>
      <c r="G488" s="119">
        <v>62</v>
      </c>
      <c r="I488" s="119" t="s">
        <v>120</v>
      </c>
    </row>
    <row r="489" spans="1:9">
      <c r="A489" s="119">
        <v>279</v>
      </c>
      <c r="B489" s="119" t="s">
        <v>160</v>
      </c>
      <c r="C489" s="119" t="s">
        <v>173</v>
      </c>
      <c r="D489" s="119" t="s">
        <v>154</v>
      </c>
      <c r="E489" s="119">
        <v>25</v>
      </c>
      <c r="F489" s="119" t="s">
        <v>130</v>
      </c>
      <c r="G489" s="119">
        <v>62</v>
      </c>
      <c r="I489" s="119" t="s">
        <v>120</v>
      </c>
    </row>
    <row r="490" spans="1:9">
      <c r="A490" s="119">
        <v>281</v>
      </c>
      <c r="B490" s="119" t="s">
        <v>160</v>
      </c>
      <c r="C490" s="119" t="s">
        <v>173</v>
      </c>
      <c r="D490" s="119" t="s">
        <v>154</v>
      </c>
      <c r="E490" s="119">
        <v>5</v>
      </c>
      <c r="F490" s="119" t="s">
        <v>132</v>
      </c>
      <c r="G490" s="119">
        <v>62</v>
      </c>
      <c r="I490" s="119" t="s">
        <v>120</v>
      </c>
    </row>
    <row r="491" spans="1:9">
      <c r="A491" s="119">
        <v>285</v>
      </c>
      <c r="B491" s="119" t="s">
        <v>116</v>
      </c>
      <c r="C491" s="119" t="s">
        <v>174</v>
      </c>
      <c r="D491" s="119" t="s">
        <v>154</v>
      </c>
      <c r="E491" s="119">
        <v>2000</v>
      </c>
      <c r="F491" s="119" t="s">
        <v>133</v>
      </c>
      <c r="G491" s="119">
        <v>65</v>
      </c>
    </row>
    <row r="492" spans="1:9">
      <c r="A492" s="119">
        <v>286</v>
      </c>
      <c r="B492" s="119" t="s">
        <v>116</v>
      </c>
      <c r="C492" s="119" t="s">
        <v>174</v>
      </c>
      <c r="D492" s="119" t="s">
        <v>154</v>
      </c>
      <c r="E492" s="119">
        <v>1500</v>
      </c>
      <c r="F492" s="119" t="s">
        <v>117</v>
      </c>
      <c r="G492" s="119">
        <v>65</v>
      </c>
      <c r="I492" s="119" t="s">
        <v>120</v>
      </c>
    </row>
    <row r="493" spans="1:9">
      <c r="A493" s="119">
        <v>287</v>
      </c>
      <c r="B493" s="119" t="s">
        <v>116</v>
      </c>
      <c r="C493" s="119" t="s">
        <v>174</v>
      </c>
      <c r="D493" s="119" t="s">
        <v>154</v>
      </c>
      <c r="E493" s="119">
        <v>1250</v>
      </c>
      <c r="F493" s="119" t="s">
        <v>118</v>
      </c>
      <c r="G493" s="119">
        <v>65</v>
      </c>
    </row>
    <row r="494" spans="1:9">
      <c r="A494" s="119">
        <v>288</v>
      </c>
      <c r="B494" s="119" t="s">
        <v>116</v>
      </c>
      <c r="C494" s="119" t="s">
        <v>174</v>
      </c>
      <c r="D494" s="119" t="s">
        <v>154</v>
      </c>
      <c r="E494" s="119">
        <v>1000</v>
      </c>
      <c r="F494" s="119" t="s">
        <v>119</v>
      </c>
      <c r="G494" s="119">
        <v>65</v>
      </c>
    </row>
    <row r="495" spans="1:9">
      <c r="A495" s="119">
        <v>289</v>
      </c>
      <c r="B495" s="119" t="s">
        <v>116</v>
      </c>
      <c r="C495" s="119" t="s">
        <v>174</v>
      </c>
      <c r="D495" s="119" t="s">
        <v>154</v>
      </c>
      <c r="E495" s="119">
        <v>800</v>
      </c>
      <c r="F495" s="119" t="s">
        <v>121</v>
      </c>
      <c r="G495" s="119">
        <v>65</v>
      </c>
    </row>
    <row r="496" spans="1:9">
      <c r="A496" s="119">
        <v>290</v>
      </c>
      <c r="B496" s="119" t="s">
        <v>116</v>
      </c>
      <c r="C496" s="119" t="s">
        <v>174</v>
      </c>
      <c r="D496" s="119" t="s">
        <v>154</v>
      </c>
      <c r="E496" s="119">
        <v>600</v>
      </c>
      <c r="F496" s="119" t="s">
        <v>122</v>
      </c>
      <c r="G496" s="119">
        <v>65</v>
      </c>
    </row>
    <row r="497" spans="1:9">
      <c r="A497" s="119">
        <v>291</v>
      </c>
      <c r="B497" s="119" t="s">
        <v>116</v>
      </c>
      <c r="C497" s="119" t="s">
        <v>174</v>
      </c>
      <c r="D497" s="119" t="s">
        <v>154</v>
      </c>
      <c r="E497" s="119">
        <v>400</v>
      </c>
      <c r="F497" s="119" t="s">
        <v>123</v>
      </c>
      <c r="G497" s="119">
        <v>65</v>
      </c>
    </row>
    <row r="498" spans="1:9">
      <c r="A498" s="119">
        <v>292</v>
      </c>
      <c r="B498" s="119" t="s">
        <v>116</v>
      </c>
      <c r="C498" s="119" t="s">
        <v>174</v>
      </c>
      <c r="D498" s="119" t="s">
        <v>154</v>
      </c>
      <c r="E498" s="119">
        <v>300</v>
      </c>
      <c r="F498" s="119" t="s">
        <v>124</v>
      </c>
      <c r="G498" s="119">
        <v>65</v>
      </c>
    </row>
    <row r="499" spans="1:9">
      <c r="A499" s="119">
        <v>293</v>
      </c>
      <c r="B499" s="119" t="s">
        <v>116</v>
      </c>
      <c r="C499" s="119" t="s">
        <v>174</v>
      </c>
      <c r="D499" s="119" t="s">
        <v>154</v>
      </c>
      <c r="E499" s="119">
        <v>250</v>
      </c>
      <c r="F499" s="119" t="s">
        <v>125</v>
      </c>
      <c r="G499" s="119">
        <v>65</v>
      </c>
      <c r="I499" s="119" t="s">
        <v>120</v>
      </c>
    </row>
    <row r="500" spans="1:9">
      <c r="A500" s="119">
        <v>294</v>
      </c>
      <c r="B500" s="119" t="s">
        <v>116</v>
      </c>
      <c r="C500" s="119" t="s">
        <v>174</v>
      </c>
      <c r="D500" s="119" t="s">
        <v>154</v>
      </c>
      <c r="E500" s="119">
        <v>200</v>
      </c>
      <c r="F500" s="119" t="s">
        <v>134</v>
      </c>
      <c r="G500" s="119">
        <v>65</v>
      </c>
    </row>
    <row r="501" spans="1:9">
      <c r="A501" s="119">
        <v>295</v>
      </c>
      <c r="B501" s="119" t="s">
        <v>116</v>
      </c>
      <c r="C501" s="119" t="s">
        <v>174</v>
      </c>
      <c r="D501" s="119" t="s">
        <v>154</v>
      </c>
      <c r="E501" s="119">
        <v>175</v>
      </c>
      <c r="F501" s="119" t="s">
        <v>126</v>
      </c>
      <c r="G501" s="119">
        <v>65</v>
      </c>
    </row>
    <row r="502" spans="1:9">
      <c r="A502" s="119">
        <v>296</v>
      </c>
      <c r="B502" s="119" t="s">
        <v>116</v>
      </c>
      <c r="C502" s="119" t="s">
        <v>174</v>
      </c>
      <c r="D502" s="119" t="s">
        <v>154</v>
      </c>
      <c r="E502" s="119">
        <v>150</v>
      </c>
      <c r="F502" s="119" t="s">
        <v>127</v>
      </c>
      <c r="G502" s="119">
        <v>65</v>
      </c>
    </row>
    <row r="503" spans="1:9">
      <c r="A503" s="119">
        <v>297</v>
      </c>
      <c r="B503" s="119" t="s">
        <v>116</v>
      </c>
      <c r="C503" s="119" t="s">
        <v>174</v>
      </c>
      <c r="D503" s="119" t="s">
        <v>154</v>
      </c>
      <c r="E503" s="119">
        <v>125</v>
      </c>
      <c r="F503" s="119" t="s">
        <v>128</v>
      </c>
      <c r="G503" s="119">
        <v>65</v>
      </c>
    </row>
    <row r="504" spans="1:9">
      <c r="A504" s="119">
        <v>298</v>
      </c>
      <c r="B504" s="119" t="s">
        <v>116</v>
      </c>
      <c r="C504" s="119" t="s">
        <v>174</v>
      </c>
      <c r="D504" s="119" t="s">
        <v>154</v>
      </c>
      <c r="E504" s="119">
        <v>100</v>
      </c>
      <c r="F504" s="119" t="s">
        <v>129</v>
      </c>
      <c r="G504" s="119">
        <v>65</v>
      </c>
    </row>
    <row r="505" spans="1:9">
      <c r="A505" s="119">
        <v>299</v>
      </c>
      <c r="B505" s="119" t="s">
        <v>116</v>
      </c>
      <c r="C505" s="119" t="s">
        <v>174</v>
      </c>
      <c r="D505" s="119" t="s">
        <v>154</v>
      </c>
      <c r="E505" s="119">
        <v>75</v>
      </c>
      <c r="F505" s="119" t="s">
        <v>130</v>
      </c>
      <c r="G505" s="119">
        <v>65</v>
      </c>
    </row>
    <row r="506" spans="1:9">
      <c r="A506" s="119">
        <v>300</v>
      </c>
      <c r="B506" s="119" t="s">
        <v>116</v>
      </c>
      <c r="C506" s="119" t="s">
        <v>174</v>
      </c>
      <c r="D506" s="119" t="s">
        <v>154</v>
      </c>
      <c r="E506" s="119">
        <v>60</v>
      </c>
      <c r="F506" s="119" t="s">
        <v>131</v>
      </c>
      <c r="G506" s="119">
        <v>65</v>
      </c>
    </row>
    <row r="507" spans="1:9">
      <c r="A507" s="119">
        <v>301</v>
      </c>
      <c r="B507" s="119" t="s">
        <v>116</v>
      </c>
      <c r="C507" s="119" t="s">
        <v>174</v>
      </c>
      <c r="D507" s="119" t="s">
        <v>154</v>
      </c>
      <c r="E507" s="119">
        <v>50</v>
      </c>
      <c r="F507" s="119" t="s">
        <v>132</v>
      </c>
      <c r="G507" s="119">
        <v>65</v>
      </c>
    </row>
    <row r="508" spans="1:9">
      <c r="A508" s="119">
        <v>302</v>
      </c>
      <c r="B508" s="119" t="s">
        <v>116</v>
      </c>
      <c r="C508" s="119" t="s">
        <v>174</v>
      </c>
      <c r="D508" s="119" t="s">
        <v>154</v>
      </c>
      <c r="E508" s="119">
        <v>25</v>
      </c>
      <c r="F508" s="119" t="s">
        <v>135</v>
      </c>
      <c r="G508" s="119">
        <v>65</v>
      </c>
    </row>
    <row r="509" spans="1:9">
      <c r="A509" s="119">
        <v>303</v>
      </c>
      <c r="B509" s="119" t="s">
        <v>116</v>
      </c>
      <c r="C509" s="119" t="s">
        <v>174</v>
      </c>
      <c r="D509" s="119" t="s">
        <v>154</v>
      </c>
      <c r="E509" s="119">
        <v>10</v>
      </c>
      <c r="F509" s="119" t="s">
        <v>138</v>
      </c>
      <c r="G509" s="119">
        <v>65</v>
      </c>
    </row>
    <row r="510" spans="1:9">
      <c r="A510" s="119">
        <v>304</v>
      </c>
      <c r="B510" s="119" t="s">
        <v>116</v>
      </c>
      <c r="C510" s="119" t="s">
        <v>174</v>
      </c>
      <c r="D510" s="119" t="s">
        <v>154</v>
      </c>
      <c r="E510" s="119">
        <v>5</v>
      </c>
      <c r="F510" s="119" t="s">
        <v>142</v>
      </c>
      <c r="G510" s="119">
        <v>65</v>
      </c>
      <c r="I510" s="119" t="s">
        <v>120</v>
      </c>
    </row>
    <row r="511" spans="1:9">
      <c r="A511" s="119">
        <v>308</v>
      </c>
      <c r="B511" s="119" t="s">
        <v>116</v>
      </c>
      <c r="C511" s="119" t="s">
        <v>174</v>
      </c>
      <c r="D511" s="119" t="s">
        <v>154</v>
      </c>
      <c r="E511" s="119">
        <v>0</v>
      </c>
      <c r="F511" s="119" t="s">
        <v>146</v>
      </c>
      <c r="G511" s="119">
        <v>65</v>
      </c>
    </row>
    <row r="512" spans="1:9">
      <c r="A512" s="119">
        <v>285</v>
      </c>
      <c r="B512" s="119" t="s">
        <v>139</v>
      </c>
      <c r="C512" s="119" t="s">
        <v>174</v>
      </c>
      <c r="D512" s="119" t="s">
        <v>154</v>
      </c>
      <c r="E512" s="119">
        <v>2000</v>
      </c>
      <c r="F512" s="119" t="s">
        <v>133</v>
      </c>
      <c r="G512" s="119">
        <v>65</v>
      </c>
    </row>
    <row r="513" spans="1:9">
      <c r="A513" s="119">
        <v>286</v>
      </c>
      <c r="B513" s="119" t="s">
        <v>139</v>
      </c>
      <c r="C513" s="119" t="s">
        <v>174</v>
      </c>
      <c r="D513" s="119" t="s">
        <v>154</v>
      </c>
      <c r="E513" s="119">
        <v>1500</v>
      </c>
      <c r="F513" s="119" t="s">
        <v>117</v>
      </c>
      <c r="G513" s="119">
        <v>65</v>
      </c>
    </row>
    <row r="514" spans="1:9">
      <c r="A514" s="119">
        <v>287</v>
      </c>
      <c r="B514" s="119" t="s">
        <v>139</v>
      </c>
      <c r="C514" s="119" t="s">
        <v>174</v>
      </c>
      <c r="D514" s="119" t="s">
        <v>154</v>
      </c>
      <c r="E514" s="119">
        <v>1250</v>
      </c>
      <c r="F514" s="119" t="s">
        <v>118</v>
      </c>
      <c r="G514" s="119">
        <v>65</v>
      </c>
    </row>
    <row r="515" spans="1:9">
      <c r="A515" s="119">
        <v>288</v>
      </c>
      <c r="B515" s="119" t="s">
        <v>139</v>
      </c>
      <c r="C515" s="119" t="s">
        <v>174</v>
      </c>
      <c r="D515" s="119" t="s">
        <v>154</v>
      </c>
      <c r="E515" s="119">
        <v>1000</v>
      </c>
      <c r="F515" s="119" t="s">
        <v>119</v>
      </c>
      <c r="G515" s="119">
        <v>65</v>
      </c>
      <c r="I515" s="119" t="s">
        <v>120</v>
      </c>
    </row>
    <row r="516" spans="1:9">
      <c r="A516" s="119">
        <v>289</v>
      </c>
      <c r="B516" s="119" t="s">
        <v>139</v>
      </c>
      <c r="C516" s="119" t="s">
        <v>174</v>
      </c>
      <c r="D516" s="119" t="s">
        <v>154</v>
      </c>
      <c r="E516" s="119">
        <v>800</v>
      </c>
      <c r="F516" s="119" t="s">
        <v>121</v>
      </c>
      <c r="G516" s="119">
        <v>65</v>
      </c>
    </row>
    <row r="517" spans="1:9">
      <c r="A517" s="119">
        <v>290</v>
      </c>
      <c r="B517" s="119" t="s">
        <v>139</v>
      </c>
      <c r="C517" s="119" t="s">
        <v>174</v>
      </c>
      <c r="D517" s="119" t="s">
        <v>154</v>
      </c>
      <c r="E517" s="119">
        <v>600</v>
      </c>
      <c r="F517" s="119" t="s">
        <v>122</v>
      </c>
      <c r="G517" s="119">
        <v>65</v>
      </c>
    </row>
    <row r="518" spans="1:9">
      <c r="A518" s="119">
        <v>291</v>
      </c>
      <c r="B518" s="119" t="s">
        <v>139</v>
      </c>
      <c r="C518" s="119" t="s">
        <v>174</v>
      </c>
      <c r="D518" s="119" t="s">
        <v>154</v>
      </c>
      <c r="E518" s="119">
        <v>400</v>
      </c>
      <c r="F518" s="119" t="s">
        <v>123</v>
      </c>
      <c r="G518" s="119">
        <v>65</v>
      </c>
    </row>
    <row r="519" spans="1:9">
      <c r="A519" s="119">
        <v>292</v>
      </c>
      <c r="B519" s="119" t="s">
        <v>139</v>
      </c>
      <c r="C519" s="119" t="s">
        <v>174</v>
      </c>
      <c r="D519" s="119" t="s">
        <v>154</v>
      </c>
      <c r="E519" s="119">
        <v>300</v>
      </c>
      <c r="F519" s="119" t="s">
        <v>124</v>
      </c>
      <c r="G519" s="119">
        <v>65</v>
      </c>
    </row>
    <row r="520" spans="1:9">
      <c r="A520" s="119">
        <v>293</v>
      </c>
      <c r="B520" s="119" t="s">
        <v>139</v>
      </c>
      <c r="C520" s="119" t="s">
        <v>174</v>
      </c>
      <c r="D520" s="119" t="s">
        <v>154</v>
      </c>
      <c r="E520" s="119">
        <v>250</v>
      </c>
      <c r="F520" s="119" t="s">
        <v>125</v>
      </c>
      <c r="G520" s="119">
        <v>65</v>
      </c>
    </row>
    <row r="521" spans="1:9">
      <c r="A521" s="119">
        <v>294</v>
      </c>
      <c r="B521" s="119" t="s">
        <v>139</v>
      </c>
      <c r="C521" s="119" t="s">
        <v>174</v>
      </c>
      <c r="D521" s="119" t="s">
        <v>154</v>
      </c>
      <c r="E521" s="119">
        <v>200</v>
      </c>
      <c r="F521" s="119" t="s">
        <v>134</v>
      </c>
      <c r="G521" s="119">
        <v>65</v>
      </c>
    </row>
    <row r="522" spans="1:9">
      <c r="A522" s="119">
        <v>295</v>
      </c>
      <c r="B522" s="119" t="s">
        <v>139</v>
      </c>
      <c r="C522" s="119" t="s">
        <v>174</v>
      </c>
      <c r="D522" s="119" t="s">
        <v>154</v>
      </c>
      <c r="E522" s="119">
        <v>175</v>
      </c>
      <c r="F522" s="119" t="s">
        <v>126</v>
      </c>
      <c r="G522" s="119">
        <v>65</v>
      </c>
    </row>
    <row r="523" spans="1:9">
      <c r="A523" s="119">
        <v>296</v>
      </c>
      <c r="B523" s="119" t="s">
        <v>139</v>
      </c>
      <c r="C523" s="119" t="s">
        <v>174</v>
      </c>
      <c r="D523" s="119" t="s">
        <v>154</v>
      </c>
      <c r="E523" s="119">
        <v>150</v>
      </c>
      <c r="F523" s="119" t="s">
        <v>127</v>
      </c>
      <c r="G523" s="119">
        <v>65</v>
      </c>
    </row>
    <row r="524" spans="1:9">
      <c r="A524" s="119">
        <v>297</v>
      </c>
      <c r="B524" s="119" t="s">
        <v>139</v>
      </c>
      <c r="C524" s="119" t="s">
        <v>174</v>
      </c>
      <c r="D524" s="119" t="s">
        <v>154</v>
      </c>
      <c r="E524" s="119">
        <v>125</v>
      </c>
      <c r="F524" s="119" t="s">
        <v>128</v>
      </c>
      <c r="G524" s="119">
        <v>65</v>
      </c>
      <c r="I524" s="119" t="s">
        <v>120</v>
      </c>
    </row>
    <row r="525" spans="1:9">
      <c r="A525" s="119">
        <v>298</v>
      </c>
      <c r="B525" s="119" t="s">
        <v>139</v>
      </c>
      <c r="C525" s="119" t="s">
        <v>174</v>
      </c>
      <c r="D525" s="119" t="s">
        <v>154</v>
      </c>
      <c r="E525" s="119">
        <v>100</v>
      </c>
      <c r="F525" s="119" t="s">
        <v>129</v>
      </c>
      <c r="G525" s="119">
        <v>65</v>
      </c>
    </row>
    <row r="526" spans="1:9">
      <c r="A526" s="119">
        <v>299</v>
      </c>
      <c r="B526" s="119" t="s">
        <v>139</v>
      </c>
      <c r="C526" s="119" t="s">
        <v>174</v>
      </c>
      <c r="D526" s="119" t="s">
        <v>154</v>
      </c>
      <c r="E526" s="119">
        <v>75</v>
      </c>
      <c r="F526" s="119" t="s">
        <v>130</v>
      </c>
      <c r="G526" s="119">
        <v>65</v>
      </c>
    </row>
    <row r="527" spans="1:9">
      <c r="A527" s="119">
        <v>300</v>
      </c>
      <c r="B527" s="119" t="s">
        <v>139</v>
      </c>
      <c r="C527" s="119" t="s">
        <v>174</v>
      </c>
      <c r="D527" s="119" t="s">
        <v>154</v>
      </c>
      <c r="E527" s="119">
        <v>60</v>
      </c>
      <c r="F527" s="119" t="s">
        <v>131</v>
      </c>
      <c r="G527" s="119">
        <v>65</v>
      </c>
    </row>
    <row r="528" spans="1:9">
      <c r="A528" s="119">
        <v>301</v>
      </c>
      <c r="B528" s="119" t="s">
        <v>139</v>
      </c>
      <c r="C528" s="119" t="s">
        <v>174</v>
      </c>
      <c r="D528" s="119" t="s">
        <v>154</v>
      </c>
      <c r="E528" s="119">
        <v>50</v>
      </c>
      <c r="F528" s="119" t="s">
        <v>132</v>
      </c>
      <c r="G528" s="119">
        <v>65</v>
      </c>
    </row>
    <row r="529" spans="1:9">
      <c r="A529" s="119">
        <v>302</v>
      </c>
      <c r="B529" s="119" t="s">
        <v>139</v>
      </c>
      <c r="C529" s="119" t="s">
        <v>174</v>
      </c>
      <c r="D529" s="119" t="s">
        <v>154</v>
      </c>
      <c r="E529" s="119">
        <v>25</v>
      </c>
      <c r="F529" s="119" t="s">
        <v>135</v>
      </c>
      <c r="G529" s="119">
        <v>65</v>
      </c>
    </row>
    <row r="530" spans="1:9">
      <c r="A530" s="119">
        <v>303</v>
      </c>
      <c r="B530" s="119" t="s">
        <v>139</v>
      </c>
      <c r="C530" s="119" t="s">
        <v>174</v>
      </c>
      <c r="D530" s="119" t="s">
        <v>154</v>
      </c>
      <c r="E530" s="119">
        <v>10</v>
      </c>
      <c r="F530" s="119" t="s">
        <v>138</v>
      </c>
      <c r="G530" s="119">
        <v>65</v>
      </c>
      <c r="I530" s="119" t="s">
        <v>120</v>
      </c>
    </row>
    <row r="531" spans="1:9">
      <c r="A531" s="119">
        <v>304</v>
      </c>
      <c r="B531" s="119" t="s">
        <v>139</v>
      </c>
      <c r="C531" s="119" t="s">
        <v>174</v>
      </c>
      <c r="D531" s="119" t="s">
        <v>154</v>
      </c>
      <c r="E531" s="119">
        <v>5</v>
      </c>
      <c r="F531" s="119" t="s">
        <v>142</v>
      </c>
      <c r="G531" s="119">
        <v>65</v>
      </c>
    </row>
    <row r="532" spans="1:9">
      <c r="A532" s="119">
        <v>308</v>
      </c>
      <c r="B532" s="119" t="s">
        <v>139</v>
      </c>
      <c r="C532" s="119" t="s">
        <v>174</v>
      </c>
      <c r="D532" s="119" t="s">
        <v>154</v>
      </c>
      <c r="E532" s="119">
        <v>0</v>
      </c>
      <c r="F532" s="119" t="s">
        <v>146</v>
      </c>
      <c r="G532" s="119">
        <v>65</v>
      </c>
    </row>
    <row r="533" spans="1:9">
      <c r="A533" s="119">
        <v>285</v>
      </c>
      <c r="B533" s="119" t="s">
        <v>140</v>
      </c>
      <c r="C533" s="119" t="s">
        <v>174</v>
      </c>
      <c r="D533" s="119" t="s">
        <v>154</v>
      </c>
      <c r="E533" s="119">
        <v>2000</v>
      </c>
      <c r="F533" s="119" t="s">
        <v>133</v>
      </c>
      <c r="G533" s="119">
        <v>65</v>
      </c>
    </row>
    <row r="534" spans="1:9">
      <c r="A534" s="119">
        <v>286</v>
      </c>
      <c r="B534" s="119" t="s">
        <v>140</v>
      </c>
      <c r="C534" s="119" t="s">
        <v>174</v>
      </c>
      <c r="D534" s="119" t="s">
        <v>154</v>
      </c>
      <c r="E534" s="119">
        <v>1500</v>
      </c>
      <c r="F534" s="119" t="s">
        <v>117</v>
      </c>
      <c r="G534" s="119">
        <v>65</v>
      </c>
      <c r="I534" s="119" t="s">
        <v>120</v>
      </c>
    </row>
    <row r="535" spans="1:9">
      <c r="A535" s="119">
        <v>287</v>
      </c>
      <c r="B535" s="119" t="s">
        <v>140</v>
      </c>
      <c r="C535" s="119" t="s">
        <v>174</v>
      </c>
      <c r="D535" s="119" t="s">
        <v>154</v>
      </c>
      <c r="E535" s="119">
        <v>1250</v>
      </c>
      <c r="F535" s="119" t="s">
        <v>118</v>
      </c>
      <c r="G535" s="119">
        <v>65</v>
      </c>
    </row>
    <row r="536" spans="1:9">
      <c r="A536" s="119">
        <v>288</v>
      </c>
      <c r="B536" s="119" t="s">
        <v>140</v>
      </c>
      <c r="C536" s="119" t="s">
        <v>174</v>
      </c>
      <c r="D536" s="119" t="s">
        <v>154</v>
      </c>
      <c r="E536" s="119">
        <v>1000</v>
      </c>
      <c r="F536" s="119" t="s">
        <v>119</v>
      </c>
      <c r="G536" s="119">
        <v>65</v>
      </c>
    </row>
    <row r="537" spans="1:9">
      <c r="A537" s="119">
        <v>289</v>
      </c>
      <c r="B537" s="119" t="s">
        <v>140</v>
      </c>
      <c r="C537" s="119" t="s">
        <v>174</v>
      </c>
      <c r="D537" s="119" t="s">
        <v>154</v>
      </c>
      <c r="E537" s="119">
        <v>800</v>
      </c>
      <c r="F537" s="119" t="s">
        <v>121</v>
      </c>
      <c r="G537" s="119">
        <v>65</v>
      </c>
    </row>
    <row r="538" spans="1:9">
      <c r="A538" s="119">
        <v>290</v>
      </c>
      <c r="B538" s="119" t="s">
        <v>140</v>
      </c>
      <c r="C538" s="119" t="s">
        <v>174</v>
      </c>
      <c r="D538" s="119" t="s">
        <v>154</v>
      </c>
      <c r="E538" s="119">
        <v>600</v>
      </c>
      <c r="F538" s="119" t="s">
        <v>122</v>
      </c>
      <c r="G538" s="119">
        <v>65</v>
      </c>
    </row>
    <row r="539" spans="1:9">
      <c r="A539" s="119">
        <v>291</v>
      </c>
      <c r="B539" s="119" t="s">
        <v>140</v>
      </c>
      <c r="C539" s="119" t="s">
        <v>174</v>
      </c>
      <c r="D539" s="119" t="s">
        <v>154</v>
      </c>
      <c r="E539" s="119">
        <v>400</v>
      </c>
      <c r="F539" s="119" t="s">
        <v>123</v>
      </c>
      <c r="G539" s="119">
        <v>65</v>
      </c>
    </row>
    <row r="540" spans="1:9">
      <c r="A540" s="119">
        <v>296</v>
      </c>
      <c r="B540" s="119" t="s">
        <v>136</v>
      </c>
      <c r="C540" s="119" t="s">
        <v>174</v>
      </c>
      <c r="D540" s="119" t="s">
        <v>154</v>
      </c>
      <c r="E540" s="119">
        <v>150</v>
      </c>
      <c r="F540" s="119" t="s">
        <v>127</v>
      </c>
      <c r="G540" s="119">
        <v>65</v>
      </c>
      <c r="I540" s="119" t="s">
        <v>120</v>
      </c>
    </row>
    <row r="541" spans="1:9">
      <c r="A541" s="119">
        <v>298</v>
      </c>
      <c r="B541" s="119" t="s">
        <v>136</v>
      </c>
      <c r="C541" s="119" t="s">
        <v>174</v>
      </c>
      <c r="D541" s="119" t="s">
        <v>154</v>
      </c>
      <c r="E541" s="119">
        <v>100</v>
      </c>
      <c r="F541" s="119" t="s">
        <v>129</v>
      </c>
      <c r="G541" s="119">
        <v>65</v>
      </c>
      <c r="I541" s="119" t="s">
        <v>120</v>
      </c>
    </row>
    <row r="542" spans="1:9">
      <c r="A542" s="119">
        <v>299</v>
      </c>
      <c r="B542" s="119" t="s">
        <v>136</v>
      </c>
      <c r="C542" s="119" t="s">
        <v>174</v>
      </c>
      <c r="D542" s="119" t="s">
        <v>154</v>
      </c>
      <c r="E542" s="119">
        <v>75</v>
      </c>
      <c r="F542" s="119" t="s">
        <v>130</v>
      </c>
      <c r="G542" s="119">
        <v>65</v>
      </c>
      <c r="I542" s="119" t="s">
        <v>120</v>
      </c>
    </row>
    <row r="543" spans="1:9">
      <c r="A543" s="119">
        <v>301</v>
      </c>
      <c r="B543" s="119" t="s">
        <v>136</v>
      </c>
      <c r="C543" s="119" t="s">
        <v>174</v>
      </c>
      <c r="D543" s="119" t="s">
        <v>154</v>
      </c>
      <c r="E543" s="119">
        <v>50</v>
      </c>
      <c r="F543" s="119" t="s">
        <v>132</v>
      </c>
      <c r="G543" s="119">
        <v>65</v>
      </c>
      <c r="I543" s="119" t="s">
        <v>120</v>
      </c>
    </row>
    <row r="544" spans="1:9">
      <c r="A544" s="119">
        <v>302</v>
      </c>
      <c r="B544" s="119" t="s">
        <v>136</v>
      </c>
      <c r="C544" s="119" t="s">
        <v>174</v>
      </c>
      <c r="D544" s="119" t="s">
        <v>154</v>
      </c>
      <c r="E544" s="119">
        <v>25</v>
      </c>
      <c r="F544" s="119" t="s">
        <v>135</v>
      </c>
      <c r="G544" s="119">
        <v>65</v>
      </c>
      <c r="I544" s="119" t="s">
        <v>120</v>
      </c>
    </row>
    <row r="545" spans="1:9">
      <c r="A545" s="119">
        <v>305</v>
      </c>
      <c r="B545" s="119" t="s">
        <v>136</v>
      </c>
      <c r="C545" s="119" t="s">
        <v>174</v>
      </c>
      <c r="D545" s="119" t="s">
        <v>154</v>
      </c>
      <c r="E545" s="119">
        <v>5</v>
      </c>
      <c r="F545" s="119" t="s">
        <v>143</v>
      </c>
      <c r="G545" s="119">
        <v>65</v>
      </c>
      <c r="I545" s="119" t="s">
        <v>120</v>
      </c>
    </row>
    <row r="546" spans="1:9">
      <c r="A546" s="119">
        <v>301</v>
      </c>
      <c r="B546" s="119" t="s">
        <v>137</v>
      </c>
      <c r="C546" s="119" t="s">
        <v>174</v>
      </c>
      <c r="D546" s="119" t="s">
        <v>154</v>
      </c>
      <c r="E546" s="119">
        <v>50</v>
      </c>
      <c r="F546" s="119" t="s">
        <v>132</v>
      </c>
      <c r="G546" s="119">
        <v>65</v>
      </c>
      <c r="I546" s="119" t="s">
        <v>120</v>
      </c>
    </row>
    <row r="547" spans="1:9">
      <c r="A547" s="119">
        <v>302</v>
      </c>
      <c r="B547" s="119" t="s">
        <v>137</v>
      </c>
      <c r="C547" s="119" t="s">
        <v>174</v>
      </c>
      <c r="D547" s="119" t="s">
        <v>154</v>
      </c>
      <c r="E547" s="119">
        <v>25</v>
      </c>
      <c r="F547" s="119" t="s">
        <v>135</v>
      </c>
      <c r="G547" s="119">
        <v>65</v>
      </c>
      <c r="I547" s="119" t="s">
        <v>120</v>
      </c>
    </row>
    <row r="548" spans="1:9">
      <c r="A548" s="119">
        <v>305</v>
      </c>
      <c r="B548" s="119" t="s">
        <v>137</v>
      </c>
      <c r="C548" s="119" t="s">
        <v>174</v>
      </c>
      <c r="D548" s="119" t="s">
        <v>154</v>
      </c>
      <c r="E548" s="119">
        <v>5</v>
      </c>
      <c r="F548" s="119" t="s">
        <v>143</v>
      </c>
      <c r="G548" s="119">
        <v>65</v>
      </c>
      <c r="I548" s="119" t="s">
        <v>120</v>
      </c>
    </row>
    <row r="549" spans="1:9">
      <c r="A549" s="119">
        <v>307</v>
      </c>
      <c r="B549" s="119" t="s">
        <v>155</v>
      </c>
      <c r="C549" s="119" t="s">
        <v>174</v>
      </c>
      <c r="D549" s="119" t="s">
        <v>154</v>
      </c>
      <c r="E549" s="119">
        <v>5</v>
      </c>
      <c r="F549" s="119" t="s">
        <v>145</v>
      </c>
      <c r="G549" s="119">
        <v>65</v>
      </c>
      <c r="I549" s="119" t="s">
        <v>120</v>
      </c>
    </row>
    <row r="550" spans="1:9">
      <c r="A550" s="119">
        <v>305</v>
      </c>
      <c r="B550" s="119" t="s">
        <v>156</v>
      </c>
      <c r="C550" s="119" t="s">
        <v>174</v>
      </c>
      <c r="D550" s="119" t="s">
        <v>154</v>
      </c>
      <c r="E550" s="119">
        <v>5</v>
      </c>
      <c r="F550" s="119" t="s">
        <v>143</v>
      </c>
      <c r="G550" s="119">
        <v>65</v>
      </c>
      <c r="I550" s="119" t="s">
        <v>120</v>
      </c>
    </row>
    <row r="551" spans="1:9">
      <c r="A551" s="119">
        <v>304</v>
      </c>
      <c r="B551" s="119" t="s">
        <v>157</v>
      </c>
      <c r="C551" s="119" t="s">
        <v>174</v>
      </c>
      <c r="D551" s="119" t="s">
        <v>154</v>
      </c>
      <c r="E551" s="119">
        <v>5</v>
      </c>
      <c r="F551" s="119" t="s">
        <v>142</v>
      </c>
      <c r="G551" s="119">
        <v>65</v>
      </c>
      <c r="I551" s="119" t="s">
        <v>120</v>
      </c>
    </row>
    <row r="552" spans="1:9">
      <c r="A552" s="119">
        <v>306</v>
      </c>
      <c r="B552" s="119" t="s">
        <v>158</v>
      </c>
      <c r="C552" s="119" t="s">
        <v>174</v>
      </c>
      <c r="D552" s="119" t="s">
        <v>154</v>
      </c>
      <c r="E552" s="119">
        <v>5</v>
      </c>
      <c r="F552" s="119" t="s">
        <v>144</v>
      </c>
      <c r="G552" s="119">
        <v>65</v>
      </c>
    </row>
    <row r="553" spans="1:9">
      <c r="A553" s="119">
        <v>285</v>
      </c>
      <c r="B553" s="119" t="s">
        <v>141</v>
      </c>
      <c r="C553" s="119" t="s">
        <v>174</v>
      </c>
      <c r="D553" s="119" t="s">
        <v>154</v>
      </c>
      <c r="E553" s="119">
        <v>2000</v>
      </c>
      <c r="F553" s="119" t="s">
        <v>133</v>
      </c>
      <c r="G553" s="119">
        <v>65</v>
      </c>
    </row>
    <row r="554" spans="1:9">
      <c r="A554" s="119">
        <v>286</v>
      </c>
      <c r="B554" s="119" t="s">
        <v>141</v>
      </c>
      <c r="C554" s="119" t="s">
        <v>174</v>
      </c>
      <c r="D554" s="119" t="s">
        <v>154</v>
      </c>
      <c r="E554" s="119">
        <v>1500</v>
      </c>
      <c r="F554" s="119" t="s">
        <v>117</v>
      </c>
      <c r="G554" s="119">
        <v>65</v>
      </c>
    </row>
    <row r="555" spans="1:9">
      <c r="A555" s="119">
        <v>287</v>
      </c>
      <c r="B555" s="119" t="s">
        <v>141</v>
      </c>
      <c r="C555" s="119" t="s">
        <v>174</v>
      </c>
      <c r="D555" s="119" t="s">
        <v>154</v>
      </c>
      <c r="E555" s="119">
        <v>1250</v>
      </c>
      <c r="F555" s="119" t="s">
        <v>118</v>
      </c>
      <c r="G555" s="119">
        <v>65</v>
      </c>
    </row>
    <row r="556" spans="1:9">
      <c r="A556" s="119">
        <v>288</v>
      </c>
      <c r="B556" s="119" t="s">
        <v>141</v>
      </c>
      <c r="C556" s="119" t="s">
        <v>174</v>
      </c>
      <c r="D556" s="119" t="s">
        <v>154</v>
      </c>
      <c r="E556" s="119">
        <v>1000</v>
      </c>
      <c r="F556" s="119" t="s">
        <v>119</v>
      </c>
      <c r="G556" s="119">
        <v>65</v>
      </c>
    </row>
    <row r="557" spans="1:9">
      <c r="A557" s="119">
        <v>289</v>
      </c>
      <c r="B557" s="119" t="s">
        <v>141</v>
      </c>
      <c r="C557" s="119" t="s">
        <v>174</v>
      </c>
      <c r="D557" s="119" t="s">
        <v>154</v>
      </c>
      <c r="E557" s="119">
        <v>800</v>
      </c>
      <c r="F557" s="119" t="s">
        <v>121</v>
      </c>
      <c r="G557" s="119">
        <v>65</v>
      </c>
    </row>
    <row r="558" spans="1:9">
      <c r="A558" s="119">
        <v>290</v>
      </c>
      <c r="B558" s="119" t="s">
        <v>141</v>
      </c>
      <c r="C558" s="119" t="s">
        <v>174</v>
      </c>
      <c r="D558" s="119" t="s">
        <v>154</v>
      </c>
      <c r="E558" s="119">
        <v>600</v>
      </c>
      <c r="F558" s="119" t="s">
        <v>122</v>
      </c>
      <c r="G558" s="119">
        <v>65</v>
      </c>
    </row>
    <row r="559" spans="1:9">
      <c r="A559" s="119">
        <v>291</v>
      </c>
      <c r="B559" s="119" t="s">
        <v>141</v>
      </c>
      <c r="C559" s="119" t="s">
        <v>174</v>
      </c>
      <c r="D559" s="119" t="s">
        <v>154</v>
      </c>
      <c r="E559" s="119">
        <v>400</v>
      </c>
      <c r="F559" s="119" t="s">
        <v>123</v>
      </c>
      <c r="G559" s="119">
        <v>65</v>
      </c>
    </row>
    <row r="560" spans="1:9">
      <c r="A560" s="119">
        <v>292</v>
      </c>
      <c r="B560" s="119" t="s">
        <v>141</v>
      </c>
      <c r="C560" s="119" t="s">
        <v>174</v>
      </c>
      <c r="D560" s="119" t="s">
        <v>154</v>
      </c>
      <c r="E560" s="119">
        <v>300</v>
      </c>
      <c r="F560" s="119" t="s">
        <v>124</v>
      </c>
      <c r="G560" s="119">
        <v>65</v>
      </c>
    </row>
    <row r="561" spans="1:7">
      <c r="A561" s="119">
        <v>293</v>
      </c>
      <c r="B561" s="119" t="s">
        <v>141</v>
      </c>
      <c r="C561" s="119" t="s">
        <v>174</v>
      </c>
      <c r="D561" s="119" t="s">
        <v>154</v>
      </c>
      <c r="E561" s="119">
        <v>250</v>
      </c>
      <c r="F561" s="119" t="s">
        <v>125</v>
      </c>
      <c r="G561" s="119">
        <v>65</v>
      </c>
    </row>
    <row r="562" spans="1:7">
      <c r="A562" s="119">
        <v>294</v>
      </c>
      <c r="B562" s="119" t="s">
        <v>141</v>
      </c>
      <c r="C562" s="119" t="s">
        <v>174</v>
      </c>
      <c r="D562" s="119" t="s">
        <v>154</v>
      </c>
      <c r="E562" s="119">
        <v>200</v>
      </c>
      <c r="F562" s="119" t="s">
        <v>134</v>
      </c>
      <c r="G562" s="119">
        <v>65</v>
      </c>
    </row>
    <row r="563" spans="1:7">
      <c r="A563" s="119">
        <v>295</v>
      </c>
      <c r="B563" s="119" t="s">
        <v>141</v>
      </c>
      <c r="C563" s="119" t="s">
        <v>174</v>
      </c>
      <c r="D563" s="119" t="s">
        <v>154</v>
      </c>
      <c r="E563" s="119">
        <v>175</v>
      </c>
      <c r="F563" s="119" t="s">
        <v>126</v>
      </c>
      <c r="G563" s="119">
        <v>65</v>
      </c>
    </row>
    <row r="564" spans="1:7">
      <c r="A564" s="119">
        <v>296</v>
      </c>
      <c r="B564" s="119" t="s">
        <v>141</v>
      </c>
      <c r="C564" s="119" t="s">
        <v>174</v>
      </c>
      <c r="D564" s="119" t="s">
        <v>154</v>
      </c>
      <c r="E564" s="119">
        <v>150</v>
      </c>
      <c r="F564" s="119" t="s">
        <v>127</v>
      </c>
      <c r="G564" s="119">
        <v>65</v>
      </c>
    </row>
    <row r="565" spans="1:7">
      <c r="A565" s="119">
        <v>297</v>
      </c>
      <c r="B565" s="119" t="s">
        <v>141</v>
      </c>
      <c r="C565" s="119" t="s">
        <v>174</v>
      </c>
      <c r="D565" s="119" t="s">
        <v>154</v>
      </c>
      <c r="E565" s="119">
        <v>125</v>
      </c>
      <c r="F565" s="119" t="s">
        <v>128</v>
      </c>
      <c r="G565" s="119">
        <v>65</v>
      </c>
    </row>
    <row r="566" spans="1:7">
      <c r="A566" s="119">
        <v>298</v>
      </c>
      <c r="B566" s="119" t="s">
        <v>141</v>
      </c>
      <c r="C566" s="119" t="s">
        <v>174</v>
      </c>
      <c r="D566" s="119" t="s">
        <v>154</v>
      </c>
      <c r="E566" s="119">
        <v>100</v>
      </c>
      <c r="F566" s="119" t="s">
        <v>129</v>
      </c>
      <c r="G566" s="119">
        <v>65</v>
      </c>
    </row>
    <row r="567" spans="1:7">
      <c r="A567" s="119">
        <v>299</v>
      </c>
      <c r="B567" s="119" t="s">
        <v>141</v>
      </c>
      <c r="C567" s="119" t="s">
        <v>174</v>
      </c>
      <c r="D567" s="119" t="s">
        <v>154</v>
      </c>
      <c r="E567" s="119">
        <v>75</v>
      </c>
      <c r="F567" s="119" t="s">
        <v>130</v>
      </c>
      <c r="G567" s="119">
        <v>65</v>
      </c>
    </row>
    <row r="568" spans="1:7">
      <c r="A568" s="119">
        <v>300</v>
      </c>
      <c r="B568" s="119" t="s">
        <v>141</v>
      </c>
      <c r="C568" s="119" t="s">
        <v>174</v>
      </c>
      <c r="D568" s="119" t="s">
        <v>154</v>
      </c>
      <c r="E568" s="119">
        <v>60</v>
      </c>
      <c r="F568" s="119" t="s">
        <v>131</v>
      </c>
      <c r="G568" s="119">
        <v>65</v>
      </c>
    </row>
    <row r="569" spans="1:7">
      <c r="A569" s="119">
        <v>301</v>
      </c>
      <c r="B569" s="119" t="s">
        <v>141</v>
      </c>
      <c r="C569" s="119" t="s">
        <v>174</v>
      </c>
      <c r="D569" s="119" t="s">
        <v>154</v>
      </c>
      <c r="E569" s="119">
        <v>50</v>
      </c>
      <c r="F569" s="119" t="s">
        <v>132</v>
      </c>
      <c r="G569" s="119">
        <v>65</v>
      </c>
    </row>
    <row r="570" spans="1:7">
      <c r="A570" s="119">
        <v>302</v>
      </c>
      <c r="B570" s="119" t="s">
        <v>141</v>
      </c>
      <c r="C570" s="119" t="s">
        <v>174</v>
      </c>
      <c r="D570" s="119" t="s">
        <v>154</v>
      </c>
      <c r="E570" s="119">
        <v>25</v>
      </c>
      <c r="F570" s="119" t="s">
        <v>135</v>
      </c>
      <c r="G570" s="119">
        <v>65</v>
      </c>
    </row>
    <row r="571" spans="1:7">
      <c r="A571" s="119">
        <v>303</v>
      </c>
      <c r="B571" s="119" t="s">
        <v>141</v>
      </c>
      <c r="C571" s="119" t="s">
        <v>174</v>
      </c>
      <c r="D571" s="119" t="s">
        <v>154</v>
      </c>
      <c r="E571" s="119">
        <v>10</v>
      </c>
      <c r="F571" s="119" t="s">
        <v>138</v>
      </c>
      <c r="G571" s="119">
        <v>65</v>
      </c>
    </row>
    <row r="572" spans="1:7">
      <c r="A572" s="119">
        <v>304</v>
      </c>
      <c r="B572" s="119" t="s">
        <v>141</v>
      </c>
      <c r="C572" s="119" t="s">
        <v>174</v>
      </c>
      <c r="D572" s="119" t="s">
        <v>154</v>
      </c>
      <c r="E572" s="119">
        <v>5</v>
      </c>
      <c r="F572" s="119" t="s">
        <v>142</v>
      </c>
      <c r="G572" s="119">
        <v>65</v>
      </c>
    </row>
    <row r="573" spans="1:7">
      <c r="A573" s="119">
        <v>308</v>
      </c>
      <c r="B573" s="119" t="s">
        <v>141</v>
      </c>
      <c r="C573" s="119" t="s">
        <v>174</v>
      </c>
      <c r="D573" s="119" t="s">
        <v>154</v>
      </c>
      <c r="E573" s="119">
        <v>0</v>
      </c>
      <c r="F573" s="119" t="s">
        <v>146</v>
      </c>
      <c r="G573" s="119">
        <v>65</v>
      </c>
    </row>
    <row r="574" spans="1:7">
      <c r="A574" s="119">
        <v>309</v>
      </c>
      <c r="B574" s="119" t="s">
        <v>139</v>
      </c>
      <c r="C574" s="119" t="s">
        <v>175</v>
      </c>
      <c r="D574" s="119" t="s">
        <v>154</v>
      </c>
      <c r="E574" s="119">
        <v>300</v>
      </c>
      <c r="F574" s="119" t="s">
        <v>133</v>
      </c>
      <c r="G574" s="119">
        <v>68</v>
      </c>
    </row>
    <row r="575" spans="1:7">
      <c r="A575" s="119">
        <v>310</v>
      </c>
      <c r="B575" s="119" t="s">
        <v>139</v>
      </c>
      <c r="C575" s="119" t="s">
        <v>175</v>
      </c>
      <c r="D575" s="119" t="s">
        <v>154</v>
      </c>
      <c r="E575" s="119">
        <v>200</v>
      </c>
      <c r="F575" s="119" t="s">
        <v>117</v>
      </c>
      <c r="G575" s="119">
        <v>68</v>
      </c>
    </row>
    <row r="576" spans="1:7">
      <c r="A576" s="119">
        <v>312</v>
      </c>
      <c r="B576" s="119" t="s">
        <v>139</v>
      </c>
      <c r="C576" s="119" t="s">
        <v>175</v>
      </c>
      <c r="D576" s="119" t="s">
        <v>154</v>
      </c>
      <c r="E576" s="119">
        <v>150</v>
      </c>
      <c r="F576" s="119" t="s">
        <v>119</v>
      </c>
      <c r="G576" s="119">
        <v>68</v>
      </c>
    </row>
    <row r="577" spans="1:9">
      <c r="A577" s="119">
        <v>313</v>
      </c>
      <c r="B577" s="119" t="s">
        <v>139</v>
      </c>
      <c r="C577" s="119" t="s">
        <v>175</v>
      </c>
      <c r="D577" s="119" t="s">
        <v>154</v>
      </c>
      <c r="E577" s="119">
        <v>125</v>
      </c>
      <c r="F577" s="119" t="s">
        <v>121</v>
      </c>
      <c r="G577" s="119">
        <v>68</v>
      </c>
      <c r="I577" s="119" t="s">
        <v>120</v>
      </c>
    </row>
    <row r="578" spans="1:9">
      <c r="A578" s="119">
        <v>316</v>
      </c>
      <c r="B578" s="119" t="s">
        <v>139</v>
      </c>
      <c r="C578" s="119" t="s">
        <v>175</v>
      </c>
      <c r="D578" s="119" t="s">
        <v>154</v>
      </c>
      <c r="E578" s="119">
        <v>100</v>
      </c>
      <c r="F578" s="119" t="s">
        <v>124</v>
      </c>
      <c r="G578" s="119">
        <v>68</v>
      </c>
    </row>
    <row r="579" spans="1:9">
      <c r="A579" s="119">
        <v>317</v>
      </c>
      <c r="B579" s="119" t="s">
        <v>139</v>
      </c>
      <c r="C579" s="119" t="s">
        <v>175</v>
      </c>
      <c r="D579" s="119" t="s">
        <v>154</v>
      </c>
      <c r="E579" s="119">
        <v>75</v>
      </c>
      <c r="F579" s="119" t="s">
        <v>125</v>
      </c>
      <c r="G579" s="119">
        <v>68</v>
      </c>
    </row>
    <row r="580" spans="1:9">
      <c r="A580" s="119">
        <v>320</v>
      </c>
      <c r="B580" s="119" t="s">
        <v>139</v>
      </c>
      <c r="C580" s="119" t="s">
        <v>175</v>
      </c>
      <c r="D580" s="119" t="s">
        <v>154</v>
      </c>
      <c r="E580" s="119">
        <v>50</v>
      </c>
      <c r="F580" s="119" t="s">
        <v>127</v>
      </c>
      <c r="G580" s="119">
        <v>68</v>
      </c>
    </row>
    <row r="581" spans="1:9">
      <c r="A581" s="119">
        <v>322</v>
      </c>
      <c r="B581" s="119" t="s">
        <v>139</v>
      </c>
      <c r="C581" s="119" t="s">
        <v>175</v>
      </c>
      <c r="D581" s="119" t="s">
        <v>154</v>
      </c>
      <c r="E581" s="119">
        <v>25</v>
      </c>
      <c r="F581" s="119" t="s">
        <v>129</v>
      </c>
      <c r="G581" s="119">
        <v>68</v>
      </c>
    </row>
    <row r="582" spans="1:9">
      <c r="A582" s="119">
        <v>328</v>
      </c>
      <c r="B582" s="119" t="s">
        <v>139</v>
      </c>
      <c r="C582" s="119" t="s">
        <v>175</v>
      </c>
      <c r="D582" s="119" t="s">
        <v>154</v>
      </c>
      <c r="E582" s="119">
        <v>5</v>
      </c>
      <c r="F582" s="119" t="s">
        <v>142</v>
      </c>
      <c r="G582" s="119">
        <v>68</v>
      </c>
    </row>
    <row r="583" spans="1:9">
      <c r="A583" s="119">
        <v>312</v>
      </c>
      <c r="B583" s="119" t="s">
        <v>136</v>
      </c>
      <c r="C583" s="119" t="s">
        <v>175</v>
      </c>
      <c r="D583" s="119" t="s">
        <v>154</v>
      </c>
      <c r="E583" s="119">
        <v>150</v>
      </c>
      <c r="F583" s="119" t="s">
        <v>119</v>
      </c>
      <c r="G583" s="119">
        <v>68</v>
      </c>
      <c r="I583" s="119" t="s">
        <v>120</v>
      </c>
    </row>
    <row r="584" spans="1:9">
      <c r="A584" s="119">
        <v>316</v>
      </c>
      <c r="B584" s="119" t="s">
        <v>136</v>
      </c>
      <c r="C584" s="119" t="s">
        <v>175</v>
      </c>
      <c r="D584" s="119" t="s">
        <v>154</v>
      </c>
      <c r="E584" s="119">
        <v>100</v>
      </c>
      <c r="F584" s="119" t="s">
        <v>124</v>
      </c>
      <c r="G584" s="119">
        <v>68</v>
      </c>
      <c r="I584" s="119" t="s">
        <v>120</v>
      </c>
    </row>
    <row r="585" spans="1:9">
      <c r="A585" s="119">
        <v>317</v>
      </c>
      <c r="B585" s="119" t="s">
        <v>136</v>
      </c>
      <c r="C585" s="119" t="s">
        <v>175</v>
      </c>
      <c r="D585" s="119" t="s">
        <v>154</v>
      </c>
      <c r="E585" s="119">
        <v>75</v>
      </c>
      <c r="F585" s="119" t="s">
        <v>125</v>
      </c>
      <c r="G585" s="119">
        <v>68</v>
      </c>
      <c r="I585" s="119" t="s">
        <v>120</v>
      </c>
    </row>
    <row r="586" spans="1:9">
      <c r="A586" s="119">
        <v>320</v>
      </c>
      <c r="B586" s="119" t="s">
        <v>136</v>
      </c>
      <c r="C586" s="119" t="s">
        <v>175</v>
      </c>
      <c r="D586" s="119" t="s">
        <v>154</v>
      </c>
      <c r="E586" s="119">
        <v>50</v>
      </c>
      <c r="F586" s="119" t="s">
        <v>127</v>
      </c>
      <c r="G586" s="119">
        <v>68</v>
      </c>
      <c r="I586" s="119" t="s">
        <v>120</v>
      </c>
    </row>
    <row r="587" spans="1:9">
      <c r="A587" s="119">
        <v>322</v>
      </c>
      <c r="B587" s="119" t="s">
        <v>136</v>
      </c>
      <c r="C587" s="119" t="s">
        <v>175</v>
      </c>
      <c r="D587" s="119" t="s">
        <v>154</v>
      </c>
      <c r="E587" s="119">
        <v>25</v>
      </c>
      <c r="F587" s="119" t="s">
        <v>129</v>
      </c>
      <c r="G587" s="119">
        <v>68</v>
      </c>
      <c r="I587" s="119" t="s">
        <v>120</v>
      </c>
    </row>
    <row r="588" spans="1:9">
      <c r="A588" s="119">
        <v>328</v>
      </c>
      <c r="B588" s="119" t="s">
        <v>136</v>
      </c>
      <c r="C588" s="119" t="s">
        <v>175</v>
      </c>
      <c r="D588" s="119" t="s">
        <v>154</v>
      </c>
      <c r="E588" s="119">
        <v>5</v>
      </c>
      <c r="F588" s="119" t="s">
        <v>142</v>
      </c>
      <c r="G588" s="119">
        <v>68</v>
      </c>
      <c r="I588" s="119" t="s">
        <v>120</v>
      </c>
    </row>
    <row r="589" spans="1:9">
      <c r="A589" s="119">
        <v>320</v>
      </c>
      <c r="B589" s="119" t="s">
        <v>137</v>
      </c>
      <c r="C589" s="119" t="s">
        <v>175</v>
      </c>
      <c r="D589" s="119" t="s">
        <v>154</v>
      </c>
      <c r="E589" s="119">
        <v>50</v>
      </c>
      <c r="F589" s="119" t="s">
        <v>127</v>
      </c>
      <c r="G589" s="119">
        <v>68</v>
      </c>
      <c r="I589" s="119" t="s">
        <v>120</v>
      </c>
    </row>
    <row r="590" spans="1:9">
      <c r="A590" s="119">
        <v>322</v>
      </c>
      <c r="B590" s="119" t="s">
        <v>137</v>
      </c>
      <c r="C590" s="119" t="s">
        <v>175</v>
      </c>
      <c r="D590" s="119" t="s">
        <v>154</v>
      </c>
      <c r="E590" s="119">
        <v>25</v>
      </c>
      <c r="F590" s="119" t="s">
        <v>129</v>
      </c>
      <c r="G590" s="119">
        <v>68</v>
      </c>
      <c r="I590" s="119" t="s">
        <v>120</v>
      </c>
    </row>
    <row r="591" spans="1:9">
      <c r="A591" s="119">
        <v>328</v>
      </c>
      <c r="B591" s="119" t="s">
        <v>137</v>
      </c>
      <c r="C591" s="119" t="s">
        <v>175</v>
      </c>
      <c r="D591" s="119" t="s">
        <v>154</v>
      </c>
      <c r="E591" s="119">
        <v>5</v>
      </c>
      <c r="F591" s="119" t="s">
        <v>142</v>
      </c>
      <c r="G591" s="119">
        <v>68</v>
      </c>
      <c r="I591" s="119" t="s">
        <v>120</v>
      </c>
    </row>
    <row r="592" spans="1:9">
      <c r="A592" s="119">
        <v>324</v>
      </c>
      <c r="B592" s="119" t="s">
        <v>155</v>
      </c>
      <c r="C592" s="119" t="s">
        <v>175</v>
      </c>
      <c r="D592" s="119" t="s">
        <v>154</v>
      </c>
      <c r="E592" s="119">
        <v>5</v>
      </c>
      <c r="F592" s="119" t="s">
        <v>131</v>
      </c>
      <c r="G592" s="119">
        <v>68</v>
      </c>
      <c r="I592" s="119" t="s">
        <v>120</v>
      </c>
    </row>
    <row r="593" spans="1:9">
      <c r="A593" s="119">
        <v>328</v>
      </c>
      <c r="B593" s="119" t="s">
        <v>156</v>
      </c>
      <c r="C593" s="119" t="s">
        <v>175</v>
      </c>
      <c r="D593" s="119" t="s">
        <v>154</v>
      </c>
      <c r="E593" s="119">
        <v>5</v>
      </c>
      <c r="F593" s="119" t="s">
        <v>142</v>
      </c>
      <c r="G593" s="119">
        <v>68</v>
      </c>
      <c r="I593" s="119" t="s">
        <v>120</v>
      </c>
    </row>
    <row r="594" spans="1:9">
      <c r="A594" s="119">
        <v>327</v>
      </c>
      <c r="B594" s="119" t="s">
        <v>157</v>
      </c>
      <c r="C594" s="119" t="s">
        <v>175</v>
      </c>
      <c r="D594" s="119" t="s">
        <v>154</v>
      </c>
      <c r="E594" s="119">
        <v>5</v>
      </c>
      <c r="F594" s="119" t="s">
        <v>138</v>
      </c>
      <c r="G594" s="119">
        <v>68</v>
      </c>
      <c r="I594" s="119" t="s">
        <v>120</v>
      </c>
    </row>
    <row r="595" spans="1:9">
      <c r="A595" s="119">
        <v>326</v>
      </c>
      <c r="B595" s="119" t="s">
        <v>158</v>
      </c>
      <c r="C595" s="119" t="s">
        <v>175</v>
      </c>
      <c r="D595" s="119" t="s">
        <v>154</v>
      </c>
      <c r="E595" s="119">
        <v>5</v>
      </c>
      <c r="F595" s="119" t="s">
        <v>135</v>
      </c>
      <c r="G595" s="119">
        <v>68</v>
      </c>
    </row>
    <row r="596" spans="1:9">
      <c r="A596" s="119">
        <v>311</v>
      </c>
      <c r="B596" s="119" t="s">
        <v>159</v>
      </c>
      <c r="C596" s="119" t="s">
        <v>175</v>
      </c>
      <c r="D596" s="119" t="s">
        <v>154</v>
      </c>
      <c r="E596" s="119">
        <v>150</v>
      </c>
      <c r="F596" s="119" t="s">
        <v>118</v>
      </c>
      <c r="G596" s="119">
        <v>68</v>
      </c>
      <c r="I596" s="119" t="s">
        <v>120</v>
      </c>
    </row>
    <row r="597" spans="1:9">
      <c r="A597" s="119">
        <v>315</v>
      </c>
      <c r="B597" s="119" t="s">
        <v>159</v>
      </c>
      <c r="C597" s="119" t="s">
        <v>175</v>
      </c>
      <c r="D597" s="119" t="s">
        <v>154</v>
      </c>
      <c r="E597" s="119">
        <v>100</v>
      </c>
      <c r="F597" s="119" t="s">
        <v>123</v>
      </c>
      <c r="G597" s="119">
        <v>68</v>
      </c>
      <c r="I597" s="119" t="s">
        <v>120</v>
      </c>
    </row>
    <row r="598" spans="1:9">
      <c r="A598" s="119">
        <v>319</v>
      </c>
      <c r="B598" s="119" t="s">
        <v>159</v>
      </c>
      <c r="C598" s="119" t="s">
        <v>175</v>
      </c>
      <c r="D598" s="119" t="s">
        <v>154</v>
      </c>
      <c r="E598" s="119">
        <v>50</v>
      </c>
      <c r="F598" s="119" t="s">
        <v>126</v>
      </c>
      <c r="G598" s="119">
        <v>68</v>
      </c>
      <c r="I598" s="119" t="s">
        <v>120</v>
      </c>
    </row>
    <row r="599" spans="1:9">
      <c r="A599" s="119">
        <v>321</v>
      </c>
      <c r="B599" s="119" t="s">
        <v>159</v>
      </c>
      <c r="C599" s="119" t="s">
        <v>175</v>
      </c>
      <c r="D599" s="119" t="s">
        <v>154</v>
      </c>
      <c r="E599" s="119">
        <v>25</v>
      </c>
      <c r="F599" s="119" t="s">
        <v>128</v>
      </c>
      <c r="G599" s="119">
        <v>68</v>
      </c>
      <c r="I599" s="119" t="s">
        <v>120</v>
      </c>
    </row>
    <row r="600" spans="1:9">
      <c r="A600" s="119">
        <v>327</v>
      </c>
      <c r="B600" s="119" t="s">
        <v>159</v>
      </c>
      <c r="C600" s="119" t="s">
        <v>175</v>
      </c>
      <c r="D600" s="119" t="s">
        <v>154</v>
      </c>
      <c r="E600" s="119">
        <v>5</v>
      </c>
      <c r="F600" s="119" t="s">
        <v>138</v>
      </c>
      <c r="G600" s="119">
        <v>68</v>
      </c>
      <c r="I600" s="119" t="s">
        <v>120</v>
      </c>
    </row>
    <row r="601" spans="1:9">
      <c r="A601" s="119">
        <v>314</v>
      </c>
      <c r="B601" s="119" t="s">
        <v>160</v>
      </c>
      <c r="C601" s="119" t="s">
        <v>175</v>
      </c>
      <c r="D601" s="119" t="s">
        <v>154</v>
      </c>
      <c r="E601" s="119">
        <v>100</v>
      </c>
      <c r="F601" s="119" t="s">
        <v>122</v>
      </c>
      <c r="G601" s="119">
        <v>68</v>
      </c>
      <c r="I601" s="119" t="s">
        <v>120</v>
      </c>
    </row>
    <row r="602" spans="1:9">
      <c r="A602" s="119">
        <v>318</v>
      </c>
      <c r="B602" s="119" t="s">
        <v>160</v>
      </c>
      <c r="C602" s="119" t="s">
        <v>175</v>
      </c>
      <c r="D602" s="119" t="s">
        <v>154</v>
      </c>
      <c r="E602" s="119">
        <v>50</v>
      </c>
      <c r="F602" s="119" t="s">
        <v>134</v>
      </c>
      <c r="G602" s="119">
        <v>68</v>
      </c>
      <c r="I602" s="119" t="s">
        <v>120</v>
      </c>
    </row>
    <row r="603" spans="1:9">
      <c r="A603" s="119">
        <v>323</v>
      </c>
      <c r="B603" s="119" t="s">
        <v>160</v>
      </c>
      <c r="C603" s="119" t="s">
        <v>175</v>
      </c>
      <c r="D603" s="119" t="s">
        <v>154</v>
      </c>
      <c r="E603" s="119">
        <v>25</v>
      </c>
      <c r="F603" s="119" t="s">
        <v>130</v>
      </c>
      <c r="G603" s="119">
        <v>68</v>
      </c>
      <c r="I603" s="119" t="s">
        <v>120</v>
      </c>
    </row>
    <row r="604" spans="1:9">
      <c r="A604" s="119">
        <v>325</v>
      </c>
      <c r="B604" s="119" t="s">
        <v>160</v>
      </c>
      <c r="C604" s="119" t="s">
        <v>175</v>
      </c>
      <c r="D604" s="119" t="s">
        <v>154</v>
      </c>
      <c r="E604" s="119">
        <v>5</v>
      </c>
      <c r="F604" s="119" t="s">
        <v>132</v>
      </c>
      <c r="G604" s="119">
        <v>68</v>
      </c>
      <c r="I604" s="119" t="s">
        <v>120</v>
      </c>
    </row>
    <row r="605" spans="1:9">
      <c r="A605" s="119">
        <v>329</v>
      </c>
      <c r="B605" s="119" t="s">
        <v>139</v>
      </c>
      <c r="C605" s="119" t="s">
        <v>176</v>
      </c>
      <c r="D605" s="119" t="s">
        <v>154</v>
      </c>
      <c r="E605" s="119">
        <v>300</v>
      </c>
      <c r="F605" s="119" t="s">
        <v>133</v>
      </c>
      <c r="G605" s="119">
        <v>72</v>
      </c>
    </row>
    <row r="606" spans="1:9">
      <c r="A606" s="119">
        <v>330</v>
      </c>
      <c r="B606" s="119" t="s">
        <v>139</v>
      </c>
      <c r="C606" s="119" t="s">
        <v>176</v>
      </c>
      <c r="D606" s="119" t="s">
        <v>154</v>
      </c>
      <c r="E606" s="119">
        <v>200</v>
      </c>
      <c r="F606" s="119" t="s">
        <v>117</v>
      </c>
      <c r="G606" s="119">
        <v>72</v>
      </c>
    </row>
    <row r="607" spans="1:9">
      <c r="A607" s="119">
        <v>332</v>
      </c>
      <c r="B607" s="119" t="s">
        <v>139</v>
      </c>
      <c r="C607" s="119" t="s">
        <v>176</v>
      </c>
      <c r="D607" s="119" t="s">
        <v>154</v>
      </c>
      <c r="E607" s="119">
        <v>150</v>
      </c>
      <c r="F607" s="119" t="s">
        <v>119</v>
      </c>
      <c r="G607" s="119">
        <v>72</v>
      </c>
    </row>
    <row r="608" spans="1:9">
      <c r="A608" s="119">
        <v>333</v>
      </c>
      <c r="B608" s="119" t="s">
        <v>139</v>
      </c>
      <c r="C608" s="119" t="s">
        <v>176</v>
      </c>
      <c r="D608" s="119" t="s">
        <v>154</v>
      </c>
      <c r="E608" s="119">
        <v>125</v>
      </c>
      <c r="F608" s="119" t="s">
        <v>121</v>
      </c>
      <c r="G608" s="119">
        <v>72</v>
      </c>
    </row>
    <row r="609" spans="1:9">
      <c r="A609" s="119">
        <v>336</v>
      </c>
      <c r="B609" s="119" t="s">
        <v>139</v>
      </c>
      <c r="C609" s="119" t="s">
        <v>176</v>
      </c>
      <c r="D609" s="119" t="s">
        <v>154</v>
      </c>
      <c r="E609" s="119">
        <v>100</v>
      </c>
      <c r="F609" s="119" t="s">
        <v>124</v>
      </c>
      <c r="G609" s="119">
        <v>72</v>
      </c>
    </row>
    <row r="610" spans="1:9">
      <c r="A610" s="119">
        <v>337</v>
      </c>
      <c r="B610" s="119" t="s">
        <v>139</v>
      </c>
      <c r="C610" s="119" t="s">
        <v>176</v>
      </c>
      <c r="D610" s="119" t="s">
        <v>154</v>
      </c>
      <c r="E610" s="119">
        <v>75</v>
      </c>
      <c r="F610" s="119" t="s">
        <v>125</v>
      </c>
      <c r="G610" s="119">
        <v>72</v>
      </c>
    </row>
    <row r="611" spans="1:9">
      <c r="A611" s="119">
        <v>340</v>
      </c>
      <c r="B611" s="119" t="s">
        <v>139</v>
      </c>
      <c r="C611" s="119" t="s">
        <v>176</v>
      </c>
      <c r="D611" s="119" t="s">
        <v>154</v>
      </c>
      <c r="E611" s="119">
        <v>50</v>
      </c>
      <c r="F611" s="119" t="s">
        <v>127</v>
      </c>
      <c r="G611" s="119">
        <v>72</v>
      </c>
    </row>
    <row r="612" spans="1:9">
      <c r="A612" s="119">
        <v>342</v>
      </c>
      <c r="B612" s="119" t="s">
        <v>139</v>
      </c>
      <c r="C612" s="119" t="s">
        <v>176</v>
      </c>
      <c r="D612" s="119" t="s">
        <v>154</v>
      </c>
      <c r="E612" s="119">
        <v>25</v>
      </c>
      <c r="F612" s="119" t="s">
        <v>129</v>
      </c>
      <c r="G612" s="119">
        <v>72</v>
      </c>
      <c r="I612" s="119" t="s">
        <v>120</v>
      </c>
    </row>
    <row r="613" spans="1:9">
      <c r="A613" s="119">
        <v>348</v>
      </c>
      <c r="B613" s="119" t="s">
        <v>139</v>
      </c>
      <c r="C613" s="119" t="s">
        <v>176</v>
      </c>
      <c r="D613" s="119" t="s">
        <v>154</v>
      </c>
      <c r="E613" s="119">
        <v>5</v>
      </c>
      <c r="F613" s="119" t="s">
        <v>142</v>
      </c>
      <c r="G613" s="119">
        <v>72</v>
      </c>
    </row>
    <row r="614" spans="1:9">
      <c r="A614" s="119">
        <v>332</v>
      </c>
      <c r="B614" s="119" t="s">
        <v>136</v>
      </c>
      <c r="C614" s="119" t="s">
        <v>176</v>
      </c>
      <c r="D614" s="119" t="s">
        <v>154</v>
      </c>
      <c r="E614" s="119">
        <v>150</v>
      </c>
      <c r="F614" s="119" t="s">
        <v>119</v>
      </c>
      <c r="G614" s="119">
        <v>72</v>
      </c>
      <c r="I614" s="119" t="s">
        <v>120</v>
      </c>
    </row>
    <row r="615" spans="1:9">
      <c r="A615" s="119">
        <v>336</v>
      </c>
      <c r="B615" s="119" t="s">
        <v>136</v>
      </c>
      <c r="C615" s="119" t="s">
        <v>176</v>
      </c>
      <c r="D615" s="119" t="s">
        <v>154</v>
      </c>
      <c r="E615" s="119">
        <v>100</v>
      </c>
      <c r="F615" s="119" t="s">
        <v>124</v>
      </c>
      <c r="G615" s="119">
        <v>72</v>
      </c>
      <c r="I615" s="119" t="s">
        <v>120</v>
      </c>
    </row>
    <row r="616" spans="1:9">
      <c r="A616" s="119">
        <v>337</v>
      </c>
      <c r="B616" s="119" t="s">
        <v>136</v>
      </c>
      <c r="C616" s="119" t="s">
        <v>176</v>
      </c>
      <c r="D616" s="119" t="s">
        <v>154</v>
      </c>
      <c r="E616" s="119">
        <v>75</v>
      </c>
      <c r="F616" s="119" t="s">
        <v>125</v>
      </c>
      <c r="G616" s="119">
        <v>72</v>
      </c>
      <c r="I616" s="119" t="s">
        <v>120</v>
      </c>
    </row>
    <row r="617" spans="1:9">
      <c r="A617" s="119">
        <v>340</v>
      </c>
      <c r="B617" s="119" t="s">
        <v>136</v>
      </c>
      <c r="C617" s="119" t="s">
        <v>176</v>
      </c>
      <c r="D617" s="119" t="s">
        <v>154</v>
      </c>
      <c r="E617" s="119">
        <v>50</v>
      </c>
      <c r="F617" s="119" t="s">
        <v>127</v>
      </c>
      <c r="G617" s="119">
        <v>72</v>
      </c>
      <c r="I617" s="119" t="s">
        <v>120</v>
      </c>
    </row>
    <row r="618" spans="1:9">
      <c r="A618" s="119">
        <v>342</v>
      </c>
      <c r="B618" s="119" t="s">
        <v>136</v>
      </c>
      <c r="C618" s="119" t="s">
        <v>176</v>
      </c>
      <c r="D618" s="119" t="s">
        <v>154</v>
      </c>
      <c r="E618" s="119">
        <v>25</v>
      </c>
      <c r="F618" s="119" t="s">
        <v>129</v>
      </c>
      <c r="G618" s="119">
        <v>72</v>
      </c>
      <c r="I618" s="119" t="s">
        <v>120</v>
      </c>
    </row>
    <row r="619" spans="1:9">
      <c r="A619" s="119">
        <v>348</v>
      </c>
      <c r="B619" s="119" t="s">
        <v>136</v>
      </c>
      <c r="C619" s="119" t="s">
        <v>176</v>
      </c>
      <c r="D619" s="119" t="s">
        <v>154</v>
      </c>
      <c r="E619" s="119">
        <v>5</v>
      </c>
      <c r="F619" s="119" t="s">
        <v>142</v>
      </c>
      <c r="G619" s="119">
        <v>72</v>
      </c>
      <c r="I619" s="119" t="s">
        <v>120</v>
      </c>
    </row>
    <row r="620" spans="1:9">
      <c r="A620" s="119">
        <v>340</v>
      </c>
      <c r="B620" s="119" t="s">
        <v>137</v>
      </c>
      <c r="C620" s="119" t="s">
        <v>176</v>
      </c>
      <c r="D620" s="119" t="s">
        <v>154</v>
      </c>
      <c r="E620" s="119">
        <v>50</v>
      </c>
      <c r="F620" s="119" t="s">
        <v>127</v>
      </c>
      <c r="G620" s="119">
        <v>72</v>
      </c>
      <c r="I620" s="119" t="s">
        <v>120</v>
      </c>
    </row>
    <row r="621" spans="1:9">
      <c r="A621" s="119">
        <v>342</v>
      </c>
      <c r="B621" s="119" t="s">
        <v>137</v>
      </c>
      <c r="C621" s="119" t="s">
        <v>176</v>
      </c>
      <c r="D621" s="119" t="s">
        <v>154</v>
      </c>
      <c r="E621" s="119">
        <v>25</v>
      </c>
      <c r="F621" s="119" t="s">
        <v>129</v>
      </c>
      <c r="G621" s="119">
        <v>72</v>
      </c>
      <c r="I621" s="119" t="s">
        <v>120</v>
      </c>
    </row>
    <row r="622" spans="1:9">
      <c r="A622" s="119">
        <v>348</v>
      </c>
      <c r="B622" s="119" t="s">
        <v>137</v>
      </c>
      <c r="C622" s="119" t="s">
        <v>176</v>
      </c>
      <c r="D622" s="119" t="s">
        <v>154</v>
      </c>
      <c r="E622" s="119">
        <v>5</v>
      </c>
      <c r="F622" s="119" t="s">
        <v>142</v>
      </c>
      <c r="G622" s="119">
        <v>72</v>
      </c>
      <c r="I622" s="119" t="s">
        <v>120</v>
      </c>
    </row>
    <row r="623" spans="1:9">
      <c r="A623" s="119">
        <v>344</v>
      </c>
      <c r="B623" s="119" t="s">
        <v>155</v>
      </c>
      <c r="C623" s="119" t="s">
        <v>176</v>
      </c>
      <c r="D623" s="119" t="s">
        <v>154</v>
      </c>
      <c r="E623" s="119">
        <v>5</v>
      </c>
      <c r="F623" s="119" t="s">
        <v>131</v>
      </c>
      <c r="G623" s="119">
        <v>72</v>
      </c>
      <c r="I623" s="119" t="s">
        <v>120</v>
      </c>
    </row>
    <row r="624" spans="1:9">
      <c r="A624" s="119">
        <v>348</v>
      </c>
      <c r="B624" s="119" t="s">
        <v>156</v>
      </c>
      <c r="C624" s="119" t="s">
        <v>176</v>
      </c>
      <c r="D624" s="119" t="s">
        <v>154</v>
      </c>
      <c r="E624" s="119">
        <v>5</v>
      </c>
      <c r="F624" s="119" t="s">
        <v>142</v>
      </c>
      <c r="G624" s="119">
        <v>72</v>
      </c>
      <c r="I624" s="119" t="s">
        <v>120</v>
      </c>
    </row>
    <row r="625" spans="1:9">
      <c r="A625" s="119">
        <v>347</v>
      </c>
      <c r="B625" s="119" t="s">
        <v>157</v>
      </c>
      <c r="C625" s="119" t="s">
        <v>176</v>
      </c>
      <c r="D625" s="119" t="s">
        <v>154</v>
      </c>
      <c r="E625" s="119">
        <v>5</v>
      </c>
      <c r="F625" s="119" t="s">
        <v>138</v>
      </c>
      <c r="G625" s="119">
        <v>72</v>
      </c>
      <c r="I625" s="119" t="s">
        <v>120</v>
      </c>
    </row>
    <row r="626" spans="1:9">
      <c r="A626" s="119">
        <v>346</v>
      </c>
      <c r="B626" s="119" t="s">
        <v>158</v>
      </c>
      <c r="C626" s="119" t="s">
        <v>176</v>
      </c>
      <c r="D626" s="119" t="s">
        <v>154</v>
      </c>
      <c r="E626" s="119">
        <v>5</v>
      </c>
      <c r="F626" s="119" t="s">
        <v>135</v>
      </c>
      <c r="G626" s="119">
        <v>72</v>
      </c>
    </row>
    <row r="627" spans="1:9">
      <c r="A627" s="119">
        <v>331</v>
      </c>
      <c r="B627" s="119" t="s">
        <v>159</v>
      </c>
      <c r="C627" s="119" t="s">
        <v>176</v>
      </c>
      <c r="D627" s="119" t="s">
        <v>154</v>
      </c>
      <c r="E627" s="119">
        <v>150</v>
      </c>
      <c r="F627" s="119" t="s">
        <v>118</v>
      </c>
      <c r="G627" s="119">
        <v>72</v>
      </c>
      <c r="I627" s="119" t="s">
        <v>120</v>
      </c>
    </row>
    <row r="628" spans="1:9">
      <c r="A628" s="119">
        <v>335</v>
      </c>
      <c r="B628" s="119" t="s">
        <v>159</v>
      </c>
      <c r="C628" s="119" t="s">
        <v>176</v>
      </c>
      <c r="D628" s="119" t="s">
        <v>154</v>
      </c>
      <c r="E628" s="119">
        <v>100</v>
      </c>
      <c r="F628" s="119" t="s">
        <v>123</v>
      </c>
      <c r="G628" s="119">
        <v>72</v>
      </c>
      <c r="I628" s="119" t="s">
        <v>120</v>
      </c>
    </row>
    <row r="629" spans="1:9">
      <c r="A629" s="119">
        <v>339</v>
      </c>
      <c r="B629" s="119" t="s">
        <v>159</v>
      </c>
      <c r="C629" s="119" t="s">
        <v>176</v>
      </c>
      <c r="D629" s="119" t="s">
        <v>154</v>
      </c>
      <c r="E629" s="119">
        <v>50</v>
      </c>
      <c r="F629" s="119" t="s">
        <v>126</v>
      </c>
      <c r="G629" s="119">
        <v>72</v>
      </c>
      <c r="I629" s="119" t="s">
        <v>120</v>
      </c>
    </row>
    <row r="630" spans="1:9">
      <c r="A630" s="119">
        <v>341</v>
      </c>
      <c r="B630" s="119" t="s">
        <v>159</v>
      </c>
      <c r="C630" s="119" t="s">
        <v>176</v>
      </c>
      <c r="D630" s="119" t="s">
        <v>154</v>
      </c>
      <c r="E630" s="119">
        <v>25</v>
      </c>
      <c r="F630" s="119" t="s">
        <v>128</v>
      </c>
      <c r="G630" s="119">
        <v>72</v>
      </c>
      <c r="I630" s="119" t="s">
        <v>120</v>
      </c>
    </row>
    <row r="631" spans="1:9">
      <c r="A631" s="119">
        <v>347</v>
      </c>
      <c r="B631" s="119" t="s">
        <v>159</v>
      </c>
      <c r="C631" s="119" t="s">
        <v>176</v>
      </c>
      <c r="D631" s="119" t="s">
        <v>154</v>
      </c>
      <c r="E631" s="119">
        <v>5</v>
      </c>
      <c r="F631" s="119" t="s">
        <v>138</v>
      </c>
      <c r="G631" s="119">
        <v>72</v>
      </c>
      <c r="I631" s="119" t="s">
        <v>120</v>
      </c>
    </row>
    <row r="632" spans="1:9">
      <c r="A632" s="119">
        <v>334</v>
      </c>
      <c r="B632" s="119" t="s">
        <v>160</v>
      </c>
      <c r="C632" s="119" t="s">
        <v>176</v>
      </c>
      <c r="D632" s="119" t="s">
        <v>154</v>
      </c>
      <c r="E632" s="119">
        <v>100</v>
      </c>
      <c r="F632" s="119" t="s">
        <v>122</v>
      </c>
      <c r="G632" s="119">
        <v>72</v>
      </c>
      <c r="I632" s="119" t="s">
        <v>120</v>
      </c>
    </row>
    <row r="633" spans="1:9">
      <c r="A633" s="119">
        <v>338</v>
      </c>
      <c r="B633" s="119" t="s">
        <v>160</v>
      </c>
      <c r="C633" s="119" t="s">
        <v>176</v>
      </c>
      <c r="D633" s="119" t="s">
        <v>154</v>
      </c>
      <c r="E633" s="119">
        <v>50</v>
      </c>
      <c r="F633" s="119" t="s">
        <v>134</v>
      </c>
      <c r="G633" s="119">
        <v>72</v>
      </c>
      <c r="I633" s="119" t="s">
        <v>120</v>
      </c>
    </row>
    <row r="634" spans="1:9">
      <c r="A634" s="119">
        <v>343</v>
      </c>
      <c r="B634" s="119" t="s">
        <v>160</v>
      </c>
      <c r="C634" s="119" t="s">
        <v>176</v>
      </c>
      <c r="D634" s="119" t="s">
        <v>154</v>
      </c>
      <c r="E634" s="119">
        <v>25</v>
      </c>
      <c r="F634" s="119" t="s">
        <v>130</v>
      </c>
      <c r="G634" s="119">
        <v>72</v>
      </c>
      <c r="I634" s="119" t="s">
        <v>120</v>
      </c>
    </row>
    <row r="635" spans="1:9">
      <c r="A635" s="119">
        <v>345</v>
      </c>
      <c r="B635" s="119" t="s">
        <v>160</v>
      </c>
      <c r="C635" s="119" t="s">
        <v>176</v>
      </c>
      <c r="D635" s="119" t="s">
        <v>154</v>
      </c>
      <c r="E635" s="119">
        <v>5</v>
      </c>
      <c r="F635" s="119" t="s">
        <v>132</v>
      </c>
      <c r="G635" s="119">
        <v>72</v>
      </c>
      <c r="I635" s="119" t="s">
        <v>120</v>
      </c>
    </row>
    <row r="636" spans="1:9">
      <c r="A636" s="119">
        <v>349</v>
      </c>
      <c r="B636" s="119" t="s">
        <v>116</v>
      </c>
      <c r="C636" s="119" t="s">
        <v>177</v>
      </c>
      <c r="D636" s="119" t="s">
        <v>154</v>
      </c>
      <c r="E636" s="119">
        <v>300</v>
      </c>
      <c r="F636" s="119" t="s">
        <v>133</v>
      </c>
      <c r="G636" s="119">
        <v>76</v>
      </c>
    </row>
    <row r="637" spans="1:9">
      <c r="A637" s="119">
        <v>350</v>
      </c>
      <c r="B637" s="119" t="s">
        <v>116</v>
      </c>
      <c r="C637" s="119" t="s">
        <v>177</v>
      </c>
      <c r="D637" s="119" t="s">
        <v>154</v>
      </c>
      <c r="E637" s="119">
        <v>200</v>
      </c>
      <c r="F637" s="119" t="s">
        <v>117</v>
      </c>
      <c r="G637" s="119">
        <v>76</v>
      </c>
      <c r="I637" s="119" t="s">
        <v>120</v>
      </c>
    </row>
    <row r="638" spans="1:9">
      <c r="A638" s="119">
        <v>352</v>
      </c>
      <c r="B638" s="119" t="s">
        <v>116</v>
      </c>
      <c r="C638" s="119" t="s">
        <v>177</v>
      </c>
      <c r="D638" s="119" t="s">
        <v>154</v>
      </c>
      <c r="E638" s="119">
        <v>150</v>
      </c>
      <c r="F638" s="119" t="s">
        <v>119</v>
      </c>
      <c r="G638" s="119">
        <v>76</v>
      </c>
    </row>
    <row r="639" spans="1:9">
      <c r="A639" s="119">
        <v>356</v>
      </c>
      <c r="B639" s="119" t="s">
        <v>116</v>
      </c>
      <c r="C639" s="119" t="s">
        <v>177</v>
      </c>
      <c r="D639" s="119" t="s">
        <v>154</v>
      </c>
      <c r="E639" s="119">
        <v>100</v>
      </c>
      <c r="F639" s="119" t="s">
        <v>124</v>
      </c>
      <c r="G639" s="119">
        <v>76</v>
      </c>
    </row>
    <row r="640" spans="1:9">
      <c r="A640" s="119">
        <v>357</v>
      </c>
      <c r="B640" s="119" t="s">
        <v>116</v>
      </c>
      <c r="C640" s="119" t="s">
        <v>177</v>
      </c>
      <c r="D640" s="119" t="s">
        <v>154</v>
      </c>
      <c r="E640" s="119">
        <v>75</v>
      </c>
      <c r="F640" s="119" t="s">
        <v>125</v>
      </c>
      <c r="G640" s="119">
        <v>76</v>
      </c>
    </row>
    <row r="641" spans="1:9">
      <c r="A641" s="119">
        <v>360</v>
      </c>
      <c r="B641" s="119" t="s">
        <v>116</v>
      </c>
      <c r="C641" s="119" t="s">
        <v>177</v>
      </c>
      <c r="D641" s="119" t="s">
        <v>154</v>
      </c>
      <c r="E641" s="119">
        <v>50</v>
      </c>
      <c r="F641" s="119" t="s">
        <v>127</v>
      </c>
      <c r="G641" s="119">
        <v>76</v>
      </c>
    </row>
    <row r="642" spans="1:9">
      <c r="A642" s="119">
        <v>362</v>
      </c>
      <c r="B642" s="119" t="s">
        <v>116</v>
      </c>
      <c r="C642" s="119" t="s">
        <v>177</v>
      </c>
      <c r="D642" s="119" t="s">
        <v>154</v>
      </c>
      <c r="E642" s="119">
        <v>25</v>
      </c>
      <c r="F642" s="119" t="s">
        <v>129</v>
      </c>
      <c r="G642" s="119">
        <v>76</v>
      </c>
      <c r="I642" s="119" t="s">
        <v>120</v>
      </c>
    </row>
    <row r="643" spans="1:9">
      <c r="A643" s="119">
        <v>367</v>
      </c>
      <c r="B643" s="119" t="s">
        <v>116</v>
      </c>
      <c r="C643" s="119" t="s">
        <v>177</v>
      </c>
      <c r="D643" s="119" t="s">
        <v>154</v>
      </c>
      <c r="E643" s="119">
        <v>5</v>
      </c>
      <c r="F643" s="119" t="s">
        <v>138</v>
      </c>
      <c r="G643" s="119">
        <v>76</v>
      </c>
    </row>
    <row r="644" spans="1:9">
      <c r="A644" s="119">
        <v>349</v>
      </c>
      <c r="B644" s="119" t="s">
        <v>139</v>
      </c>
      <c r="C644" s="119" t="s">
        <v>177</v>
      </c>
      <c r="D644" s="119" t="s">
        <v>154</v>
      </c>
      <c r="E644" s="119">
        <v>300</v>
      </c>
      <c r="F644" s="119" t="s">
        <v>133</v>
      </c>
      <c r="G644" s="119">
        <v>76</v>
      </c>
    </row>
    <row r="645" spans="1:9">
      <c r="A645" s="119">
        <v>350</v>
      </c>
      <c r="B645" s="119" t="s">
        <v>139</v>
      </c>
      <c r="C645" s="119" t="s">
        <v>177</v>
      </c>
      <c r="D645" s="119" t="s">
        <v>154</v>
      </c>
      <c r="E645" s="119">
        <v>200</v>
      </c>
      <c r="F645" s="119" t="s">
        <v>117</v>
      </c>
      <c r="G645" s="119">
        <v>76</v>
      </c>
    </row>
    <row r="646" spans="1:9">
      <c r="A646" s="119">
        <v>352</v>
      </c>
      <c r="B646" s="119" t="s">
        <v>139</v>
      </c>
      <c r="C646" s="119" t="s">
        <v>177</v>
      </c>
      <c r="D646" s="119" t="s">
        <v>154</v>
      </c>
      <c r="E646" s="119">
        <v>150</v>
      </c>
      <c r="F646" s="119" t="s">
        <v>119</v>
      </c>
      <c r="G646" s="119">
        <v>76</v>
      </c>
    </row>
    <row r="647" spans="1:9">
      <c r="A647" s="119">
        <v>353</v>
      </c>
      <c r="B647" s="119" t="s">
        <v>139</v>
      </c>
      <c r="C647" s="119" t="s">
        <v>177</v>
      </c>
      <c r="D647" s="119" t="s">
        <v>154</v>
      </c>
      <c r="E647" s="119">
        <v>125</v>
      </c>
      <c r="F647" s="119" t="s">
        <v>121</v>
      </c>
      <c r="G647" s="119">
        <v>76</v>
      </c>
      <c r="I647" s="119" t="s">
        <v>120</v>
      </c>
    </row>
    <row r="648" spans="1:9">
      <c r="A648" s="119">
        <v>356</v>
      </c>
      <c r="B648" s="119" t="s">
        <v>139</v>
      </c>
      <c r="C648" s="119" t="s">
        <v>177</v>
      </c>
      <c r="D648" s="119" t="s">
        <v>154</v>
      </c>
      <c r="E648" s="119">
        <v>100</v>
      </c>
      <c r="F648" s="119" t="s">
        <v>124</v>
      </c>
      <c r="G648" s="119">
        <v>76</v>
      </c>
    </row>
    <row r="649" spans="1:9">
      <c r="A649" s="119">
        <v>357</v>
      </c>
      <c r="B649" s="119" t="s">
        <v>139</v>
      </c>
      <c r="C649" s="119" t="s">
        <v>177</v>
      </c>
      <c r="D649" s="119" t="s">
        <v>154</v>
      </c>
      <c r="E649" s="119">
        <v>75</v>
      </c>
      <c r="F649" s="119" t="s">
        <v>125</v>
      </c>
      <c r="G649" s="119">
        <v>76</v>
      </c>
    </row>
    <row r="650" spans="1:9">
      <c r="A650" s="119">
        <v>360</v>
      </c>
      <c r="B650" s="119" t="s">
        <v>139</v>
      </c>
      <c r="C650" s="119" t="s">
        <v>177</v>
      </c>
      <c r="D650" s="119" t="s">
        <v>154</v>
      </c>
      <c r="E650" s="119">
        <v>50</v>
      </c>
      <c r="F650" s="119" t="s">
        <v>127</v>
      </c>
      <c r="G650" s="119">
        <v>76</v>
      </c>
    </row>
    <row r="651" spans="1:9">
      <c r="A651" s="119">
        <v>362</v>
      </c>
      <c r="B651" s="119" t="s">
        <v>139</v>
      </c>
      <c r="C651" s="119" t="s">
        <v>177</v>
      </c>
      <c r="D651" s="119" t="s">
        <v>154</v>
      </c>
      <c r="E651" s="119">
        <v>25</v>
      </c>
      <c r="F651" s="119" t="s">
        <v>129</v>
      </c>
      <c r="G651" s="119">
        <v>76</v>
      </c>
    </row>
    <row r="652" spans="1:9">
      <c r="A652" s="119">
        <v>368</v>
      </c>
      <c r="B652" s="119" t="s">
        <v>139</v>
      </c>
      <c r="C652" s="119" t="s">
        <v>177</v>
      </c>
      <c r="D652" s="119" t="s">
        <v>154</v>
      </c>
      <c r="E652" s="119">
        <v>5</v>
      </c>
      <c r="F652" s="119" t="s">
        <v>142</v>
      </c>
      <c r="G652" s="119">
        <v>76</v>
      </c>
    </row>
    <row r="653" spans="1:9">
      <c r="A653" s="119">
        <v>352</v>
      </c>
      <c r="B653" s="119" t="s">
        <v>136</v>
      </c>
      <c r="C653" s="119" t="s">
        <v>177</v>
      </c>
      <c r="D653" s="119" t="s">
        <v>154</v>
      </c>
      <c r="E653" s="119">
        <v>150</v>
      </c>
      <c r="F653" s="119" t="s">
        <v>119</v>
      </c>
      <c r="G653" s="119">
        <v>76</v>
      </c>
      <c r="I653" s="119" t="s">
        <v>120</v>
      </c>
    </row>
    <row r="654" spans="1:9">
      <c r="A654" s="119">
        <v>356</v>
      </c>
      <c r="B654" s="119" t="s">
        <v>136</v>
      </c>
      <c r="C654" s="119" t="s">
        <v>177</v>
      </c>
      <c r="D654" s="119" t="s">
        <v>154</v>
      </c>
      <c r="E654" s="119">
        <v>100</v>
      </c>
      <c r="F654" s="119" t="s">
        <v>124</v>
      </c>
      <c r="G654" s="119">
        <v>76</v>
      </c>
      <c r="I654" s="119" t="s">
        <v>120</v>
      </c>
    </row>
    <row r="655" spans="1:9">
      <c r="A655" s="119">
        <v>357</v>
      </c>
      <c r="B655" s="119" t="s">
        <v>136</v>
      </c>
      <c r="C655" s="119" t="s">
        <v>177</v>
      </c>
      <c r="D655" s="119" t="s">
        <v>154</v>
      </c>
      <c r="E655" s="119">
        <v>75</v>
      </c>
      <c r="F655" s="119" t="s">
        <v>125</v>
      </c>
      <c r="G655" s="119">
        <v>76</v>
      </c>
      <c r="I655" s="119" t="s">
        <v>120</v>
      </c>
    </row>
    <row r="656" spans="1:9">
      <c r="A656" s="119">
        <v>360</v>
      </c>
      <c r="B656" s="119" t="s">
        <v>136</v>
      </c>
      <c r="C656" s="119" t="s">
        <v>177</v>
      </c>
      <c r="D656" s="119" t="s">
        <v>154</v>
      </c>
      <c r="E656" s="119">
        <v>50</v>
      </c>
      <c r="F656" s="119" t="s">
        <v>127</v>
      </c>
      <c r="G656" s="119">
        <v>76</v>
      </c>
      <c r="I656" s="119" t="s">
        <v>120</v>
      </c>
    </row>
    <row r="657" spans="1:9">
      <c r="A657" s="119">
        <v>362</v>
      </c>
      <c r="B657" s="119" t="s">
        <v>136</v>
      </c>
      <c r="C657" s="119" t="s">
        <v>177</v>
      </c>
      <c r="D657" s="119" t="s">
        <v>154</v>
      </c>
      <c r="E657" s="119">
        <v>25</v>
      </c>
      <c r="F657" s="119" t="s">
        <v>129</v>
      </c>
      <c r="G657" s="119">
        <v>76</v>
      </c>
      <c r="I657" s="119" t="s">
        <v>120</v>
      </c>
    </row>
    <row r="658" spans="1:9">
      <c r="A658" s="119">
        <v>368</v>
      </c>
      <c r="B658" s="119" t="s">
        <v>136</v>
      </c>
      <c r="C658" s="119" t="s">
        <v>177</v>
      </c>
      <c r="D658" s="119" t="s">
        <v>154</v>
      </c>
      <c r="E658" s="119">
        <v>5</v>
      </c>
      <c r="F658" s="119" t="s">
        <v>142</v>
      </c>
      <c r="G658" s="119">
        <v>76</v>
      </c>
      <c r="I658" s="119" t="s">
        <v>120</v>
      </c>
    </row>
    <row r="659" spans="1:9">
      <c r="A659" s="119">
        <v>360</v>
      </c>
      <c r="B659" s="119" t="s">
        <v>137</v>
      </c>
      <c r="C659" s="119" t="s">
        <v>177</v>
      </c>
      <c r="D659" s="119" t="s">
        <v>154</v>
      </c>
      <c r="E659" s="119">
        <v>50</v>
      </c>
      <c r="F659" s="119" t="s">
        <v>127</v>
      </c>
      <c r="G659" s="119">
        <v>76</v>
      </c>
      <c r="I659" s="119" t="s">
        <v>120</v>
      </c>
    </row>
    <row r="660" spans="1:9">
      <c r="A660" s="119">
        <v>362</v>
      </c>
      <c r="B660" s="119" t="s">
        <v>137</v>
      </c>
      <c r="C660" s="119" t="s">
        <v>177</v>
      </c>
      <c r="D660" s="119" t="s">
        <v>154</v>
      </c>
      <c r="E660" s="119">
        <v>25</v>
      </c>
      <c r="F660" s="119" t="s">
        <v>129</v>
      </c>
      <c r="G660" s="119">
        <v>76</v>
      </c>
      <c r="I660" s="119" t="s">
        <v>120</v>
      </c>
    </row>
    <row r="661" spans="1:9">
      <c r="A661" s="119">
        <v>368</v>
      </c>
      <c r="B661" s="119" t="s">
        <v>137</v>
      </c>
      <c r="C661" s="119" t="s">
        <v>177</v>
      </c>
      <c r="D661" s="119" t="s">
        <v>154</v>
      </c>
      <c r="E661" s="119">
        <v>5</v>
      </c>
      <c r="F661" s="119" t="s">
        <v>142</v>
      </c>
      <c r="G661" s="119">
        <v>76</v>
      </c>
      <c r="I661" s="119" t="s">
        <v>120</v>
      </c>
    </row>
    <row r="662" spans="1:9">
      <c r="A662" s="119">
        <v>364</v>
      </c>
      <c r="B662" s="119" t="s">
        <v>155</v>
      </c>
      <c r="C662" s="119" t="s">
        <v>177</v>
      </c>
      <c r="D662" s="119" t="s">
        <v>154</v>
      </c>
      <c r="E662" s="119">
        <v>5</v>
      </c>
      <c r="F662" s="119" t="s">
        <v>131</v>
      </c>
      <c r="G662" s="119">
        <v>76</v>
      </c>
      <c r="I662" s="119" t="s">
        <v>120</v>
      </c>
    </row>
    <row r="663" spans="1:9">
      <c r="A663" s="119">
        <v>368</v>
      </c>
      <c r="B663" s="119" t="s">
        <v>156</v>
      </c>
      <c r="C663" s="119" t="s">
        <v>177</v>
      </c>
      <c r="D663" s="119" t="s">
        <v>154</v>
      </c>
      <c r="E663" s="119">
        <v>5</v>
      </c>
      <c r="F663" s="119" t="s">
        <v>142</v>
      </c>
      <c r="G663" s="119">
        <v>76</v>
      </c>
      <c r="I663" s="119" t="s">
        <v>120</v>
      </c>
    </row>
    <row r="664" spans="1:9">
      <c r="A664" s="119">
        <v>367</v>
      </c>
      <c r="B664" s="119" t="s">
        <v>157</v>
      </c>
      <c r="C664" s="119" t="s">
        <v>177</v>
      </c>
      <c r="D664" s="119" t="s">
        <v>154</v>
      </c>
      <c r="E664" s="119">
        <v>5</v>
      </c>
      <c r="F664" s="119" t="s">
        <v>138</v>
      </c>
      <c r="G664" s="119">
        <v>76</v>
      </c>
      <c r="I664" s="119" t="s">
        <v>120</v>
      </c>
    </row>
    <row r="665" spans="1:9">
      <c r="A665" s="119">
        <v>366</v>
      </c>
      <c r="B665" s="119" t="s">
        <v>158</v>
      </c>
      <c r="C665" s="119" t="s">
        <v>177</v>
      </c>
      <c r="D665" s="119" t="s">
        <v>154</v>
      </c>
      <c r="E665" s="119">
        <v>5</v>
      </c>
      <c r="F665" s="119" t="s">
        <v>135</v>
      </c>
      <c r="G665" s="119">
        <v>76</v>
      </c>
    </row>
    <row r="666" spans="1:9">
      <c r="A666" s="119">
        <v>354</v>
      </c>
      <c r="B666" s="119" t="s">
        <v>160</v>
      </c>
      <c r="C666" s="119" t="s">
        <v>177</v>
      </c>
      <c r="D666" s="119" t="s">
        <v>154</v>
      </c>
      <c r="E666" s="119">
        <v>100</v>
      </c>
      <c r="F666" s="119" t="s">
        <v>122</v>
      </c>
      <c r="G666" s="119">
        <v>76</v>
      </c>
      <c r="I666" s="119" t="s">
        <v>120</v>
      </c>
    </row>
    <row r="667" spans="1:9">
      <c r="A667" s="119">
        <v>358</v>
      </c>
      <c r="B667" s="119" t="s">
        <v>160</v>
      </c>
      <c r="C667" s="119" t="s">
        <v>177</v>
      </c>
      <c r="D667" s="119" t="s">
        <v>154</v>
      </c>
      <c r="E667" s="119">
        <v>50</v>
      </c>
      <c r="F667" s="119" t="s">
        <v>134</v>
      </c>
      <c r="G667" s="119">
        <v>76</v>
      </c>
      <c r="I667" s="119" t="s">
        <v>120</v>
      </c>
    </row>
    <row r="668" spans="1:9">
      <c r="A668" s="119">
        <v>363</v>
      </c>
      <c r="B668" s="119" t="s">
        <v>160</v>
      </c>
      <c r="C668" s="119" t="s">
        <v>177</v>
      </c>
      <c r="D668" s="119" t="s">
        <v>154</v>
      </c>
      <c r="E668" s="119">
        <v>25</v>
      </c>
      <c r="F668" s="119" t="s">
        <v>130</v>
      </c>
      <c r="G668" s="119">
        <v>76</v>
      </c>
      <c r="I668" s="119" t="s">
        <v>120</v>
      </c>
    </row>
    <row r="669" spans="1:9">
      <c r="A669" s="119">
        <v>365</v>
      </c>
      <c r="B669" s="119" t="s">
        <v>160</v>
      </c>
      <c r="C669" s="119" t="s">
        <v>177</v>
      </c>
      <c r="D669" s="119" t="s">
        <v>154</v>
      </c>
      <c r="E669" s="119">
        <v>5</v>
      </c>
      <c r="F669" s="119" t="s">
        <v>132</v>
      </c>
      <c r="G669" s="119">
        <v>76</v>
      </c>
      <c r="I669" s="119" t="s">
        <v>120</v>
      </c>
    </row>
    <row r="670" spans="1:9">
      <c r="A670" s="119">
        <v>369</v>
      </c>
      <c r="B670" s="119" t="s">
        <v>139</v>
      </c>
      <c r="C670" s="119" t="s">
        <v>178</v>
      </c>
      <c r="D670" s="119" t="s">
        <v>154</v>
      </c>
      <c r="E670" s="119">
        <v>300</v>
      </c>
      <c r="F670" s="119" t="s">
        <v>133</v>
      </c>
      <c r="G670" s="119">
        <v>80</v>
      </c>
    </row>
    <row r="671" spans="1:9">
      <c r="A671" s="119">
        <v>370</v>
      </c>
      <c r="B671" s="119" t="s">
        <v>139</v>
      </c>
      <c r="C671" s="119" t="s">
        <v>178</v>
      </c>
      <c r="D671" s="119" t="s">
        <v>154</v>
      </c>
      <c r="E671" s="119">
        <v>200</v>
      </c>
      <c r="F671" s="119" t="s">
        <v>117</v>
      </c>
      <c r="G671" s="119">
        <v>80</v>
      </c>
    </row>
    <row r="672" spans="1:9">
      <c r="A672" s="119">
        <v>372</v>
      </c>
      <c r="B672" s="119" t="s">
        <v>139</v>
      </c>
      <c r="C672" s="119" t="s">
        <v>178</v>
      </c>
      <c r="D672" s="119" t="s">
        <v>154</v>
      </c>
      <c r="E672" s="119">
        <v>150</v>
      </c>
      <c r="F672" s="119" t="s">
        <v>119</v>
      </c>
      <c r="G672" s="119">
        <v>80</v>
      </c>
    </row>
    <row r="673" spans="1:9">
      <c r="A673" s="119">
        <v>373</v>
      </c>
      <c r="B673" s="119" t="s">
        <v>139</v>
      </c>
      <c r="C673" s="119" t="s">
        <v>178</v>
      </c>
      <c r="D673" s="119" t="s">
        <v>154</v>
      </c>
      <c r="E673" s="119">
        <v>125</v>
      </c>
      <c r="F673" s="119" t="s">
        <v>121</v>
      </c>
      <c r="G673" s="119">
        <v>80</v>
      </c>
    </row>
    <row r="674" spans="1:9">
      <c r="A674" s="119">
        <v>376</v>
      </c>
      <c r="B674" s="119" t="s">
        <v>139</v>
      </c>
      <c r="C674" s="119" t="s">
        <v>178</v>
      </c>
      <c r="D674" s="119" t="s">
        <v>154</v>
      </c>
      <c r="E674" s="119">
        <v>100</v>
      </c>
      <c r="F674" s="119" t="s">
        <v>124</v>
      </c>
      <c r="G674" s="119">
        <v>80</v>
      </c>
      <c r="I674" s="119" t="s">
        <v>120</v>
      </c>
    </row>
    <row r="675" spans="1:9">
      <c r="A675" s="119">
        <v>377</v>
      </c>
      <c r="B675" s="119" t="s">
        <v>139</v>
      </c>
      <c r="C675" s="119" t="s">
        <v>178</v>
      </c>
      <c r="D675" s="119" t="s">
        <v>154</v>
      </c>
      <c r="E675" s="119">
        <v>75</v>
      </c>
      <c r="F675" s="119" t="s">
        <v>125</v>
      </c>
      <c r="G675" s="119">
        <v>80</v>
      </c>
    </row>
    <row r="676" spans="1:9">
      <c r="A676" s="119">
        <v>380</v>
      </c>
      <c r="B676" s="119" t="s">
        <v>139</v>
      </c>
      <c r="C676" s="119" t="s">
        <v>178</v>
      </c>
      <c r="D676" s="119" t="s">
        <v>154</v>
      </c>
      <c r="E676" s="119">
        <v>50</v>
      </c>
      <c r="F676" s="119" t="s">
        <v>127</v>
      </c>
      <c r="G676" s="119">
        <v>80</v>
      </c>
    </row>
    <row r="677" spans="1:9">
      <c r="A677" s="119">
        <v>382</v>
      </c>
      <c r="B677" s="119" t="s">
        <v>139</v>
      </c>
      <c r="C677" s="119" t="s">
        <v>178</v>
      </c>
      <c r="D677" s="119" t="s">
        <v>154</v>
      </c>
      <c r="E677" s="119">
        <v>25</v>
      </c>
      <c r="F677" s="119" t="s">
        <v>129</v>
      </c>
      <c r="G677" s="119">
        <v>80</v>
      </c>
    </row>
    <row r="678" spans="1:9">
      <c r="A678" s="119">
        <v>388</v>
      </c>
      <c r="B678" s="119" t="s">
        <v>139</v>
      </c>
      <c r="C678" s="119" t="s">
        <v>178</v>
      </c>
      <c r="D678" s="119" t="s">
        <v>154</v>
      </c>
      <c r="E678" s="119">
        <v>5</v>
      </c>
      <c r="F678" s="119" t="s">
        <v>142</v>
      </c>
      <c r="G678" s="119">
        <v>80</v>
      </c>
    </row>
    <row r="679" spans="1:9">
      <c r="A679" s="119">
        <v>372</v>
      </c>
      <c r="B679" s="119" t="s">
        <v>136</v>
      </c>
      <c r="C679" s="119" t="s">
        <v>178</v>
      </c>
      <c r="D679" s="119" t="s">
        <v>154</v>
      </c>
      <c r="E679" s="119">
        <v>150</v>
      </c>
      <c r="F679" s="119" t="s">
        <v>119</v>
      </c>
      <c r="G679" s="119">
        <v>80</v>
      </c>
      <c r="I679" s="119" t="s">
        <v>120</v>
      </c>
    </row>
    <row r="680" spans="1:9">
      <c r="A680" s="119">
        <v>376</v>
      </c>
      <c r="B680" s="119" t="s">
        <v>136</v>
      </c>
      <c r="C680" s="119" t="s">
        <v>178</v>
      </c>
      <c r="D680" s="119" t="s">
        <v>154</v>
      </c>
      <c r="E680" s="119">
        <v>100</v>
      </c>
      <c r="F680" s="119" t="s">
        <v>124</v>
      </c>
      <c r="G680" s="119">
        <v>80</v>
      </c>
      <c r="I680" s="119" t="s">
        <v>120</v>
      </c>
    </row>
    <row r="681" spans="1:9">
      <c r="A681" s="119">
        <v>377</v>
      </c>
      <c r="B681" s="119" t="s">
        <v>136</v>
      </c>
      <c r="C681" s="119" t="s">
        <v>178</v>
      </c>
      <c r="D681" s="119" t="s">
        <v>154</v>
      </c>
      <c r="E681" s="119">
        <v>75</v>
      </c>
      <c r="F681" s="119" t="s">
        <v>125</v>
      </c>
      <c r="G681" s="119">
        <v>80</v>
      </c>
      <c r="I681" s="119" t="s">
        <v>120</v>
      </c>
    </row>
    <row r="682" spans="1:9">
      <c r="A682" s="119">
        <v>380</v>
      </c>
      <c r="B682" s="119" t="s">
        <v>136</v>
      </c>
      <c r="C682" s="119" t="s">
        <v>178</v>
      </c>
      <c r="D682" s="119" t="s">
        <v>154</v>
      </c>
      <c r="E682" s="119">
        <v>50</v>
      </c>
      <c r="F682" s="119" t="s">
        <v>127</v>
      </c>
      <c r="G682" s="119">
        <v>80</v>
      </c>
      <c r="I682" s="119" t="s">
        <v>120</v>
      </c>
    </row>
    <row r="683" spans="1:9">
      <c r="A683" s="119">
        <v>382</v>
      </c>
      <c r="B683" s="119" t="s">
        <v>136</v>
      </c>
      <c r="C683" s="119" t="s">
        <v>178</v>
      </c>
      <c r="D683" s="119" t="s">
        <v>154</v>
      </c>
      <c r="E683" s="119">
        <v>25</v>
      </c>
      <c r="F683" s="119" t="s">
        <v>129</v>
      </c>
      <c r="G683" s="119">
        <v>80</v>
      </c>
      <c r="I683" s="119" t="s">
        <v>120</v>
      </c>
    </row>
    <row r="684" spans="1:9">
      <c r="A684" s="119">
        <v>388</v>
      </c>
      <c r="B684" s="119" t="s">
        <v>136</v>
      </c>
      <c r="C684" s="119" t="s">
        <v>178</v>
      </c>
      <c r="D684" s="119" t="s">
        <v>154</v>
      </c>
      <c r="E684" s="119">
        <v>5</v>
      </c>
      <c r="F684" s="119" t="s">
        <v>142</v>
      </c>
      <c r="G684" s="119">
        <v>80</v>
      </c>
      <c r="I684" s="119" t="s">
        <v>120</v>
      </c>
    </row>
    <row r="685" spans="1:9">
      <c r="A685" s="119">
        <v>380</v>
      </c>
      <c r="B685" s="119" t="s">
        <v>137</v>
      </c>
      <c r="C685" s="119" t="s">
        <v>178</v>
      </c>
      <c r="D685" s="119" t="s">
        <v>154</v>
      </c>
      <c r="E685" s="119">
        <v>50</v>
      </c>
      <c r="F685" s="119" t="s">
        <v>127</v>
      </c>
      <c r="G685" s="119">
        <v>80</v>
      </c>
      <c r="I685" s="119" t="s">
        <v>120</v>
      </c>
    </row>
    <row r="686" spans="1:9">
      <c r="A686" s="119">
        <v>382</v>
      </c>
      <c r="B686" s="119" t="s">
        <v>137</v>
      </c>
      <c r="C686" s="119" t="s">
        <v>178</v>
      </c>
      <c r="D686" s="119" t="s">
        <v>154</v>
      </c>
      <c r="E686" s="119">
        <v>25</v>
      </c>
      <c r="F686" s="119" t="s">
        <v>129</v>
      </c>
      <c r="G686" s="119">
        <v>80</v>
      </c>
      <c r="I686" s="119" t="s">
        <v>120</v>
      </c>
    </row>
    <row r="687" spans="1:9">
      <c r="A687" s="119">
        <v>388</v>
      </c>
      <c r="B687" s="119" t="s">
        <v>137</v>
      </c>
      <c r="C687" s="119" t="s">
        <v>178</v>
      </c>
      <c r="D687" s="119" t="s">
        <v>154</v>
      </c>
      <c r="E687" s="119">
        <v>5</v>
      </c>
      <c r="F687" s="119" t="s">
        <v>142</v>
      </c>
      <c r="G687" s="119">
        <v>80</v>
      </c>
      <c r="I687" s="119" t="s">
        <v>120</v>
      </c>
    </row>
    <row r="688" spans="1:9">
      <c r="A688" s="119">
        <v>384</v>
      </c>
      <c r="B688" s="119" t="s">
        <v>155</v>
      </c>
      <c r="C688" s="119" t="s">
        <v>178</v>
      </c>
      <c r="D688" s="119" t="s">
        <v>154</v>
      </c>
      <c r="E688" s="119">
        <v>5</v>
      </c>
      <c r="F688" s="119" t="s">
        <v>131</v>
      </c>
      <c r="G688" s="119">
        <v>80</v>
      </c>
      <c r="I688" s="119" t="s">
        <v>120</v>
      </c>
    </row>
    <row r="689" spans="1:9">
      <c r="A689" s="119">
        <v>388</v>
      </c>
      <c r="B689" s="119" t="s">
        <v>156</v>
      </c>
      <c r="C689" s="119" t="s">
        <v>178</v>
      </c>
      <c r="D689" s="119" t="s">
        <v>154</v>
      </c>
      <c r="E689" s="119">
        <v>5</v>
      </c>
      <c r="F689" s="119" t="s">
        <v>142</v>
      </c>
      <c r="G689" s="119">
        <v>80</v>
      </c>
      <c r="I689" s="119" t="s">
        <v>120</v>
      </c>
    </row>
    <row r="690" spans="1:9">
      <c r="A690" s="119">
        <v>387</v>
      </c>
      <c r="B690" s="119" t="s">
        <v>157</v>
      </c>
      <c r="C690" s="119" t="s">
        <v>178</v>
      </c>
      <c r="D690" s="119" t="s">
        <v>154</v>
      </c>
      <c r="E690" s="119">
        <v>5</v>
      </c>
      <c r="F690" s="119" t="s">
        <v>138</v>
      </c>
      <c r="G690" s="119">
        <v>80</v>
      </c>
      <c r="I690" s="119" t="s">
        <v>120</v>
      </c>
    </row>
    <row r="691" spans="1:9">
      <c r="A691" s="119">
        <v>386</v>
      </c>
      <c r="B691" s="119" t="s">
        <v>158</v>
      </c>
      <c r="C691" s="119" t="s">
        <v>178</v>
      </c>
      <c r="D691" s="119" t="s">
        <v>154</v>
      </c>
      <c r="E691" s="119">
        <v>5</v>
      </c>
      <c r="F691" s="119" t="s">
        <v>135</v>
      </c>
      <c r="G691" s="119">
        <v>80</v>
      </c>
    </row>
    <row r="692" spans="1:9">
      <c r="A692" s="119">
        <v>374</v>
      </c>
      <c r="B692" s="119" t="s">
        <v>160</v>
      </c>
      <c r="C692" s="119" t="s">
        <v>178</v>
      </c>
      <c r="D692" s="119" t="s">
        <v>154</v>
      </c>
      <c r="E692" s="119">
        <v>100</v>
      </c>
      <c r="F692" s="119" t="s">
        <v>122</v>
      </c>
      <c r="G692" s="119">
        <v>80</v>
      </c>
      <c r="I692" s="119" t="s">
        <v>120</v>
      </c>
    </row>
    <row r="693" spans="1:9">
      <c r="A693" s="119">
        <v>378</v>
      </c>
      <c r="B693" s="119" t="s">
        <v>160</v>
      </c>
      <c r="C693" s="119" t="s">
        <v>178</v>
      </c>
      <c r="D693" s="119" t="s">
        <v>154</v>
      </c>
      <c r="E693" s="119">
        <v>50</v>
      </c>
      <c r="F693" s="119" t="s">
        <v>134</v>
      </c>
      <c r="G693" s="119">
        <v>80</v>
      </c>
      <c r="I693" s="119" t="s">
        <v>120</v>
      </c>
    </row>
    <row r="694" spans="1:9">
      <c r="A694" s="119">
        <v>383</v>
      </c>
      <c r="B694" s="119" t="s">
        <v>160</v>
      </c>
      <c r="C694" s="119" t="s">
        <v>178</v>
      </c>
      <c r="D694" s="119" t="s">
        <v>154</v>
      </c>
      <c r="E694" s="119">
        <v>25</v>
      </c>
      <c r="F694" s="119" t="s">
        <v>130</v>
      </c>
      <c r="G694" s="119">
        <v>80</v>
      </c>
      <c r="I694" s="119" t="s">
        <v>120</v>
      </c>
    </row>
    <row r="695" spans="1:9">
      <c r="A695" s="119">
        <v>385</v>
      </c>
      <c r="B695" s="119" t="s">
        <v>160</v>
      </c>
      <c r="C695" s="119" t="s">
        <v>178</v>
      </c>
      <c r="D695" s="119" t="s">
        <v>154</v>
      </c>
      <c r="E695" s="119">
        <v>5</v>
      </c>
      <c r="F695" s="119" t="s">
        <v>132</v>
      </c>
      <c r="G695" s="119">
        <v>80</v>
      </c>
      <c r="I695" s="119" t="s">
        <v>120</v>
      </c>
    </row>
    <row r="696" spans="1:9">
      <c r="A696" s="119">
        <v>389</v>
      </c>
      <c r="B696" s="119" t="s">
        <v>139</v>
      </c>
      <c r="C696" s="119" t="s">
        <v>179</v>
      </c>
      <c r="D696" s="119" t="s">
        <v>154</v>
      </c>
      <c r="E696" s="119">
        <v>300</v>
      </c>
      <c r="F696" s="119" t="s">
        <v>133</v>
      </c>
      <c r="G696" s="119">
        <v>84</v>
      </c>
    </row>
    <row r="697" spans="1:9">
      <c r="A697" s="119">
        <v>390</v>
      </c>
      <c r="B697" s="119" t="s">
        <v>139</v>
      </c>
      <c r="C697" s="119" t="s">
        <v>179</v>
      </c>
      <c r="D697" s="119" t="s">
        <v>154</v>
      </c>
      <c r="E697" s="119">
        <v>200</v>
      </c>
      <c r="F697" s="119" t="s">
        <v>117</v>
      </c>
      <c r="G697" s="119">
        <v>84</v>
      </c>
    </row>
    <row r="698" spans="1:9">
      <c r="A698" s="119">
        <v>392</v>
      </c>
      <c r="B698" s="119" t="s">
        <v>139</v>
      </c>
      <c r="C698" s="119" t="s">
        <v>179</v>
      </c>
      <c r="D698" s="119" t="s">
        <v>154</v>
      </c>
      <c r="E698" s="119">
        <v>150</v>
      </c>
      <c r="F698" s="119" t="s">
        <v>119</v>
      </c>
      <c r="G698" s="119">
        <v>84</v>
      </c>
    </row>
    <row r="699" spans="1:9">
      <c r="A699" s="119">
        <v>393</v>
      </c>
      <c r="B699" s="119" t="s">
        <v>139</v>
      </c>
      <c r="C699" s="119" t="s">
        <v>179</v>
      </c>
      <c r="D699" s="119" t="s">
        <v>154</v>
      </c>
      <c r="E699" s="119">
        <v>100</v>
      </c>
      <c r="F699" s="119" t="s">
        <v>122</v>
      </c>
      <c r="G699" s="119">
        <v>84</v>
      </c>
    </row>
    <row r="700" spans="1:9">
      <c r="A700" s="119">
        <v>396</v>
      </c>
      <c r="B700" s="119" t="s">
        <v>139</v>
      </c>
      <c r="C700" s="119" t="s">
        <v>179</v>
      </c>
      <c r="D700" s="119" t="s">
        <v>154</v>
      </c>
      <c r="E700" s="119">
        <v>75</v>
      </c>
      <c r="F700" s="119" t="s">
        <v>125</v>
      </c>
      <c r="G700" s="119">
        <v>84</v>
      </c>
    </row>
    <row r="701" spans="1:9">
      <c r="A701" s="119">
        <v>397</v>
      </c>
      <c r="B701" s="119" t="s">
        <v>139</v>
      </c>
      <c r="C701" s="119" t="s">
        <v>179</v>
      </c>
      <c r="D701" s="119" t="s">
        <v>154</v>
      </c>
      <c r="E701" s="119">
        <v>50</v>
      </c>
      <c r="F701" s="119" t="s">
        <v>134</v>
      </c>
      <c r="G701" s="119">
        <v>84</v>
      </c>
    </row>
    <row r="702" spans="1:9">
      <c r="A702" s="119">
        <v>400</v>
      </c>
      <c r="B702" s="119" t="s">
        <v>139</v>
      </c>
      <c r="C702" s="119" t="s">
        <v>179</v>
      </c>
      <c r="D702" s="119" t="s">
        <v>154</v>
      </c>
      <c r="E702" s="119">
        <v>25</v>
      </c>
      <c r="F702" s="119" t="s">
        <v>128</v>
      </c>
      <c r="G702" s="119">
        <v>84</v>
      </c>
    </row>
    <row r="703" spans="1:9">
      <c r="A703" s="119">
        <v>402</v>
      </c>
      <c r="B703" s="119" t="s">
        <v>139</v>
      </c>
      <c r="C703" s="119" t="s">
        <v>179</v>
      </c>
      <c r="D703" s="119" t="s">
        <v>154</v>
      </c>
      <c r="E703" s="119">
        <v>25</v>
      </c>
      <c r="F703" s="119" t="s">
        <v>130</v>
      </c>
      <c r="G703" s="119">
        <v>84</v>
      </c>
    </row>
    <row r="704" spans="1:9">
      <c r="A704" s="119">
        <v>408</v>
      </c>
      <c r="B704" s="119" t="s">
        <v>139</v>
      </c>
      <c r="C704" s="119" t="s">
        <v>179</v>
      </c>
      <c r="D704" s="119" t="s">
        <v>154</v>
      </c>
      <c r="E704" s="119">
        <v>5</v>
      </c>
      <c r="F704" s="119" t="s">
        <v>143</v>
      </c>
      <c r="G704" s="119">
        <v>84</v>
      </c>
      <c r="I704" s="119" t="s">
        <v>120</v>
      </c>
    </row>
    <row r="705" spans="1:9">
      <c r="A705" s="119">
        <v>392</v>
      </c>
      <c r="B705" s="119" t="s">
        <v>136</v>
      </c>
      <c r="C705" s="119" t="s">
        <v>179</v>
      </c>
      <c r="D705" s="119" t="s">
        <v>154</v>
      </c>
      <c r="E705" s="119">
        <v>150</v>
      </c>
      <c r="F705" s="119" t="s">
        <v>119</v>
      </c>
      <c r="G705" s="119">
        <v>84</v>
      </c>
      <c r="I705" s="119" t="s">
        <v>120</v>
      </c>
    </row>
    <row r="706" spans="1:9">
      <c r="A706" s="119">
        <v>396</v>
      </c>
      <c r="B706" s="119" t="s">
        <v>136</v>
      </c>
      <c r="C706" s="119" t="s">
        <v>179</v>
      </c>
      <c r="D706" s="119" t="s">
        <v>154</v>
      </c>
      <c r="E706" s="119">
        <v>75</v>
      </c>
      <c r="F706" s="119" t="s">
        <v>125</v>
      </c>
      <c r="G706" s="119">
        <v>84</v>
      </c>
      <c r="I706" s="119" t="s">
        <v>120</v>
      </c>
    </row>
    <row r="707" spans="1:9">
      <c r="A707" s="119">
        <v>397</v>
      </c>
      <c r="B707" s="119" t="s">
        <v>136</v>
      </c>
      <c r="C707" s="119" t="s">
        <v>179</v>
      </c>
      <c r="D707" s="119" t="s">
        <v>154</v>
      </c>
      <c r="E707" s="119">
        <v>50</v>
      </c>
      <c r="F707" s="119" t="s">
        <v>134</v>
      </c>
      <c r="G707" s="119">
        <v>84</v>
      </c>
      <c r="I707" s="119" t="s">
        <v>120</v>
      </c>
    </row>
    <row r="708" spans="1:9">
      <c r="A708" s="119">
        <v>400</v>
      </c>
      <c r="B708" s="119" t="s">
        <v>136</v>
      </c>
      <c r="C708" s="119" t="s">
        <v>179</v>
      </c>
      <c r="D708" s="119" t="s">
        <v>154</v>
      </c>
      <c r="E708" s="119">
        <v>25</v>
      </c>
      <c r="F708" s="119" t="s">
        <v>128</v>
      </c>
      <c r="G708" s="119">
        <v>84</v>
      </c>
      <c r="I708" s="119" t="s">
        <v>120</v>
      </c>
    </row>
    <row r="709" spans="1:9">
      <c r="A709" s="119">
        <v>402</v>
      </c>
      <c r="B709" s="119" t="s">
        <v>136</v>
      </c>
      <c r="C709" s="119" t="s">
        <v>179</v>
      </c>
      <c r="D709" s="119" t="s">
        <v>154</v>
      </c>
      <c r="E709" s="119">
        <v>25</v>
      </c>
      <c r="F709" s="119" t="s">
        <v>130</v>
      </c>
      <c r="G709" s="119">
        <v>84</v>
      </c>
      <c r="I709" s="119" t="s">
        <v>120</v>
      </c>
    </row>
    <row r="710" spans="1:9">
      <c r="A710" s="119">
        <v>408</v>
      </c>
      <c r="B710" s="119" t="s">
        <v>136</v>
      </c>
      <c r="C710" s="119" t="s">
        <v>179</v>
      </c>
      <c r="D710" s="119" t="s">
        <v>154</v>
      </c>
      <c r="E710" s="119">
        <v>5</v>
      </c>
      <c r="F710" s="119" t="s">
        <v>143</v>
      </c>
      <c r="G710" s="119">
        <v>84</v>
      </c>
      <c r="I710" s="119" t="s">
        <v>120</v>
      </c>
    </row>
    <row r="711" spans="1:9">
      <c r="A711" s="119">
        <v>400</v>
      </c>
      <c r="B711" s="119" t="s">
        <v>137</v>
      </c>
      <c r="C711" s="119" t="s">
        <v>179</v>
      </c>
      <c r="D711" s="119" t="s">
        <v>154</v>
      </c>
      <c r="E711" s="119">
        <v>25</v>
      </c>
      <c r="F711" s="119" t="s">
        <v>128</v>
      </c>
      <c r="G711" s="119">
        <v>84</v>
      </c>
      <c r="I711" s="119" t="s">
        <v>120</v>
      </c>
    </row>
    <row r="712" spans="1:9">
      <c r="A712" s="119">
        <v>402</v>
      </c>
      <c r="B712" s="119" t="s">
        <v>137</v>
      </c>
      <c r="C712" s="119" t="s">
        <v>179</v>
      </c>
      <c r="D712" s="119" t="s">
        <v>154</v>
      </c>
      <c r="E712" s="119">
        <v>25</v>
      </c>
      <c r="F712" s="119" t="s">
        <v>130</v>
      </c>
      <c r="G712" s="119">
        <v>84</v>
      </c>
      <c r="I712" s="119" t="s">
        <v>120</v>
      </c>
    </row>
    <row r="713" spans="1:9">
      <c r="A713" s="119">
        <v>408</v>
      </c>
      <c r="B713" s="119" t="s">
        <v>137</v>
      </c>
      <c r="C713" s="119" t="s">
        <v>179</v>
      </c>
      <c r="D713" s="119" t="s">
        <v>154</v>
      </c>
      <c r="E713" s="119">
        <v>5</v>
      </c>
      <c r="F713" s="119" t="s">
        <v>143</v>
      </c>
      <c r="G713" s="119">
        <v>84</v>
      </c>
      <c r="I713" s="119" t="s">
        <v>120</v>
      </c>
    </row>
    <row r="714" spans="1:9">
      <c r="A714" s="119">
        <v>404</v>
      </c>
      <c r="B714" s="119" t="s">
        <v>155</v>
      </c>
      <c r="C714" s="119" t="s">
        <v>179</v>
      </c>
      <c r="D714" s="119" t="s">
        <v>154</v>
      </c>
      <c r="E714" s="119">
        <v>5</v>
      </c>
      <c r="F714" s="119" t="s">
        <v>132</v>
      </c>
      <c r="G714" s="119">
        <v>84</v>
      </c>
      <c r="I714" s="119" t="s">
        <v>120</v>
      </c>
    </row>
    <row r="715" spans="1:9">
      <c r="A715" s="119">
        <v>408</v>
      </c>
      <c r="B715" s="119" t="s">
        <v>156</v>
      </c>
      <c r="C715" s="119" t="s">
        <v>179</v>
      </c>
      <c r="D715" s="119" t="s">
        <v>154</v>
      </c>
      <c r="E715" s="119">
        <v>5</v>
      </c>
      <c r="F715" s="119" t="s">
        <v>143</v>
      </c>
      <c r="G715" s="119">
        <v>84</v>
      </c>
      <c r="I715" s="119" t="s">
        <v>120</v>
      </c>
    </row>
    <row r="716" spans="1:9">
      <c r="A716" s="119">
        <v>407</v>
      </c>
      <c r="B716" s="119" t="s">
        <v>157</v>
      </c>
      <c r="C716" s="119" t="s">
        <v>179</v>
      </c>
      <c r="D716" s="119" t="s">
        <v>154</v>
      </c>
      <c r="E716" s="119">
        <v>5</v>
      </c>
      <c r="F716" s="119" t="s">
        <v>142</v>
      </c>
      <c r="G716" s="119">
        <v>84</v>
      </c>
      <c r="I716" s="119" t="s">
        <v>120</v>
      </c>
    </row>
    <row r="717" spans="1:9">
      <c r="A717" s="119">
        <v>406</v>
      </c>
      <c r="B717" s="119" t="s">
        <v>158</v>
      </c>
      <c r="C717" s="119" t="s">
        <v>179</v>
      </c>
      <c r="D717" s="119" t="s">
        <v>154</v>
      </c>
      <c r="E717" s="119">
        <v>5</v>
      </c>
      <c r="F717" s="119" t="s">
        <v>138</v>
      </c>
      <c r="G717" s="119">
        <v>84</v>
      </c>
    </row>
    <row r="718" spans="1:9">
      <c r="A718" s="119">
        <v>391</v>
      </c>
      <c r="B718" s="119" t="s">
        <v>159</v>
      </c>
      <c r="C718" s="119" t="s">
        <v>179</v>
      </c>
      <c r="D718" s="119" t="s">
        <v>154</v>
      </c>
      <c r="E718" s="119">
        <v>150</v>
      </c>
      <c r="F718" s="119" t="s">
        <v>118</v>
      </c>
      <c r="G718" s="119">
        <v>84</v>
      </c>
      <c r="I718" s="119" t="s">
        <v>120</v>
      </c>
    </row>
    <row r="719" spans="1:9">
      <c r="A719" s="119">
        <v>395</v>
      </c>
      <c r="B719" s="119" t="s">
        <v>159</v>
      </c>
      <c r="C719" s="119" t="s">
        <v>179</v>
      </c>
      <c r="D719" s="119" t="s">
        <v>154</v>
      </c>
      <c r="E719" s="119">
        <v>100</v>
      </c>
      <c r="F719" s="119" t="s">
        <v>124</v>
      </c>
      <c r="G719" s="119">
        <v>84</v>
      </c>
      <c r="I719" s="119" t="s">
        <v>120</v>
      </c>
    </row>
    <row r="720" spans="1:9">
      <c r="A720" s="119">
        <v>399</v>
      </c>
      <c r="B720" s="119" t="s">
        <v>159</v>
      </c>
      <c r="C720" s="119" t="s">
        <v>179</v>
      </c>
      <c r="D720" s="119" t="s">
        <v>154</v>
      </c>
      <c r="E720" s="119">
        <v>50</v>
      </c>
      <c r="F720" s="119" t="s">
        <v>127</v>
      </c>
      <c r="G720" s="119">
        <v>84</v>
      </c>
      <c r="I720" s="119" t="s">
        <v>120</v>
      </c>
    </row>
    <row r="721" spans="1:9">
      <c r="A721" s="119">
        <v>401</v>
      </c>
      <c r="B721" s="119" t="s">
        <v>159</v>
      </c>
      <c r="C721" s="119" t="s">
        <v>179</v>
      </c>
      <c r="D721" s="119" t="s">
        <v>154</v>
      </c>
      <c r="E721" s="119">
        <v>25</v>
      </c>
      <c r="F721" s="119" t="s">
        <v>129</v>
      </c>
      <c r="G721" s="119">
        <v>84</v>
      </c>
      <c r="I721" s="119" t="s">
        <v>120</v>
      </c>
    </row>
    <row r="722" spans="1:9">
      <c r="A722" s="119">
        <v>407</v>
      </c>
      <c r="B722" s="119" t="s">
        <v>159</v>
      </c>
      <c r="C722" s="119" t="s">
        <v>179</v>
      </c>
      <c r="D722" s="119" t="s">
        <v>154</v>
      </c>
      <c r="E722" s="119">
        <v>5</v>
      </c>
      <c r="F722" s="119" t="s">
        <v>142</v>
      </c>
      <c r="G722" s="119">
        <v>84</v>
      </c>
      <c r="I722" s="119" t="s">
        <v>120</v>
      </c>
    </row>
    <row r="723" spans="1:9">
      <c r="A723" s="119">
        <v>394</v>
      </c>
      <c r="B723" s="119" t="s">
        <v>160</v>
      </c>
      <c r="C723" s="119" t="s">
        <v>179</v>
      </c>
      <c r="D723" s="119" t="s">
        <v>154</v>
      </c>
      <c r="E723" s="119">
        <v>100</v>
      </c>
      <c r="F723" s="119" t="s">
        <v>123</v>
      </c>
      <c r="G723" s="119">
        <v>84</v>
      </c>
      <c r="I723" s="119" t="s">
        <v>120</v>
      </c>
    </row>
    <row r="724" spans="1:9">
      <c r="A724" s="119">
        <v>399</v>
      </c>
      <c r="B724" s="119" t="s">
        <v>160</v>
      </c>
      <c r="C724" s="119" t="s">
        <v>179</v>
      </c>
      <c r="D724" s="119" t="s">
        <v>154</v>
      </c>
      <c r="E724" s="119">
        <v>50</v>
      </c>
      <c r="F724" s="119" t="s">
        <v>126</v>
      </c>
      <c r="G724" s="119">
        <v>84</v>
      </c>
      <c r="I724" s="119" t="s">
        <v>120</v>
      </c>
    </row>
    <row r="725" spans="1:9">
      <c r="A725" s="119">
        <v>403</v>
      </c>
      <c r="B725" s="119" t="s">
        <v>160</v>
      </c>
      <c r="C725" s="119" t="s">
        <v>179</v>
      </c>
      <c r="D725" s="119" t="s">
        <v>154</v>
      </c>
      <c r="E725" s="119">
        <v>5</v>
      </c>
      <c r="F725" s="119" t="s">
        <v>131</v>
      </c>
      <c r="G725" s="119">
        <v>84</v>
      </c>
      <c r="I725" s="119" t="s">
        <v>120</v>
      </c>
    </row>
    <row r="726" spans="1:9">
      <c r="A726" s="119">
        <v>405</v>
      </c>
      <c r="B726" s="119" t="s">
        <v>160</v>
      </c>
      <c r="C726" s="119" t="s">
        <v>179</v>
      </c>
      <c r="D726" s="119" t="s">
        <v>154</v>
      </c>
      <c r="E726" s="119">
        <v>5</v>
      </c>
      <c r="F726" s="119" t="s">
        <v>135</v>
      </c>
      <c r="G726" s="119">
        <v>84</v>
      </c>
      <c r="I726" s="119" t="s">
        <v>120</v>
      </c>
    </row>
    <row r="727" spans="1:9">
      <c r="A727" s="119">
        <v>409</v>
      </c>
      <c r="B727" s="119" t="s">
        <v>116</v>
      </c>
      <c r="C727" s="119" t="s">
        <v>180</v>
      </c>
      <c r="D727" s="119" t="s">
        <v>154</v>
      </c>
      <c r="E727" s="119">
        <v>300</v>
      </c>
      <c r="F727" s="119" t="s">
        <v>133</v>
      </c>
      <c r="G727" s="119">
        <v>88</v>
      </c>
    </row>
    <row r="728" spans="1:9">
      <c r="A728" s="119">
        <v>410</v>
      </c>
      <c r="B728" s="119" t="s">
        <v>116</v>
      </c>
      <c r="C728" s="119" t="s">
        <v>180</v>
      </c>
      <c r="D728" s="119" t="s">
        <v>154</v>
      </c>
      <c r="E728" s="119">
        <v>200</v>
      </c>
      <c r="F728" s="119" t="s">
        <v>117</v>
      </c>
      <c r="G728" s="119">
        <v>88</v>
      </c>
    </row>
    <row r="729" spans="1:9">
      <c r="A729" s="119">
        <v>412</v>
      </c>
      <c r="B729" s="119" t="s">
        <v>116</v>
      </c>
      <c r="C729" s="119" t="s">
        <v>180</v>
      </c>
      <c r="D729" s="119" t="s">
        <v>154</v>
      </c>
      <c r="E729" s="119">
        <v>150</v>
      </c>
      <c r="F729" s="119" t="s">
        <v>119</v>
      </c>
      <c r="G729" s="119">
        <v>88</v>
      </c>
    </row>
    <row r="730" spans="1:9">
      <c r="A730" s="119">
        <v>416</v>
      </c>
      <c r="B730" s="119" t="s">
        <v>116</v>
      </c>
      <c r="C730" s="119" t="s">
        <v>180</v>
      </c>
      <c r="D730" s="119" t="s">
        <v>154</v>
      </c>
      <c r="E730" s="119">
        <v>100</v>
      </c>
      <c r="F730" s="119" t="s">
        <v>124</v>
      </c>
      <c r="G730" s="119">
        <v>88</v>
      </c>
    </row>
    <row r="731" spans="1:9">
      <c r="A731" s="119">
        <v>417</v>
      </c>
      <c r="B731" s="119" t="s">
        <v>116</v>
      </c>
      <c r="C731" s="119" t="s">
        <v>180</v>
      </c>
      <c r="D731" s="119" t="s">
        <v>154</v>
      </c>
      <c r="E731" s="119">
        <v>75</v>
      </c>
      <c r="F731" s="119" t="s">
        <v>125</v>
      </c>
      <c r="G731" s="119">
        <v>88</v>
      </c>
    </row>
    <row r="732" spans="1:9">
      <c r="A732" s="119">
        <v>420</v>
      </c>
      <c r="B732" s="119" t="s">
        <v>116</v>
      </c>
      <c r="C732" s="119" t="s">
        <v>180</v>
      </c>
      <c r="D732" s="119" t="s">
        <v>154</v>
      </c>
      <c r="E732" s="119">
        <v>50</v>
      </c>
      <c r="F732" s="119" t="s">
        <v>127</v>
      </c>
      <c r="G732" s="119">
        <v>88</v>
      </c>
      <c r="I732" s="119" t="s">
        <v>120</v>
      </c>
    </row>
    <row r="733" spans="1:9">
      <c r="A733" s="119">
        <v>422</v>
      </c>
      <c r="B733" s="119" t="s">
        <v>116</v>
      </c>
      <c r="C733" s="119" t="s">
        <v>180</v>
      </c>
      <c r="D733" s="119" t="s">
        <v>154</v>
      </c>
      <c r="E733" s="119">
        <v>25</v>
      </c>
      <c r="F733" s="119" t="s">
        <v>129</v>
      </c>
      <c r="G733" s="119">
        <v>88</v>
      </c>
      <c r="I733" s="119" t="s">
        <v>120</v>
      </c>
    </row>
    <row r="734" spans="1:9">
      <c r="A734" s="119">
        <v>427</v>
      </c>
      <c r="B734" s="119" t="s">
        <v>116</v>
      </c>
      <c r="C734" s="119" t="s">
        <v>180</v>
      </c>
      <c r="D734" s="119" t="s">
        <v>154</v>
      </c>
      <c r="E734" s="119">
        <v>5</v>
      </c>
      <c r="F734" s="119" t="s">
        <v>138</v>
      </c>
      <c r="G734" s="119">
        <v>88</v>
      </c>
    </row>
    <row r="735" spans="1:9">
      <c r="A735" s="119">
        <v>409</v>
      </c>
      <c r="B735" s="119" t="s">
        <v>139</v>
      </c>
      <c r="C735" s="119" t="s">
        <v>180</v>
      </c>
      <c r="D735" s="119" t="s">
        <v>154</v>
      </c>
      <c r="E735" s="119">
        <v>300</v>
      </c>
      <c r="F735" s="119" t="s">
        <v>133</v>
      </c>
      <c r="G735" s="119">
        <v>88</v>
      </c>
    </row>
    <row r="736" spans="1:9">
      <c r="A736" s="119">
        <v>410</v>
      </c>
      <c r="B736" s="119" t="s">
        <v>139</v>
      </c>
      <c r="C736" s="119" t="s">
        <v>180</v>
      </c>
      <c r="D736" s="119" t="s">
        <v>154</v>
      </c>
      <c r="E736" s="119">
        <v>200</v>
      </c>
      <c r="F736" s="119" t="s">
        <v>117</v>
      </c>
      <c r="G736" s="119">
        <v>88</v>
      </c>
    </row>
    <row r="737" spans="1:9">
      <c r="A737" s="119">
        <v>412</v>
      </c>
      <c r="B737" s="119" t="s">
        <v>139</v>
      </c>
      <c r="C737" s="119" t="s">
        <v>180</v>
      </c>
      <c r="D737" s="119" t="s">
        <v>154</v>
      </c>
      <c r="E737" s="119">
        <v>150</v>
      </c>
      <c r="F737" s="119" t="s">
        <v>119</v>
      </c>
      <c r="G737" s="119">
        <v>88</v>
      </c>
    </row>
    <row r="738" spans="1:9">
      <c r="A738" s="119">
        <v>413</v>
      </c>
      <c r="B738" s="119" t="s">
        <v>139</v>
      </c>
      <c r="C738" s="119" t="s">
        <v>180</v>
      </c>
      <c r="D738" s="119" t="s">
        <v>154</v>
      </c>
      <c r="E738" s="119">
        <v>125</v>
      </c>
      <c r="F738" s="119" t="s">
        <v>121</v>
      </c>
      <c r="G738" s="119">
        <v>88</v>
      </c>
      <c r="I738" s="119" t="s">
        <v>120</v>
      </c>
    </row>
    <row r="739" spans="1:9">
      <c r="A739" s="119">
        <v>416</v>
      </c>
      <c r="B739" s="119" t="s">
        <v>139</v>
      </c>
      <c r="C739" s="119" t="s">
        <v>180</v>
      </c>
      <c r="D739" s="119" t="s">
        <v>154</v>
      </c>
      <c r="E739" s="119">
        <v>100</v>
      </c>
      <c r="F739" s="119" t="s">
        <v>124</v>
      </c>
      <c r="G739" s="119">
        <v>88</v>
      </c>
    </row>
    <row r="740" spans="1:9">
      <c r="A740" s="119">
        <v>417</v>
      </c>
      <c r="B740" s="119" t="s">
        <v>139</v>
      </c>
      <c r="C740" s="119" t="s">
        <v>180</v>
      </c>
      <c r="D740" s="119" t="s">
        <v>154</v>
      </c>
      <c r="E740" s="119">
        <v>75</v>
      </c>
      <c r="F740" s="119" t="s">
        <v>125</v>
      </c>
      <c r="G740" s="119">
        <v>88</v>
      </c>
    </row>
    <row r="741" spans="1:9">
      <c r="A741" s="119">
        <v>420</v>
      </c>
      <c r="B741" s="119" t="s">
        <v>139</v>
      </c>
      <c r="C741" s="119" t="s">
        <v>180</v>
      </c>
      <c r="D741" s="119" t="s">
        <v>154</v>
      </c>
      <c r="E741" s="119">
        <v>50</v>
      </c>
      <c r="F741" s="119" t="s">
        <v>127</v>
      </c>
      <c r="G741" s="119">
        <v>88</v>
      </c>
    </row>
    <row r="742" spans="1:9">
      <c r="A742" s="119">
        <v>422</v>
      </c>
      <c r="B742" s="119" t="s">
        <v>139</v>
      </c>
      <c r="C742" s="119" t="s">
        <v>180</v>
      </c>
      <c r="D742" s="119" t="s">
        <v>154</v>
      </c>
      <c r="E742" s="119">
        <v>25</v>
      </c>
      <c r="F742" s="119" t="s">
        <v>129</v>
      </c>
      <c r="G742" s="119">
        <v>88</v>
      </c>
    </row>
    <row r="743" spans="1:9">
      <c r="A743" s="119">
        <v>428</v>
      </c>
      <c r="B743" s="119" t="s">
        <v>139</v>
      </c>
      <c r="C743" s="119" t="s">
        <v>180</v>
      </c>
      <c r="D743" s="119" t="s">
        <v>154</v>
      </c>
      <c r="E743" s="119">
        <v>5</v>
      </c>
      <c r="F743" s="119" t="s">
        <v>142</v>
      </c>
      <c r="G743" s="119">
        <v>88</v>
      </c>
    </row>
    <row r="744" spans="1:9">
      <c r="A744" s="119">
        <v>412</v>
      </c>
      <c r="B744" s="119" t="s">
        <v>136</v>
      </c>
      <c r="C744" s="119" t="s">
        <v>180</v>
      </c>
      <c r="D744" s="119" t="s">
        <v>154</v>
      </c>
      <c r="E744" s="119">
        <v>150</v>
      </c>
      <c r="F744" s="119" t="s">
        <v>119</v>
      </c>
      <c r="G744" s="119">
        <v>88</v>
      </c>
      <c r="I744" s="119" t="s">
        <v>120</v>
      </c>
    </row>
    <row r="745" spans="1:9">
      <c r="A745" s="119">
        <v>416</v>
      </c>
      <c r="B745" s="119" t="s">
        <v>136</v>
      </c>
      <c r="C745" s="119" t="s">
        <v>180</v>
      </c>
      <c r="D745" s="119" t="s">
        <v>154</v>
      </c>
      <c r="E745" s="119">
        <v>100</v>
      </c>
      <c r="F745" s="119" t="s">
        <v>124</v>
      </c>
      <c r="G745" s="119">
        <v>88</v>
      </c>
      <c r="I745" s="119" t="s">
        <v>120</v>
      </c>
    </row>
    <row r="746" spans="1:9">
      <c r="A746" s="119">
        <v>417</v>
      </c>
      <c r="B746" s="119" t="s">
        <v>136</v>
      </c>
      <c r="C746" s="119" t="s">
        <v>180</v>
      </c>
      <c r="D746" s="119" t="s">
        <v>154</v>
      </c>
      <c r="E746" s="119">
        <v>75</v>
      </c>
      <c r="F746" s="119" t="s">
        <v>125</v>
      </c>
      <c r="G746" s="119">
        <v>88</v>
      </c>
      <c r="I746" s="119" t="s">
        <v>120</v>
      </c>
    </row>
    <row r="747" spans="1:9">
      <c r="A747" s="119">
        <v>420</v>
      </c>
      <c r="B747" s="119" t="s">
        <v>136</v>
      </c>
      <c r="C747" s="119" t="s">
        <v>180</v>
      </c>
      <c r="D747" s="119" t="s">
        <v>154</v>
      </c>
      <c r="E747" s="119">
        <v>50</v>
      </c>
      <c r="F747" s="119" t="s">
        <v>127</v>
      </c>
      <c r="G747" s="119">
        <v>88</v>
      </c>
      <c r="I747" s="119" t="s">
        <v>120</v>
      </c>
    </row>
    <row r="748" spans="1:9">
      <c r="A748" s="119">
        <v>422</v>
      </c>
      <c r="B748" s="119" t="s">
        <v>136</v>
      </c>
      <c r="C748" s="119" t="s">
        <v>180</v>
      </c>
      <c r="D748" s="119" t="s">
        <v>154</v>
      </c>
      <c r="E748" s="119">
        <v>25</v>
      </c>
      <c r="F748" s="119" t="s">
        <v>129</v>
      </c>
      <c r="G748" s="119">
        <v>88</v>
      </c>
      <c r="I748" s="119" t="s">
        <v>120</v>
      </c>
    </row>
    <row r="749" spans="1:9">
      <c r="A749" s="119">
        <v>428</v>
      </c>
      <c r="B749" s="119" t="s">
        <v>136</v>
      </c>
      <c r="C749" s="119" t="s">
        <v>180</v>
      </c>
      <c r="D749" s="119" t="s">
        <v>154</v>
      </c>
      <c r="E749" s="119">
        <v>5</v>
      </c>
      <c r="F749" s="119" t="s">
        <v>142</v>
      </c>
      <c r="G749" s="119">
        <v>88</v>
      </c>
      <c r="I749" s="119" t="s">
        <v>120</v>
      </c>
    </row>
    <row r="750" spans="1:9">
      <c r="A750" s="119">
        <v>420</v>
      </c>
      <c r="B750" s="119" t="s">
        <v>137</v>
      </c>
      <c r="C750" s="119" t="s">
        <v>180</v>
      </c>
      <c r="D750" s="119" t="s">
        <v>154</v>
      </c>
      <c r="E750" s="119">
        <v>50</v>
      </c>
      <c r="F750" s="119" t="s">
        <v>127</v>
      </c>
      <c r="G750" s="119">
        <v>88</v>
      </c>
      <c r="I750" s="119" t="s">
        <v>120</v>
      </c>
    </row>
    <row r="751" spans="1:9">
      <c r="A751" s="119">
        <v>422</v>
      </c>
      <c r="B751" s="119" t="s">
        <v>137</v>
      </c>
      <c r="C751" s="119" t="s">
        <v>180</v>
      </c>
      <c r="D751" s="119" t="s">
        <v>154</v>
      </c>
      <c r="E751" s="119">
        <v>25</v>
      </c>
      <c r="F751" s="119" t="s">
        <v>129</v>
      </c>
      <c r="G751" s="119">
        <v>88</v>
      </c>
      <c r="I751" s="119" t="s">
        <v>120</v>
      </c>
    </row>
    <row r="752" spans="1:9">
      <c r="A752" s="119">
        <v>428</v>
      </c>
      <c r="B752" s="119" t="s">
        <v>137</v>
      </c>
      <c r="C752" s="119" t="s">
        <v>180</v>
      </c>
      <c r="D752" s="119" t="s">
        <v>154</v>
      </c>
      <c r="E752" s="119">
        <v>5</v>
      </c>
      <c r="F752" s="119" t="s">
        <v>142</v>
      </c>
      <c r="G752" s="119">
        <v>88</v>
      </c>
      <c r="I752" s="119" t="s">
        <v>120</v>
      </c>
    </row>
    <row r="753" spans="1:9">
      <c r="A753" s="119">
        <v>424</v>
      </c>
      <c r="B753" s="119" t="s">
        <v>155</v>
      </c>
      <c r="C753" s="119" t="s">
        <v>180</v>
      </c>
      <c r="D753" s="119" t="s">
        <v>154</v>
      </c>
      <c r="E753" s="119">
        <v>5</v>
      </c>
      <c r="F753" s="119" t="s">
        <v>131</v>
      </c>
      <c r="G753" s="119">
        <v>88</v>
      </c>
      <c r="I753" s="119" t="s">
        <v>120</v>
      </c>
    </row>
    <row r="754" spans="1:9">
      <c r="A754" s="119">
        <v>428</v>
      </c>
      <c r="B754" s="119" t="s">
        <v>156</v>
      </c>
      <c r="C754" s="119" t="s">
        <v>180</v>
      </c>
      <c r="D754" s="119" t="s">
        <v>154</v>
      </c>
      <c r="E754" s="119">
        <v>5</v>
      </c>
      <c r="F754" s="119" t="s">
        <v>142</v>
      </c>
      <c r="G754" s="119">
        <v>88</v>
      </c>
      <c r="I754" s="119" t="s">
        <v>120</v>
      </c>
    </row>
    <row r="755" spans="1:9">
      <c r="A755" s="119">
        <v>427</v>
      </c>
      <c r="B755" s="119" t="s">
        <v>157</v>
      </c>
      <c r="C755" s="119" t="s">
        <v>180</v>
      </c>
      <c r="D755" s="119" t="s">
        <v>154</v>
      </c>
      <c r="E755" s="119">
        <v>5</v>
      </c>
      <c r="F755" s="119" t="s">
        <v>138</v>
      </c>
      <c r="G755" s="119">
        <v>88</v>
      </c>
      <c r="I755" s="119" t="s">
        <v>120</v>
      </c>
    </row>
    <row r="756" spans="1:9">
      <c r="A756" s="119">
        <v>426</v>
      </c>
      <c r="B756" s="119" t="s">
        <v>158</v>
      </c>
      <c r="C756" s="119" t="s">
        <v>180</v>
      </c>
      <c r="D756" s="119" t="s">
        <v>154</v>
      </c>
      <c r="E756" s="119">
        <v>5</v>
      </c>
      <c r="F756" s="119" t="s">
        <v>135</v>
      </c>
      <c r="G756" s="119">
        <v>88</v>
      </c>
    </row>
    <row r="757" spans="1:9">
      <c r="A757" s="119">
        <v>414</v>
      </c>
      <c r="B757" s="119" t="s">
        <v>160</v>
      </c>
      <c r="C757" s="119" t="s">
        <v>180</v>
      </c>
      <c r="D757" s="119" t="s">
        <v>154</v>
      </c>
      <c r="E757" s="119">
        <v>100</v>
      </c>
      <c r="F757" s="119" t="s">
        <v>122</v>
      </c>
      <c r="G757" s="119">
        <v>88</v>
      </c>
      <c r="I757" s="119" t="s">
        <v>120</v>
      </c>
    </row>
    <row r="758" spans="1:9">
      <c r="A758" s="119">
        <v>418</v>
      </c>
      <c r="B758" s="119" t="s">
        <v>160</v>
      </c>
      <c r="C758" s="119" t="s">
        <v>180</v>
      </c>
      <c r="D758" s="119" t="s">
        <v>154</v>
      </c>
      <c r="E758" s="119">
        <v>50</v>
      </c>
      <c r="F758" s="119" t="s">
        <v>134</v>
      </c>
      <c r="G758" s="119">
        <v>88</v>
      </c>
      <c r="I758" s="119" t="s">
        <v>120</v>
      </c>
    </row>
    <row r="759" spans="1:9">
      <c r="A759" s="119">
        <v>423</v>
      </c>
      <c r="B759" s="119" t="s">
        <v>160</v>
      </c>
      <c r="C759" s="119" t="s">
        <v>180</v>
      </c>
      <c r="D759" s="119" t="s">
        <v>154</v>
      </c>
      <c r="E759" s="119">
        <v>25</v>
      </c>
      <c r="F759" s="119" t="s">
        <v>130</v>
      </c>
      <c r="G759" s="119">
        <v>88</v>
      </c>
      <c r="I759" s="119" t="s">
        <v>120</v>
      </c>
    </row>
    <row r="760" spans="1:9">
      <c r="A760" s="119">
        <v>425</v>
      </c>
      <c r="B760" s="119" t="s">
        <v>160</v>
      </c>
      <c r="C760" s="119" t="s">
        <v>180</v>
      </c>
      <c r="D760" s="119" t="s">
        <v>154</v>
      </c>
      <c r="E760" s="119">
        <v>5</v>
      </c>
      <c r="F760" s="119" t="s">
        <v>132</v>
      </c>
      <c r="G760" s="119">
        <v>88</v>
      </c>
      <c r="I760" s="119" t="s">
        <v>120</v>
      </c>
    </row>
    <row r="761" spans="1:9">
      <c r="A761" s="119">
        <v>429</v>
      </c>
      <c r="B761" s="119" t="s">
        <v>139</v>
      </c>
      <c r="C761" s="119" t="s">
        <v>181</v>
      </c>
      <c r="D761" s="119" t="s">
        <v>154</v>
      </c>
      <c r="E761" s="119">
        <v>300</v>
      </c>
      <c r="F761" s="119" t="s">
        <v>133</v>
      </c>
      <c r="G761" s="119">
        <v>92</v>
      </c>
    </row>
    <row r="762" spans="1:9">
      <c r="A762" s="119">
        <v>430</v>
      </c>
      <c r="B762" s="119" t="s">
        <v>139</v>
      </c>
      <c r="C762" s="119" t="s">
        <v>181</v>
      </c>
      <c r="D762" s="119" t="s">
        <v>154</v>
      </c>
      <c r="E762" s="119">
        <v>200</v>
      </c>
      <c r="F762" s="119" t="s">
        <v>117</v>
      </c>
      <c r="G762" s="119">
        <v>92</v>
      </c>
    </row>
    <row r="763" spans="1:9">
      <c r="A763" s="119">
        <v>432</v>
      </c>
      <c r="B763" s="119" t="s">
        <v>139</v>
      </c>
      <c r="C763" s="119" t="s">
        <v>181</v>
      </c>
      <c r="D763" s="119" t="s">
        <v>154</v>
      </c>
      <c r="E763" s="119">
        <v>150</v>
      </c>
      <c r="F763" s="119" t="s">
        <v>119</v>
      </c>
      <c r="G763" s="119">
        <v>92</v>
      </c>
    </row>
    <row r="764" spans="1:9">
      <c r="A764" s="119">
        <v>433</v>
      </c>
      <c r="B764" s="119" t="s">
        <v>139</v>
      </c>
      <c r="C764" s="119" t="s">
        <v>181</v>
      </c>
      <c r="D764" s="119" t="s">
        <v>154</v>
      </c>
      <c r="E764" s="119">
        <v>125</v>
      </c>
      <c r="F764" s="119" t="s">
        <v>121</v>
      </c>
      <c r="G764" s="119">
        <v>92</v>
      </c>
    </row>
    <row r="765" spans="1:9">
      <c r="A765" s="119">
        <v>436</v>
      </c>
      <c r="B765" s="119" t="s">
        <v>139</v>
      </c>
      <c r="C765" s="119" t="s">
        <v>181</v>
      </c>
      <c r="D765" s="119" t="s">
        <v>154</v>
      </c>
      <c r="E765" s="119">
        <v>100</v>
      </c>
      <c r="F765" s="119" t="s">
        <v>124</v>
      </c>
      <c r="G765" s="119">
        <v>92</v>
      </c>
    </row>
    <row r="766" spans="1:9">
      <c r="A766" s="119">
        <v>437</v>
      </c>
      <c r="B766" s="119" t="s">
        <v>139</v>
      </c>
      <c r="C766" s="119" t="s">
        <v>181</v>
      </c>
      <c r="D766" s="119" t="s">
        <v>154</v>
      </c>
      <c r="E766" s="119">
        <v>75</v>
      </c>
      <c r="F766" s="119" t="s">
        <v>125</v>
      </c>
      <c r="G766" s="119">
        <v>92</v>
      </c>
    </row>
    <row r="767" spans="1:9">
      <c r="A767" s="119">
        <v>440</v>
      </c>
      <c r="B767" s="119" t="s">
        <v>139</v>
      </c>
      <c r="C767" s="119" t="s">
        <v>181</v>
      </c>
      <c r="D767" s="119" t="s">
        <v>154</v>
      </c>
      <c r="E767" s="119">
        <v>50</v>
      </c>
      <c r="F767" s="119" t="s">
        <v>127</v>
      </c>
      <c r="G767" s="119">
        <v>92</v>
      </c>
      <c r="I767" s="119" t="s">
        <v>120</v>
      </c>
    </row>
    <row r="768" spans="1:9">
      <c r="A768" s="119">
        <v>442</v>
      </c>
      <c r="B768" s="119" t="s">
        <v>139</v>
      </c>
      <c r="C768" s="119" t="s">
        <v>181</v>
      </c>
      <c r="D768" s="119" t="s">
        <v>154</v>
      </c>
      <c r="E768" s="119">
        <v>25</v>
      </c>
      <c r="F768" s="119" t="s">
        <v>129</v>
      </c>
      <c r="G768" s="119">
        <v>92</v>
      </c>
    </row>
    <row r="769" spans="1:9">
      <c r="A769" s="119">
        <v>448</v>
      </c>
      <c r="B769" s="119" t="s">
        <v>139</v>
      </c>
      <c r="C769" s="119" t="s">
        <v>181</v>
      </c>
      <c r="D769" s="119" t="s">
        <v>154</v>
      </c>
      <c r="E769" s="119">
        <v>5</v>
      </c>
      <c r="F769" s="119" t="s">
        <v>142</v>
      </c>
      <c r="G769" s="119">
        <v>92</v>
      </c>
    </row>
    <row r="770" spans="1:9">
      <c r="A770" s="119">
        <v>432</v>
      </c>
      <c r="B770" s="119" t="s">
        <v>136</v>
      </c>
      <c r="C770" s="119" t="s">
        <v>181</v>
      </c>
      <c r="D770" s="119" t="s">
        <v>154</v>
      </c>
      <c r="E770" s="119">
        <v>150</v>
      </c>
      <c r="F770" s="119" t="s">
        <v>119</v>
      </c>
      <c r="G770" s="119">
        <v>92</v>
      </c>
      <c r="I770" s="119" t="s">
        <v>120</v>
      </c>
    </row>
    <row r="771" spans="1:9">
      <c r="A771" s="119">
        <v>436</v>
      </c>
      <c r="B771" s="119" t="s">
        <v>136</v>
      </c>
      <c r="C771" s="119" t="s">
        <v>181</v>
      </c>
      <c r="D771" s="119" t="s">
        <v>154</v>
      </c>
      <c r="E771" s="119">
        <v>100</v>
      </c>
      <c r="F771" s="119" t="s">
        <v>124</v>
      </c>
      <c r="G771" s="119">
        <v>92</v>
      </c>
      <c r="I771" s="119" t="s">
        <v>120</v>
      </c>
    </row>
    <row r="772" spans="1:9">
      <c r="A772" s="119">
        <v>437</v>
      </c>
      <c r="B772" s="119" t="s">
        <v>136</v>
      </c>
      <c r="C772" s="119" t="s">
        <v>181</v>
      </c>
      <c r="D772" s="119" t="s">
        <v>154</v>
      </c>
      <c r="E772" s="119">
        <v>75</v>
      </c>
      <c r="F772" s="119" t="s">
        <v>125</v>
      </c>
      <c r="G772" s="119">
        <v>92</v>
      </c>
      <c r="I772" s="119" t="s">
        <v>120</v>
      </c>
    </row>
    <row r="773" spans="1:9">
      <c r="A773" s="119">
        <v>440</v>
      </c>
      <c r="B773" s="119" t="s">
        <v>136</v>
      </c>
      <c r="C773" s="119" t="s">
        <v>181</v>
      </c>
      <c r="D773" s="119" t="s">
        <v>154</v>
      </c>
      <c r="E773" s="119">
        <v>50</v>
      </c>
      <c r="F773" s="119" t="s">
        <v>127</v>
      </c>
      <c r="G773" s="119">
        <v>92</v>
      </c>
      <c r="I773" s="119" t="s">
        <v>120</v>
      </c>
    </row>
    <row r="774" spans="1:9">
      <c r="A774" s="119">
        <v>442</v>
      </c>
      <c r="B774" s="119" t="s">
        <v>136</v>
      </c>
      <c r="C774" s="119" t="s">
        <v>181</v>
      </c>
      <c r="D774" s="119" t="s">
        <v>154</v>
      </c>
      <c r="E774" s="119">
        <v>25</v>
      </c>
      <c r="F774" s="119" t="s">
        <v>129</v>
      </c>
      <c r="G774" s="119">
        <v>92</v>
      </c>
      <c r="I774" s="119" t="s">
        <v>120</v>
      </c>
    </row>
    <row r="775" spans="1:9">
      <c r="A775" s="119">
        <v>448</v>
      </c>
      <c r="B775" s="119" t="s">
        <v>136</v>
      </c>
      <c r="C775" s="119" t="s">
        <v>181</v>
      </c>
      <c r="D775" s="119" t="s">
        <v>154</v>
      </c>
      <c r="E775" s="119">
        <v>5</v>
      </c>
      <c r="F775" s="119" t="s">
        <v>142</v>
      </c>
      <c r="G775" s="119">
        <v>92</v>
      </c>
      <c r="I775" s="119" t="s">
        <v>120</v>
      </c>
    </row>
    <row r="776" spans="1:9">
      <c r="A776" s="119">
        <v>440</v>
      </c>
      <c r="B776" s="119" t="s">
        <v>137</v>
      </c>
      <c r="C776" s="119" t="s">
        <v>181</v>
      </c>
      <c r="D776" s="119" t="s">
        <v>154</v>
      </c>
      <c r="E776" s="119">
        <v>50</v>
      </c>
      <c r="F776" s="119" t="s">
        <v>127</v>
      </c>
      <c r="G776" s="119">
        <v>92</v>
      </c>
      <c r="I776" s="119" t="s">
        <v>120</v>
      </c>
    </row>
    <row r="777" spans="1:9">
      <c r="A777" s="119">
        <v>442</v>
      </c>
      <c r="B777" s="119" t="s">
        <v>137</v>
      </c>
      <c r="C777" s="119" t="s">
        <v>181</v>
      </c>
      <c r="D777" s="119" t="s">
        <v>154</v>
      </c>
      <c r="E777" s="119">
        <v>25</v>
      </c>
      <c r="F777" s="119" t="s">
        <v>129</v>
      </c>
      <c r="G777" s="119">
        <v>92</v>
      </c>
      <c r="I777" s="119" t="s">
        <v>120</v>
      </c>
    </row>
    <row r="778" spans="1:9">
      <c r="A778" s="119">
        <v>448</v>
      </c>
      <c r="B778" s="119" t="s">
        <v>137</v>
      </c>
      <c r="C778" s="119" t="s">
        <v>181</v>
      </c>
      <c r="D778" s="119" t="s">
        <v>154</v>
      </c>
      <c r="E778" s="119">
        <v>5</v>
      </c>
      <c r="F778" s="119" t="s">
        <v>142</v>
      </c>
      <c r="G778" s="119">
        <v>92</v>
      </c>
      <c r="I778" s="119" t="s">
        <v>120</v>
      </c>
    </row>
    <row r="779" spans="1:9">
      <c r="A779" s="119">
        <v>444</v>
      </c>
      <c r="B779" s="119" t="s">
        <v>155</v>
      </c>
      <c r="C779" s="119" t="s">
        <v>181</v>
      </c>
      <c r="D779" s="119" t="s">
        <v>154</v>
      </c>
      <c r="E779" s="119">
        <v>5</v>
      </c>
      <c r="F779" s="119" t="s">
        <v>131</v>
      </c>
      <c r="G779" s="119">
        <v>92</v>
      </c>
      <c r="I779" s="119" t="s">
        <v>120</v>
      </c>
    </row>
    <row r="780" spans="1:9">
      <c r="A780" s="119">
        <v>448</v>
      </c>
      <c r="B780" s="119" t="s">
        <v>156</v>
      </c>
      <c r="C780" s="119" t="s">
        <v>181</v>
      </c>
      <c r="D780" s="119" t="s">
        <v>154</v>
      </c>
      <c r="E780" s="119">
        <v>5</v>
      </c>
      <c r="F780" s="119" t="s">
        <v>142</v>
      </c>
      <c r="G780" s="119">
        <v>92</v>
      </c>
      <c r="I780" s="119" t="s">
        <v>120</v>
      </c>
    </row>
    <row r="781" spans="1:9">
      <c r="A781" s="119">
        <v>447</v>
      </c>
      <c r="B781" s="119" t="s">
        <v>157</v>
      </c>
      <c r="C781" s="119" t="s">
        <v>181</v>
      </c>
      <c r="D781" s="119" t="s">
        <v>154</v>
      </c>
      <c r="E781" s="119">
        <v>5</v>
      </c>
      <c r="F781" s="119" t="s">
        <v>138</v>
      </c>
      <c r="G781" s="119">
        <v>92</v>
      </c>
      <c r="I781" s="119" t="s">
        <v>120</v>
      </c>
    </row>
    <row r="782" spans="1:9">
      <c r="A782" s="119">
        <v>446</v>
      </c>
      <c r="B782" s="119" t="s">
        <v>158</v>
      </c>
      <c r="C782" s="119" t="s">
        <v>181</v>
      </c>
      <c r="D782" s="119" t="s">
        <v>154</v>
      </c>
      <c r="E782" s="119">
        <v>5</v>
      </c>
      <c r="F782" s="119" t="s">
        <v>135</v>
      </c>
      <c r="G782" s="119">
        <v>92</v>
      </c>
    </row>
    <row r="783" spans="1:9">
      <c r="A783" s="119">
        <v>434</v>
      </c>
      <c r="B783" s="119" t="s">
        <v>160</v>
      </c>
      <c r="C783" s="119" t="s">
        <v>181</v>
      </c>
      <c r="D783" s="119" t="s">
        <v>154</v>
      </c>
      <c r="E783" s="119">
        <v>100</v>
      </c>
      <c r="F783" s="119" t="s">
        <v>122</v>
      </c>
      <c r="G783" s="119">
        <v>92</v>
      </c>
      <c r="I783" s="119" t="s">
        <v>120</v>
      </c>
    </row>
    <row r="784" spans="1:9">
      <c r="A784" s="119">
        <v>438</v>
      </c>
      <c r="B784" s="119" t="s">
        <v>160</v>
      </c>
      <c r="C784" s="119" t="s">
        <v>181</v>
      </c>
      <c r="D784" s="119" t="s">
        <v>154</v>
      </c>
      <c r="E784" s="119">
        <v>50</v>
      </c>
      <c r="F784" s="119" t="s">
        <v>134</v>
      </c>
      <c r="G784" s="119">
        <v>92</v>
      </c>
      <c r="I784" s="119" t="s">
        <v>120</v>
      </c>
    </row>
    <row r="785" spans="1:9">
      <c r="A785" s="119">
        <v>443</v>
      </c>
      <c r="B785" s="119" t="s">
        <v>160</v>
      </c>
      <c r="C785" s="119" t="s">
        <v>181</v>
      </c>
      <c r="D785" s="119" t="s">
        <v>154</v>
      </c>
      <c r="E785" s="119">
        <v>25</v>
      </c>
      <c r="F785" s="119" t="s">
        <v>130</v>
      </c>
      <c r="G785" s="119">
        <v>92</v>
      </c>
      <c r="I785" s="119" t="s">
        <v>120</v>
      </c>
    </row>
    <row r="786" spans="1:9">
      <c r="A786" s="119">
        <v>445</v>
      </c>
      <c r="B786" s="119" t="s">
        <v>160</v>
      </c>
      <c r="C786" s="119" t="s">
        <v>181</v>
      </c>
      <c r="D786" s="119" t="s">
        <v>154</v>
      </c>
      <c r="E786" s="119">
        <v>5</v>
      </c>
      <c r="F786" s="119" t="s">
        <v>132</v>
      </c>
      <c r="G786" s="119">
        <v>92</v>
      </c>
      <c r="I786" s="119" t="s">
        <v>120</v>
      </c>
    </row>
    <row r="787" spans="1:9">
      <c r="A787" s="119">
        <v>449</v>
      </c>
      <c r="B787" s="119" t="s">
        <v>139</v>
      </c>
      <c r="C787" s="119" t="s">
        <v>182</v>
      </c>
      <c r="D787" s="119" t="s">
        <v>154</v>
      </c>
      <c r="E787" s="119">
        <v>300</v>
      </c>
      <c r="F787" s="119" t="s">
        <v>133</v>
      </c>
      <c r="G787" s="119">
        <v>96</v>
      </c>
    </row>
    <row r="788" spans="1:9">
      <c r="A788" s="119">
        <v>450</v>
      </c>
      <c r="B788" s="119" t="s">
        <v>139</v>
      </c>
      <c r="C788" s="119" t="s">
        <v>182</v>
      </c>
      <c r="D788" s="119" t="s">
        <v>154</v>
      </c>
      <c r="E788" s="119">
        <v>200</v>
      </c>
      <c r="F788" s="119" t="s">
        <v>117</v>
      </c>
      <c r="G788" s="119">
        <v>96</v>
      </c>
    </row>
    <row r="789" spans="1:9">
      <c r="A789" s="119">
        <v>452</v>
      </c>
      <c r="B789" s="119" t="s">
        <v>139</v>
      </c>
      <c r="C789" s="119" t="s">
        <v>182</v>
      </c>
      <c r="D789" s="119" t="s">
        <v>154</v>
      </c>
      <c r="E789" s="119">
        <v>150</v>
      </c>
      <c r="F789" s="119" t="s">
        <v>119</v>
      </c>
      <c r="G789" s="119">
        <v>96</v>
      </c>
    </row>
    <row r="790" spans="1:9">
      <c r="A790" s="119">
        <v>453</v>
      </c>
      <c r="B790" s="119" t="s">
        <v>139</v>
      </c>
      <c r="C790" s="119" t="s">
        <v>182</v>
      </c>
      <c r="D790" s="119" t="s">
        <v>154</v>
      </c>
      <c r="E790" s="119">
        <v>150</v>
      </c>
      <c r="F790" s="119" t="s">
        <v>121</v>
      </c>
      <c r="G790" s="119">
        <v>96</v>
      </c>
      <c r="I790" s="119" t="s">
        <v>120</v>
      </c>
    </row>
    <row r="791" spans="1:9">
      <c r="A791" s="119">
        <v>456</v>
      </c>
      <c r="B791" s="119" t="s">
        <v>139</v>
      </c>
      <c r="C791" s="119" t="s">
        <v>182</v>
      </c>
      <c r="D791" s="119" t="s">
        <v>154</v>
      </c>
      <c r="E791" s="119">
        <v>100</v>
      </c>
      <c r="F791" s="119" t="s">
        <v>124</v>
      </c>
      <c r="G791" s="119">
        <v>96</v>
      </c>
    </row>
    <row r="792" spans="1:9">
      <c r="A792" s="119">
        <v>457</v>
      </c>
      <c r="B792" s="119" t="s">
        <v>139</v>
      </c>
      <c r="C792" s="119" t="s">
        <v>182</v>
      </c>
      <c r="D792" s="119" t="s">
        <v>154</v>
      </c>
      <c r="E792" s="119">
        <v>75</v>
      </c>
      <c r="F792" s="119" t="s">
        <v>125</v>
      </c>
      <c r="G792" s="119">
        <v>96</v>
      </c>
    </row>
    <row r="793" spans="1:9">
      <c r="A793" s="119">
        <v>460</v>
      </c>
      <c r="B793" s="119" t="s">
        <v>139</v>
      </c>
      <c r="C793" s="119" t="s">
        <v>182</v>
      </c>
      <c r="D793" s="119" t="s">
        <v>154</v>
      </c>
      <c r="E793" s="119">
        <v>50</v>
      </c>
      <c r="F793" s="119" t="s">
        <v>127</v>
      </c>
      <c r="G793" s="119">
        <v>96</v>
      </c>
    </row>
    <row r="794" spans="1:9">
      <c r="A794" s="119">
        <v>462</v>
      </c>
      <c r="B794" s="119" t="s">
        <v>139</v>
      </c>
      <c r="C794" s="119" t="s">
        <v>182</v>
      </c>
      <c r="D794" s="119" t="s">
        <v>154</v>
      </c>
      <c r="E794" s="119">
        <v>25</v>
      </c>
      <c r="F794" s="119" t="s">
        <v>129</v>
      </c>
      <c r="G794" s="119">
        <v>96</v>
      </c>
    </row>
    <row r="795" spans="1:9">
      <c r="A795" s="119">
        <v>468</v>
      </c>
      <c r="B795" s="119" t="s">
        <v>139</v>
      </c>
      <c r="C795" s="119" t="s">
        <v>182</v>
      </c>
      <c r="D795" s="119" t="s">
        <v>154</v>
      </c>
      <c r="E795" s="119">
        <v>5</v>
      </c>
      <c r="F795" s="119" t="s">
        <v>142</v>
      </c>
      <c r="G795" s="119">
        <v>96</v>
      </c>
    </row>
    <row r="796" spans="1:9">
      <c r="A796" s="119">
        <v>452</v>
      </c>
      <c r="B796" s="119" t="s">
        <v>136</v>
      </c>
      <c r="C796" s="119" t="s">
        <v>182</v>
      </c>
      <c r="D796" s="119" t="s">
        <v>154</v>
      </c>
      <c r="E796" s="119">
        <v>150</v>
      </c>
      <c r="F796" s="119" t="s">
        <v>119</v>
      </c>
      <c r="G796" s="119">
        <v>96</v>
      </c>
      <c r="I796" s="119" t="s">
        <v>120</v>
      </c>
    </row>
    <row r="797" spans="1:9">
      <c r="A797" s="119">
        <v>456</v>
      </c>
      <c r="B797" s="119" t="s">
        <v>136</v>
      </c>
      <c r="C797" s="119" t="s">
        <v>182</v>
      </c>
      <c r="D797" s="119" t="s">
        <v>154</v>
      </c>
      <c r="E797" s="119">
        <v>100</v>
      </c>
      <c r="F797" s="119" t="s">
        <v>124</v>
      </c>
      <c r="G797" s="119">
        <v>96</v>
      </c>
      <c r="I797" s="119" t="s">
        <v>120</v>
      </c>
    </row>
    <row r="798" spans="1:9">
      <c r="A798" s="119">
        <v>457</v>
      </c>
      <c r="B798" s="119" t="s">
        <v>136</v>
      </c>
      <c r="C798" s="119" t="s">
        <v>182</v>
      </c>
      <c r="D798" s="119" t="s">
        <v>154</v>
      </c>
      <c r="E798" s="119">
        <v>75</v>
      </c>
      <c r="F798" s="119" t="s">
        <v>125</v>
      </c>
      <c r="G798" s="119">
        <v>96</v>
      </c>
      <c r="I798" s="119" t="s">
        <v>120</v>
      </c>
    </row>
    <row r="799" spans="1:9">
      <c r="A799" s="119">
        <v>460</v>
      </c>
      <c r="B799" s="119" t="s">
        <v>136</v>
      </c>
      <c r="C799" s="119" t="s">
        <v>182</v>
      </c>
      <c r="D799" s="119" t="s">
        <v>154</v>
      </c>
      <c r="E799" s="119">
        <v>50</v>
      </c>
      <c r="F799" s="119" t="s">
        <v>127</v>
      </c>
      <c r="G799" s="119">
        <v>96</v>
      </c>
      <c r="I799" s="119" t="s">
        <v>120</v>
      </c>
    </row>
    <row r="800" spans="1:9">
      <c r="A800" s="119">
        <v>462</v>
      </c>
      <c r="B800" s="119" t="s">
        <v>136</v>
      </c>
      <c r="C800" s="119" t="s">
        <v>182</v>
      </c>
      <c r="D800" s="119" t="s">
        <v>154</v>
      </c>
      <c r="E800" s="119">
        <v>25</v>
      </c>
      <c r="F800" s="119" t="s">
        <v>129</v>
      </c>
      <c r="G800" s="119">
        <v>96</v>
      </c>
      <c r="I800" s="119" t="s">
        <v>120</v>
      </c>
    </row>
    <row r="801" spans="1:9">
      <c r="A801" s="119">
        <v>468</v>
      </c>
      <c r="B801" s="119" t="s">
        <v>136</v>
      </c>
      <c r="C801" s="119" t="s">
        <v>182</v>
      </c>
      <c r="D801" s="119" t="s">
        <v>154</v>
      </c>
      <c r="E801" s="119">
        <v>5</v>
      </c>
      <c r="F801" s="119" t="s">
        <v>142</v>
      </c>
      <c r="G801" s="119">
        <v>96</v>
      </c>
      <c r="I801" s="119" t="s">
        <v>120</v>
      </c>
    </row>
    <row r="802" spans="1:9">
      <c r="A802" s="119">
        <v>460</v>
      </c>
      <c r="B802" s="119" t="s">
        <v>137</v>
      </c>
      <c r="C802" s="119" t="s">
        <v>182</v>
      </c>
      <c r="D802" s="119" t="s">
        <v>154</v>
      </c>
      <c r="E802" s="119">
        <v>50</v>
      </c>
      <c r="F802" s="119" t="s">
        <v>127</v>
      </c>
      <c r="G802" s="119">
        <v>96</v>
      </c>
      <c r="I802" s="119" t="s">
        <v>120</v>
      </c>
    </row>
    <row r="803" spans="1:9">
      <c r="A803" s="119">
        <v>462</v>
      </c>
      <c r="B803" s="119" t="s">
        <v>137</v>
      </c>
      <c r="C803" s="119" t="s">
        <v>182</v>
      </c>
      <c r="D803" s="119" t="s">
        <v>154</v>
      </c>
      <c r="E803" s="119">
        <v>25</v>
      </c>
      <c r="F803" s="119" t="s">
        <v>129</v>
      </c>
      <c r="G803" s="119">
        <v>96</v>
      </c>
      <c r="I803" s="119" t="s">
        <v>120</v>
      </c>
    </row>
    <row r="804" spans="1:9">
      <c r="A804" s="119">
        <v>468</v>
      </c>
      <c r="B804" s="119" t="s">
        <v>137</v>
      </c>
      <c r="C804" s="119" t="s">
        <v>182</v>
      </c>
      <c r="D804" s="119" t="s">
        <v>154</v>
      </c>
      <c r="E804" s="119">
        <v>5</v>
      </c>
      <c r="F804" s="119" t="s">
        <v>142</v>
      </c>
      <c r="G804" s="119">
        <v>96</v>
      </c>
      <c r="I804" s="119" t="s">
        <v>120</v>
      </c>
    </row>
    <row r="805" spans="1:9">
      <c r="A805" s="119">
        <v>464</v>
      </c>
      <c r="B805" s="119" t="s">
        <v>155</v>
      </c>
      <c r="C805" s="119" t="s">
        <v>182</v>
      </c>
      <c r="D805" s="119" t="s">
        <v>154</v>
      </c>
      <c r="E805" s="119">
        <v>5</v>
      </c>
      <c r="F805" s="119" t="s">
        <v>131</v>
      </c>
      <c r="G805" s="119">
        <v>96</v>
      </c>
      <c r="I805" s="119" t="s">
        <v>120</v>
      </c>
    </row>
    <row r="806" spans="1:9">
      <c r="A806" s="119">
        <v>468</v>
      </c>
      <c r="B806" s="119" t="s">
        <v>156</v>
      </c>
      <c r="C806" s="119" t="s">
        <v>182</v>
      </c>
      <c r="D806" s="119" t="s">
        <v>154</v>
      </c>
      <c r="E806" s="119">
        <v>5</v>
      </c>
      <c r="F806" s="119" t="s">
        <v>142</v>
      </c>
      <c r="G806" s="119">
        <v>96</v>
      </c>
      <c r="I806" s="119" t="s">
        <v>120</v>
      </c>
    </row>
    <row r="807" spans="1:9">
      <c r="A807" s="119">
        <v>467</v>
      </c>
      <c r="B807" s="119" t="s">
        <v>157</v>
      </c>
      <c r="C807" s="119" t="s">
        <v>182</v>
      </c>
      <c r="D807" s="119" t="s">
        <v>154</v>
      </c>
      <c r="E807" s="119">
        <v>5</v>
      </c>
      <c r="F807" s="119" t="s">
        <v>138</v>
      </c>
      <c r="G807" s="119">
        <v>96</v>
      </c>
      <c r="I807" s="119" t="s">
        <v>120</v>
      </c>
    </row>
    <row r="808" spans="1:9">
      <c r="A808" s="119">
        <v>466</v>
      </c>
      <c r="B808" s="119" t="s">
        <v>158</v>
      </c>
      <c r="C808" s="119" t="s">
        <v>182</v>
      </c>
      <c r="D808" s="119" t="s">
        <v>154</v>
      </c>
      <c r="E808" s="119">
        <v>5</v>
      </c>
      <c r="F808" s="119" t="s">
        <v>135</v>
      </c>
      <c r="G808" s="119">
        <v>96</v>
      </c>
    </row>
    <row r="809" spans="1:9">
      <c r="A809" s="119">
        <v>451</v>
      </c>
      <c r="B809" s="119" t="s">
        <v>159</v>
      </c>
      <c r="C809" s="119" t="s">
        <v>182</v>
      </c>
      <c r="D809" s="119" t="s">
        <v>154</v>
      </c>
      <c r="E809" s="119">
        <v>150</v>
      </c>
      <c r="F809" s="119" t="s">
        <v>118</v>
      </c>
      <c r="G809" s="119">
        <v>96</v>
      </c>
      <c r="I809" s="119" t="s">
        <v>120</v>
      </c>
    </row>
    <row r="810" spans="1:9">
      <c r="A810" s="119">
        <v>455</v>
      </c>
      <c r="B810" s="119" t="s">
        <v>159</v>
      </c>
      <c r="C810" s="119" t="s">
        <v>182</v>
      </c>
      <c r="D810" s="119" t="s">
        <v>154</v>
      </c>
      <c r="E810" s="119">
        <v>100</v>
      </c>
      <c r="F810" s="119" t="s">
        <v>123</v>
      </c>
      <c r="G810" s="119">
        <v>96</v>
      </c>
      <c r="I810" s="119" t="s">
        <v>120</v>
      </c>
    </row>
    <row r="811" spans="1:9">
      <c r="A811" s="119">
        <v>459</v>
      </c>
      <c r="B811" s="119" t="s">
        <v>159</v>
      </c>
      <c r="C811" s="119" t="s">
        <v>182</v>
      </c>
      <c r="D811" s="119" t="s">
        <v>154</v>
      </c>
      <c r="E811" s="119">
        <v>50</v>
      </c>
      <c r="F811" s="119" t="s">
        <v>126</v>
      </c>
      <c r="G811" s="119">
        <v>96</v>
      </c>
      <c r="I811" s="119" t="s">
        <v>120</v>
      </c>
    </row>
    <row r="812" spans="1:9">
      <c r="A812" s="119">
        <v>461</v>
      </c>
      <c r="B812" s="119" t="s">
        <v>159</v>
      </c>
      <c r="C812" s="119" t="s">
        <v>182</v>
      </c>
      <c r="D812" s="119" t="s">
        <v>154</v>
      </c>
      <c r="E812" s="119">
        <v>25</v>
      </c>
      <c r="F812" s="119" t="s">
        <v>128</v>
      </c>
      <c r="G812" s="119">
        <v>96</v>
      </c>
      <c r="I812" s="119" t="s">
        <v>120</v>
      </c>
    </row>
    <row r="813" spans="1:9">
      <c r="A813" s="119">
        <v>467</v>
      </c>
      <c r="B813" s="119" t="s">
        <v>159</v>
      </c>
      <c r="C813" s="119" t="s">
        <v>182</v>
      </c>
      <c r="D813" s="119" t="s">
        <v>154</v>
      </c>
      <c r="E813" s="119">
        <v>5</v>
      </c>
      <c r="F813" s="119" t="s">
        <v>138</v>
      </c>
      <c r="G813" s="119">
        <v>96</v>
      </c>
      <c r="I813" s="119" t="s">
        <v>120</v>
      </c>
    </row>
    <row r="814" spans="1:9">
      <c r="A814" s="119">
        <v>454</v>
      </c>
      <c r="B814" s="119" t="s">
        <v>160</v>
      </c>
      <c r="C814" s="119" t="s">
        <v>182</v>
      </c>
      <c r="D814" s="119" t="s">
        <v>154</v>
      </c>
      <c r="E814" s="119">
        <v>100</v>
      </c>
      <c r="F814" s="119" t="s">
        <v>122</v>
      </c>
      <c r="G814" s="119">
        <v>96</v>
      </c>
      <c r="I814" s="119" t="s">
        <v>120</v>
      </c>
    </row>
    <row r="815" spans="1:9">
      <c r="A815" s="119">
        <v>458</v>
      </c>
      <c r="B815" s="119" t="s">
        <v>160</v>
      </c>
      <c r="C815" s="119" t="s">
        <v>182</v>
      </c>
      <c r="D815" s="119" t="s">
        <v>154</v>
      </c>
      <c r="E815" s="119">
        <v>50</v>
      </c>
      <c r="F815" s="119" t="s">
        <v>134</v>
      </c>
      <c r="G815" s="119">
        <v>96</v>
      </c>
      <c r="I815" s="119" t="s">
        <v>120</v>
      </c>
    </row>
    <row r="816" spans="1:9">
      <c r="A816" s="119">
        <v>463</v>
      </c>
      <c r="B816" s="119" t="s">
        <v>160</v>
      </c>
      <c r="C816" s="119" t="s">
        <v>182</v>
      </c>
      <c r="D816" s="119" t="s">
        <v>154</v>
      </c>
      <c r="E816" s="119">
        <v>25</v>
      </c>
      <c r="F816" s="119" t="s">
        <v>130</v>
      </c>
      <c r="G816" s="119">
        <v>96</v>
      </c>
      <c r="I816" s="119" t="s">
        <v>120</v>
      </c>
    </row>
    <row r="817" spans="1:9">
      <c r="A817" s="119">
        <v>465</v>
      </c>
      <c r="B817" s="119" t="s">
        <v>160</v>
      </c>
      <c r="C817" s="119" t="s">
        <v>182</v>
      </c>
      <c r="D817" s="119" t="s">
        <v>154</v>
      </c>
      <c r="E817" s="119">
        <v>5</v>
      </c>
      <c r="F817" s="119" t="s">
        <v>132</v>
      </c>
      <c r="G817" s="119">
        <v>96</v>
      </c>
      <c r="I817" s="119" t="s">
        <v>120</v>
      </c>
    </row>
    <row r="818" spans="1:9">
      <c r="A818" s="119">
        <v>469</v>
      </c>
      <c r="B818" s="119" t="s">
        <v>116</v>
      </c>
      <c r="C818" s="119" t="s">
        <v>183</v>
      </c>
      <c r="D818" s="119" t="s">
        <v>154</v>
      </c>
      <c r="E818" s="119">
        <v>300</v>
      </c>
      <c r="F818" s="119" t="s">
        <v>133</v>
      </c>
      <c r="G818" s="119">
        <v>100</v>
      </c>
    </row>
    <row r="819" spans="1:9">
      <c r="A819" s="119">
        <v>470</v>
      </c>
      <c r="B819" s="119" t="s">
        <v>116</v>
      </c>
      <c r="C819" s="119" t="s">
        <v>183</v>
      </c>
      <c r="D819" s="119" t="s">
        <v>154</v>
      </c>
      <c r="E819" s="119">
        <v>200</v>
      </c>
      <c r="F819" s="119" t="s">
        <v>117</v>
      </c>
      <c r="G819" s="119">
        <v>100</v>
      </c>
      <c r="I819" s="119" t="s">
        <v>120</v>
      </c>
    </row>
    <row r="820" spans="1:9">
      <c r="A820" s="119">
        <v>472</v>
      </c>
      <c r="B820" s="119" t="s">
        <v>116</v>
      </c>
      <c r="C820" s="119" t="s">
        <v>183</v>
      </c>
      <c r="D820" s="119" t="s">
        <v>154</v>
      </c>
      <c r="E820" s="119">
        <v>150</v>
      </c>
      <c r="F820" s="119" t="s">
        <v>119</v>
      </c>
      <c r="G820" s="119">
        <v>100</v>
      </c>
    </row>
    <row r="821" spans="1:9">
      <c r="A821" s="119">
        <v>476</v>
      </c>
      <c r="B821" s="119" t="s">
        <v>116</v>
      </c>
      <c r="C821" s="119" t="s">
        <v>183</v>
      </c>
      <c r="D821" s="119" t="s">
        <v>154</v>
      </c>
      <c r="E821" s="119">
        <v>100</v>
      </c>
      <c r="F821" s="119" t="s">
        <v>124</v>
      </c>
      <c r="G821" s="119">
        <v>100</v>
      </c>
    </row>
    <row r="822" spans="1:9">
      <c r="A822" s="119">
        <v>477</v>
      </c>
      <c r="B822" s="119" t="s">
        <v>116</v>
      </c>
      <c r="C822" s="119" t="s">
        <v>183</v>
      </c>
      <c r="D822" s="119" t="s">
        <v>154</v>
      </c>
      <c r="E822" s="119">
        <v>75</v>
      </c>
      <c r="F822" s="119" t="s">
        <v>125</v>
      </c>
      <c r="G822" s="119">
        <v>100</v>
      </c>
    </row>
    <row r="823" spans="1:9">
      <c r="A823" s="119">
        <v>480</v>
      </c>
      <c r="B823" s="119" t="s">
        <v>116</v>
      </c>
      <c r="C823" s="119" t="s">
        <v>183</v>
      </c>
      <c r="D823" s="119" t="s">
        <v>154</v>
      </c>
      <c r="E823" s="119">
        <v>50</v>
      </c>
      <c r="F823" s="119" t="s">
        <v>127</v>
      </c>
      <c r="G823" s="119">
        <v>100</v>
      </c>
    </row>
    <row r="824" spans="1:9">
      <c r="A824" s="119">
        <v>482</v>
      </c>
      <c r="B824" s="119" t="s">
        <v>116</v>
      </c>
      <c r="C824" s="119" t="s">
        <v>183</v>
      </c>
      <c r="D824" s="119" t="s">
        <v>154</v>
      </c>
      <c r="E824" s="119">
        <v>25</v>
      </c>
      <c r="F824" s="119" t="s">
        <v>129</v>
      </c>
      <c r="G824" s="119">
        <v>100</v>
      </c>
      <c r="I824" s="119" t="s">
        <v>120</v>
      </c>
    </row>
    <row r="825" spans="1:9">
      <c r="A825" s="119">
        <v>487</v>
      </c>
      <c r="B825" s="119" t="s">
        <v>116</v>
      </c>
      <c r="C825" s="119" t="s">
        <v>183</v>
      </c>
      <c r="D825" s="119" t="s">
        <v>154</v>
      </c>
      <c r="E825" s="119">
        <v>5</v>
      </c>
      <c r="F825" s="119" t="s">
        <v>138</v>
      </c>
      <c r="G825" s="119">
        <v>100</v>
      </c>
    </row>
    <row r="826" spans="1:9">
      <c r="A826" s="119">
        <v>469</v>
      </c>
      <c r="B826" s="119" t="s">
        <v>139</v>
      </c>
      <c r="C826" s="119" t="s">
        <v>183</v>
      </c>
      <c r="D826" s="119" t="s">
        <v>154</v>
      </c>
      <c r="E826" s="119">
        <v>300</v>
      </c>
      <c r="F826" s="119" t="s">
        <v>133</v>
      </c>
      <c r="G826" s="119">
        <v>100</v>
      </c>
    </row>
    <row r="827" spans="1:9">
      <c r="A827" s="119">
        <v>470</v>
      </c>
      <c r="B827" s="119" t="s">
        <v>139</v>
      </c>
      <c r="C827" s="119" t="s">
        <v>183</v>
      </c>
      <c r="D827" s="119" t="s">
        <v>154</v>
      </c>
      <c r="E827" s="119">
        <v>200</v>
      </c>
      <c r="F827" s="119" t="s">
        <v>117</v>
      </c>
      <c r="G827" s="119">
        <v>100</v>
      </c>
    </row>
    <row r="828" spans="1:9">
      <c r="A828" s="119">
        <v>472</v>
      </c>
      <c r="B828" s="119" t="s">
        <v>139</v>
      </c>
      <c r="C828" s="119" t="s">
        <v>183</v>
      </c>
      <c r="D828" s="119" t="s">
        <v>154</v>
      </c>
      <c r="E828" s="119">
        <v>150</v>
      </c>
      <c r="F828" s="119" t="s">
        <v>119</v>
      </c>
      <c r="G828" s="119">
        <v>100</v>
      </c>
    </row>
    <row r="829" spans="1:9">
      <c r="A829" s="119">
        <v>473</v>
      </c>
      <c r="B829" s="119" t="s">
        <v>139</v>
      </c>
      <c r="C829" s="119" t="s">
        <v>183</v>
      </c>
      <c r="D829" s="119" t="s">
        <v>154</v>
      </c>
      <c r="E829" s="119">
        <v>125</v>
      </c>
      <c r="F829" s="119" t="s">
        <v>121</v>
      </c>
      <c r="G829" s="119">
        <v>100</v>
      </c>
      <c r="I829" s="119" t="s">
        <v>120</v>
      </c>
    </row>
    <row r="830" spans="1:9">
      <c r="A830" s="119">
        <v>476</v>
      </c>
      <c r="B830" s="119" t="s">
        <v>139</v>
      </c>
      <c r="C830" s="119" t="s">
        <v>183</v>
      </c>
      <c r="D830" s="119" t="s">
        <v>154</v>
      </c>
      <c r="E830" s="119">
        <v>100</v>
      </c>
      <c r="F830" s="119" t="s">
        <v>124</v>
      </c>
      <c r="G830" s="119">
        <v>100</v>
      </c>
    </row>
    <row r="831" spans="1:9">
      <c r="A831" s="119">
        <v>477</v>
      </c>
      <c r="B831" s="119" t="s">
        <v>139</v>
      </c>
      <c r="C831" s="119" t="s">
        <v>183</v>
      </c>
      <c r="D831" s="119" t="s">
        <v>154</v>
      </c>
      <c r="E831" s="119">
        <v>75</v>
      </c>
      <c r="F831" s="119" t="s">
        <v>125</v>
      </c>
      <c r="G831" s="119">
        <v>100</v>
      </c>
    </row>
    <row r="832" spans="1:9">
      <c r="A832" s="119">
        <v>480</v>
      </c>
      <c r="B832" s="119" t="s">
        <v>139</v>
      </c>
      <c r="C832" s="119" t="s">
        <v>183</v>
      </c>
      <c r="D832" s="119" t="s">
        <v>154</v>
      </c>
      <c r="E832" s="119">
        <v>50</v>
      </c>
      <c r="F832" s="119" t="s">
        <v>127</v>
      </c>
      <c r="G832" s="119">
        <v>100</v>
      </c>
    </row>
    <row r="833" spans="1:9">
      <c r="A833" s="119">
        <v>482</v>
      </c>
      <c r="B833" s="119" t="s">
        <v>139</v>
      </c>
      <c r="C833" s="119" t="s">
        <v>183</v>
      </c>
      <c r="D833" s="119" t="s">
        <v>154</v>
      </c>
      <c r="E833" s="119">
        <v>25</v>
      </c>
      <c r="F833" s="119" t="s">
        <v>129</v>
      </c>
      <c r="G833" s="119">
        <v>100</v>
      </c>
    </row>
    <row r="834" spans="1:9">
      <c r="A834" s="119">
        <v>488</v>
      </c>
      <c r="B834" s="119" t="s">
        <v>139</v>
      </c>
      <c r="C834" s="119" t="s">
        <v>183</v>
      </c>
      <c r="D834" s="119" t="s">
        <v>154</v>
      </c>
      <c r="E834" s="119">
        <v>5</v>
      </c>
      <c r="F834" s="119" t="s">
        <v>142</v>
      </c>
      <c r="G834" s="119">
        <v>100</v>
      </c>
    </row>
    <row r="835" spans="1:9">
      <c r="A835" s="119">
        <v>472</v>
      </c>
      <c r="B835" s="119" t="s">
        <v>136</v>
      </c>
      <c r="C835" s="119" t="s">
        <v>183</v>
      </c>
      <c r="D835" s="119" t="s">
        <v>154</v>
      </c>
      <c r="E835" s="119">
        <v>150</v>
      </c>
      <c r="F835" s="119" t="s">
        <v>119</v>
      </c>
      <c r="G835" s="119">
        <v>100</v>
      </c>
      <c r="I835" s="119" t="s">
        <v>120</v>
      </c>
    </row>
    <row r="836" spans="1:9">
      <c r="A836" s="119">
        <v>476</v>
      </c>
      <c r="B836" s="119" t="s">
        <v>136</v>
      </c>
      <c r="C836" s="119" t="s">
        <v>183</v>
      </c>
      <c r="D836" s="119" t="s">
        <v>154</v>
      </c>
      <c r="E836" s="119">
        <v>100</v>
      </c>
      <c r="F836" s="119" t="s">
        <v>124</v>
      </c>
      <c r="G836" s="119">
        <v>100</v>
      </c>
      <c r="I836" s="119" t="s">
        <v>120</v>
      </c>
    </row>
    <row r="837" spans="1:9">
      <c r="A837" s="119">
        <v>477</v>
      </c>
      <c r="B837" s="119" t="s">
        <v>136</v>
      </c>
      <c r="C837" s="119" t="s">
        <v>183</v>
      </c>
      <c r="D837" s="119" t="s">
        <v>154</v>
      </c>
      <c r="E837" s="119">
        <v>75</v>
      </c>
      <c r="F837" s="119" t="s">
        <v>125</v>
      </c>
      <c r="G837" s="119">
        <v>100</v>
      </c>
      <c r="I837" s="119" t="s">
        <v>120</v>
      </c>
    </row>
    <row r="838" spans="1:9">
      <c r="A838" s="119">
        <v>480</v>
      </c>
      <c r="B838" s="119" t="s">
        <v>136</v>
      </c>
      <c r="C838" s="119" t="s">
        <v>183</v>
      </c>
      <c r="D838" s="119" t="s">
        <v>154</v>
      </c>
      <c r="E838" s="119">
        <v>50</v>
      </c>
      <c r="F838" s="119" t="s">
        <v>127</v>
      </c>
      <c r="G838" s="119">
        <v>100</v>
      </c>
      <c r="I838" s="119" t="s">
        <v>120</v>
      </c>
    </row>
    <row r="839" spans="1:9">
      <c r="A839" s="119">
        <v>482</v>
      </c>
      <c r="B839" s="119" t="s">
        <v>136</v>
      </c>
      <c r="C839" s="119" t="s">
        <v>183</v>
      </c>
      <c r="D839" s="119" t="s">
        <v>154</v>
      </c>
      <c r="E839" s="119">
        <v>25</v>
      </c>
      <c r="F839" s="119" t="s">
        <v>129</v>
      </c>
      <c r="G839" s="119">
        <v>100</v>
      </c>
      <c r="I839" s="119" t="s">
        <v>120</v>
      </c>
    </row>
    <row r="840" spans="1:9">
      <c r="A840" s="119">
        <v>488</v>
      </c>
      <c r="B840" s="119" t="s">
        <v>136</v>
      </c>
      <c r="C840" s="119" t="s">
        <v>183</v>
      </c>
      <c r="D840" s="119" t="s">
        <v>154</v>
      </c>
      <c r="E840" s="119">
        <v>5</v>
      </c>
      <c r="F840" s="119" t="s">
        <v>142</v>
      </c>
      <c r="G840" s="119">
        <v>100</v>
      </c>
      <c r="I840" s="119" t="s">
        <v>120</v>
      </c>
    </row>
    <row r="841" spans="1:9">
      <c r="A841" s="119">
        <v>480</v>
      </c>
      <c r="B841" s="119" t="s">
        <v>137</v>
      </c>
      <c r="C841" s="119" t="s">
        <v>183</v>
      </c>
      <c r="D841" s="119" t="s">
        <v>154</v>
      </c>
      <c r="E841" s="119">
        <v>50</v>
      </c>
      <c r="F841" s="119" t="s">
        <v>127</v>
      </c>
      <c r="G841" s="119">
        <v>100</v>
      </c>
      <c r="I841" s="119" t="s">
        <v>120</v>
      </c>
    </row>
    <row r="842" spans="1:9">
      <c r="A842" s="119">
        <v>482</v>
      </c>
      <c r="B842" s="119" t="s">
        <v>137</v>
      </c>
      <c r="C842" s="119" t="s">
        <v>183</v>
      </c>
      <c r="D842" s="119" t="s">
        <v>154</v>
      </c>
      <c r="E842" s="119">
        <v>25</v>
      </c>
      <c r="F842" s="119" t="s">
        <v>129</v>
      </c>
      <c r="G842" s="119">
        <v>100</v>
      </c>
      <c r="I842" s="119" t="s">
        <v>120</v>
      </c>
    </row>
    <row r="843" spans="1:9">
      <c r="A843" s="119">
        <v>488</v>
      </c>
      <c r="B843" s="119" t="s">
        <v>137</v>
      </c>
      <c r="C843" s="119" t="s">
        <v>183</v>
      </c>
      <c r="D843" s="119" t="s">
        <v>154</v>
      </c>
      <c r="E843" s="119">
        <v>5</v>
      </c>
      <c r="F843" s="119" t="s">
        <v>142</v>
      </c>
      <c r="G843" s="119">
        <v>100</v>
      </c>
      <c r="I843" s="119" t="s">
        <v>120</v>
      </c>
    </row>
    <row r="844" spans="1:9">
      <c r="A844" s="119">
        <v>484</v>
      </c>
      <c r="B844" s="119" t="s">
        <v>155</v>
      </c>
      <c r="C844" s="119" t="s">
        <v>183</v>
      </c>
      <c r="D844" s="119" t="s">
        <v>154</v>
      </c>
      <c r="E844" s="119">
        <v>5</v>
      </c>
      <c r="F844" s="119" t="s">
        <v>131</v>
      </c>
      <c r="G844" s="119">
        <v>100</v>
      </c>
      <c r="I844" s="119" t="s">
        <v>120</v>
      </c>
    </row>
    <row r="845" spans="1:9">
      <c r="A845" s="119">
        <v>488</v>
      </c>
      <c r="B845" s="119" t="s">
        <v>156</v>
      </c>
      <c r="C845" s="119" t="s">
        <v>183</v>
      </c>
      <c r="D845" s="119" t="s">
        <v>154</v>
      </c>
      <c r="E845" s="119">
        <v>5</v>
      </c>
      <c r="F845" s="119" t="s">
        <v>142</v>
      </c>
      <c r="G845" s="119">
        <v>100</v>
      </c>
      <c r="I845" s="119" t="s">
        <v>120</v>
      </c>
    </row>
    <row r="846" spans="1:9">
      <c r="A846" s="119">
        <v>487</v>
      </c>
      <c r="B846" s="119" t="s">
        <v>157</v>
      </c>
      <c r="C846" s="119" t="s">
        <v>183</v>
      </c>
      <c r="D846" s="119" t="s">
        <v>154</v>
      </c>
      <c r="E846" s="119">
        <v>5</v>
      </c>
      <c r="F846" s="119" t="s">
        <v>138</v>
      </c>
      <c r="G846" s="119">
        <v>100</v>
      </c>
      <c r="I846" s="119" t="s">
        <v>120</v>
      </c>
    </row>
    <row r="847" spans="1:9">
      <c r="A847" s="119">
        <v>486</v>
      </c>
      <c r="B847" s="119" t="s">
        <v>158</v>
      </c>
      <c r="C847" s="119" t="s">
        <v>183</v>
      </c>
      <c r="D847" s="119" t="s">
        <v>154</v>
      </c>
      <c r="E847" s="119">
        <v>5</v>
      </c>
      <c r="F847" s="119" t="s">
        <v>135</v>
      </c>
      <c r="G847" s="119">
        <v>100</v>
      </c>
    </row>
    <row r="848" spans="1:9">
      <c r="A848" s="119">
        <v>471</v>
      </c>
      <c r="B848" s="119" t="s">
        <v>159</v>
      </c>
      <c r="C848" s="119" t="s">
        <v>183</v>
      </c>
      <c r="D848" s="119" t="s">
        <v>154</v>
      </c>
      <c r="E848" s="119">
        <v>150</v>
      </c>
      <c r="F848" s="119" t="s">
        <v>118</v>
      </c>
      <c r="G848" s="119">
        <v>100</v>
      </c>
      <c r="I848" s="119" t="s">
        <v>120</v>
      </c>
    </row>
    <row r="849" spans="1:9">
      <c r="A849" s="119">
        <v>475</v>
      </c>
      <c r="B849" s="119" t="s">
        <v>159</v>
      </c>
      <c r="C849" s="119" t="s">
        <v>183</v>
      </c>
      <c r="D849" s="119" t="s">
        <v>154</v>
      </c>
      <c r="E849" s="119">
        <v>100</v>
      </c>
      <c r="F849" s="119" t="s">
        <v>123</v>
      </c>
      <c r="G849" s="119">
        <v>100</v>
      </c>
      <c r="I849" s="119" t="s">
        <v>120</v>
      </c>
    </row>
    <row r="850" spans="1:9">
      <c r="A850" s="119">
        <v>479</v>
      </c>
      <c r="B850" s="119" t="s">
        <v>159</v>
      </c>
      <c r="C850" s="119" t="s">
        <v>183</v>
      </c>
      <c r="D850" s="119" t="s">
        <v>154</v>
      </c>
      <c r="E850" s="119">
        <v>50</v>
      </c>
      <c r="F850" s="119" t="s">
        <v>126</v>
      </c>
      <c r="G850" s="119">
        <v>100</v>
      </c>
      <c r="I850" s="119" t="s">
        <v>120</v>
      </c>
    </row>
    <row r="851" spans="1:9">
      <c r="A851" s="119">
        <v>481</v>
      </c>
      <c r="B851" s="119" t="s">
        <v>159</v>
      </c>
      <c r="C851" s="119" t="s">
        <v>183</v>
      </c>
      <c r="D851" s="119" t="s">
        <v>154</v>
      </c>
      <c r="E851" s="119">
        <v>25</v>
      </c>
      <c r="F851" s="119" t="s">
        <v>128</v>
      </c>
      <c r="G851" s="119">
        <v>100</v>
      </c>
      <c r="I851" s="119" t="s">
        <v>120</v>
      </c>
    </row>
    <row r="852" spans="1:9">
      <c r="A852" s="119">
        <v>489</v>
      </c>
      <c r="B852" s="119" t="s">
        <v>159</v>
      </c>
      <c r="C852" s="119" t="s">
        <v>183</v>
      </c>
      <c r="D852" s="119" t="s">
        <v>154</v>
      </c>
      <c r="E852" s="119">
        <v>5</v>
      </c>
      <c r="F852" s="119" t="s">
        <v>143</v>
      </c>
      <c r="G852" s="119">
        <v>100</v>
      </c>
      <c r="I852" s="119" t="s">
        <v>120</v>
      </c>
    </row>
    <row r="853" spans="1:9">
      <c r="A853" s="119">
        <v>474</v>
      </c>
      <c r="B853" s="119" t="s">
        <v>160</v>
      </c>
      <c r="C853" s="119" t="s">
        <v>183</v>
      </c>
      <c r="D853" s="119" t="s">
        <v>154</v>
      </c>
      <c r="E853" s="119">
        <v>100</v>
      </c>
      <c r="F853" s="119" t="s">
        <v>122</v>
      </c>
      <c r="G853" s="119">
        <v>100</v>
      </c>
      <c r="I853" s="119" t="s">
        <v>120</v>
      </c>
    </row>
    <row r="854" spans="1:9">
      <c r="A854" s="119">
        <v>478</v>
      </c>
      <c r="B854" s="119" t="s">
        <v>160</v>
      </c>
      <c r="C854" s="119" t="s">
        <v>183</v>
      </c>
      <c r="D854" s="119" t="s">
        <v>154</v>
      </c>
      <c r="E854" s="119">
        <v>50</v>
      </c>
      <c r="F854" s="119" t="s">
        <v>134</v>
      </c>
      <c r="G854" s="119">
        <v>100</v>
      </c>
      <c r="I854" s="119" t="s">
        <v>120</v>
      </c>
    </row>
    <row r="855" spans="1:9">
      <c r="A855" s="119">
        <v>483</v>
      </c>
      <c r="B855" s="119" t="s">
        <v>160</v>
      </c>
      <c r="C855" s="119" t="s">
        <v>183</v>
      </c>
      <c r="D855" s="119" t="s">
        <v>154</v>
      </c>
      <c r="E855" s="119">
        <v>25</v>
      </c>
      <c r="F855" s="119" t="s">
        <v>130</v>
      </c>
      <c r="G855" s="119">
        <v>100</v>
      </c>
      <c r="I855" s="119" t="s">
        <v>120</v>
      </c>
    </row>
    <row r="856" spans="1:9">
      <c r="A856" s="119">
        <v>485</v>
      </c>
      <c r="B856" s="119" t="s">
        <v>160</v>
      </c>
      <c r="C856" s="119" t="s">
        <v>183</v>
      </c>
      <c r="D856" s="119" t="s">
        <v>154</v>
      </c>
      <c r="E856" s="119">
        <v>5</v>
      </c>
      <c r="F856" s="119" t="s">
        <v>132</v>
      </c>
      <c r="G856" s="119">
        <v>100</v>
      </c>
      <c r="I856" s="119" t="s">
        <v>120</v>
      </c>
    </row>
    <row r="857" spans="1:9">
      <c r="A857" s="119">
        <v>490</v>
      </c>
      <c r="B857" s="119" t="s">
        <v>139</v>
      </c>
      <c r="C857" s="119" t="s">
        <v>184</v>
      </c>
      <c r="D857" s="119" t="s">
        <v>154</v>
      </c>
      <c r="E857" s="119">
        <v>300</v>
      </c>
      <c r="F857" s="119" t="s">
        <v>133</v>
      </c>
      <c r="G857" s="119">
        <v>105</v>
      </c>
    </row>
    <row r="858" spans="1:9">
      <c r="A858" s="119">
        <v>491</v>
      </c>
      <c r="B858" s="119" t="s">
        <v>139</v>
      </c>
      <c r="C858" s="119" t="s">
        <v>184</v>
      </c>
      <c r="D858" s="119" t="s">
        <v>154</v>
      </c>
      <c r="E858" s="119">
        <v>200</v>
      </c>
      <c r="F858" s="119" t="s">
        <v>117</v>
      </c>
      <c r="G858" s="119">
        <v>105</v>
      </c>
    </row>
    <row r="859" spans="1:9">
      <c r="A859" s="119">
        <v>493</v>
      </c>
      <c r="B859" s="119" t="s">
        <v>139</v>
      </c>
      <c r="C859" s="119" t="s">
        <v>184</v>
      </c>
      <c r="D859" s="119" t="s">
        <v>154</v>
      </c>
      <c r="E859" s="119">
        <v>150</v>
      </c>
      <c r="F859" s="119" t="s">
        <v>119</v>
      </c>
      <c r="G859" s="119">
        <v>105</v>
      </c>
    </row>
    <row r="860" spans="1:9">
      <c r="A860" s="119">
        <v>494</v>
      </c>
      <c r="B860" s="119" t="s">
        <v>139</v>
      </c>
      <c r="C860" s="119" t="s">
        <v>184</v>
      </c>
      <c r="D860" s="119" t="s">
        <v>154</v>
      </c>
      <c r="E860" s="119">
        <v>125</v>
      </c>
      <c r="F860" s="119" t="s">
        <v>121</v>
      </c>
      <c r="G860" s="119">
        <v>105</v>
      </c>
    </row>
    <row r="861" spans="1:9">
      <c r="A861" s="119">
        <v>497</v>
      </c>
      <c r="B861" s="119" t="s">
        <v>139</v>
      </c>
      <c r="C861" s="119" t="s">
        <v>184</v>
      </c>
      <c r="D861" s="119" t="s">
        <v>154</v>
      </c>
      <c r="E861" s="119">
        <v>100</v>
      </c>
      <c r="F861" s="119" t="s">
        <v>124</v>
      </c>
      <c r="G861" s="119">
        <v>105</v>
      </c>
    </row>
    <row r="862" spans="1:9">
      <c r="A862" s="119">
        <v>498</v>
      </c>
      <c r="B862" s="119" t="s">
        <v>139</v>
      </c>
      <c r="C862" s="119" t="s">
        <v>184</v>
      </c>
      <c r="D862" s="119" t="s">
        <v>154</v>
      </c>
      <c r="E862" s="119">
        <v>75</v>
      </c>
      <c r="F862" s="119" t="s">
        <v>125</v>
      </c>
      <c r="G862" s="119">
        <v>105</v>
      </c>
      <c r="I862" s="119" t="s">
        <v>120</v>
      </c>
    </row>
    <row r="863" spans="1:9">
      <c r="A863" s="119">
        <v>501</v>
      </c>
      <c r="B863" s="119" t="s">
        <v>139</v>
      </c>
      <c r="C863" s="119" t="s">
        <v>184</v>
      </c>
      <c r="D863" s="119" t="s">
        <v>154</v>
      </c>
      <c r="E863" s="119">
        <v>50</v>
      </c>
      <c r="F863" s="119" t="s">
        <v>127</v>
      </c>
      <c r="G863" s="119">
        <v>105</v>
      </c>
    </row>
    <row r="864" spans="1:9">
      <c r="A864" s="119">
        <v>503</v>
      </c>
      <c r="B864" s="119" t="s">
        <v>139</v>
      </c>
      <c r="C864" s="119" t="s">
        <v>184</v>
      </c>
      <c r="D864" s="119" t="s">
        <v>154</v>
      </c>
      <c r="E864" s="119">
        <v>25</v>
      </c>
      <c r="F864" s="119" t="s">
        <v>129</v>
      </c>
      <c r="G864" s="119">
        <v>105</v>
      </c>
    </row>
    <row r="865" spans="1:9">
      <c r="A865" s="119">
        <v>509</v>
      </c>
      <c r="B865" s="119" t="s">
        <v>139</v>
      </c>
      <c r="C865" s="119" t="s">
        <v>184</v>
      </c>
      <c r="D865" s="119" t="s">
        <v>154</v>
      </c>
      <c r="E865" s="119">
        <v>5</v>
      </c>
      <c r="F865" s="119" t="s">
        <v>142</v>
      </c>
      <c r="G865" s="119">
        <v>105</v>
      </c>
    </row>
    <row r="866" spans="1:9">
      <c r="A866" s="119">
        <v>493</v>
      </c>
      <c r="B866" s="119" t="s">
        <v>136</v>
      </c>
      <c r="C866" s="119" t="s">
        <v>184</v>
      </c>
      <c r="D866" s="119" t="s">
        <v>154</v>
      </c>
      <c r="E866" s="119">
        <v>150</v>
      </c>
      <c r="F866" s="119" t="s">
        <v>119</v>
      </c>
      <c r="G866" s="119">
        <v>105</v>
      </c>
      <c r="I866" s="119" t="s">
        <v>120</v>
      </c>
    </row>
    <row r="867" spans="1:9">
      <c r="A867" s="119">
        <v>497</v>
      </c>
      <c r="B867" s="119" t="s">
        <v>136</v>
      </c>
      <c r="C867" s="119" t="s">
        <v>184</v>
      </c>
      <c r="D867" s="119" t="s">
        <v>154</v>
      </c>
      <c r="E867" s="119">
        <v>100</v>
      </c>
      <c r="F867" s="119" t="s">
        <v>124</v>
      </c>
      <c r="G867" s="119">
        <v>105</v>
      </c>
      <c r="I867" s="119" t="s">
        <v>120</v>
      </c>
    </row>
    <row r="868" spans="1:9">
      <c r="A868" s="119">
        <v>498</v>
      </c>
      <c r="B868" s="119" t="s">
        <v>136</v>
      </c>
      <c r="C868" s="119" t="s">
        <v>184</v>
      </c>
      <c r="D868" s="119" t="s">
        <v>154</v>
      </c>
      <c r="E868" s="119">
        <v>75</v>
      </c>
      <c r="F868" s="119" t="s">
        <v>125</v>
      </c>
      <c r="G868" s="119">
        <v>105</v>
      </c>
      <c r="I868" s="119" t="s">
        <v>120</v>
      </c>
    </row>
    <row r="869" spans="1:9">
      <c r="A869" s="119">
        <v>501</v>
      </c>
      <c r="B869" s="119" t="s">
        <v>136</v>
      </c>
      <c r="C869" s="119" t="s">
        <v>184</v>
      </c>
      <c r="D869" s="119" t="s">
        <v>154</v>
      </c>
      <c r="E869" s="119">
        <v>50</v>
      </c>
      <c r="F869" s="119" t="s">
        <v>127</v>
      </c>
      <c r="G869" s="119">
        <v>105</v>
      </c>
      <c r="I869" s="119" t="s">
        <v>120</v>
      </c>
    </row>
    <row r="870" spans="1:9">
      <c r="A870" s="119">
        <v>503</v>
      </c>
      <c r="B870" s="119" t="s">
        <v>136</v>
      </c>
      <c r="C870" s="119" t="s">
        <v>184</v>
      </c>
      <c r="D870" s="119" t="s">
        <v>154</v>
      </c>
      <c r="E870" s="119">
        <v>25</v>
      </c>
      <c r="F870" s="119" t="s">
        <v>129</v>
      </c>
      <c r="G870" s="119">
        <v>105</v>
      </c>
      <c r="I870" s="119" t="s">
        <v>120</v>
      </c>
    </row>
    <row r="871" spans="1:9">
      <c r="A871" s="119">
        <v>509</v>
      </c>
      <c r="B871" s="119" t="s">
        <v>136</v>
      </c>
      <c r="C871" s="119" t="s">
        <v>184</v>
      </c>
      <c r="D871" s="119" t="s">
        <v>154</v>
      </c>
      <c r="E871" s="119">
        <v>5</v>
      </c>
      <c r="F871" s="119" t="s">
        <v>142</v>
      </c>
      <c r="G871" s="119">
        <v>105</v>
      </c>
      <c r="I871" s="119" t="s">
        <v>120</v>
      </c>
    </row>
    <row r="872" spans="1:9">
      <c r="A872" s="119">
        <v>501</v>
      </c>
      <c r="B872" s="119" t="s">
        <v>137</v>
      </c>
      <c r="C872" s="119" t="s">
        <v>184</v>
      </c>
      <c r="D872" s="119" t="s">
        <v>154</v>
      </c>
      <c r="E872" s="119">
        <v>50</v>
      </c>
      <c r="F872" s="119" t="s">
        <v>127</v>
      </c>
      <c r="G872" s="119">
        <v>105</v>
      </c>
      <c r="I872" s="119" t="s">
        <v>120</v>
      </c>
    </row>
    <row r="873" spans="1:9">
      <c r="A873" s="119">
        <v>503</v>
      </c>
      <c r="B873" s="119" t="s">
        <v>137</v>
      </c>
      <c r="C873" s="119" t="s">
        <v>184</v>
      </c>
      <c r="D873" s="119" t="s">
        <v>154</v>
      </c>
      <c r="E873" s="119">
        <v>25</v>
      </c>
      <c r="F873" s="119" t="s">
        <v>129</v>
      </c>
      <c r="G873" s="119">
        <v>105</v>
      </c>
      <c r="I873" s="119" t="s">
        <v>120</v>
      </c>
    </row>
    <row r="874" spans="1:9">
      <c r="A874" s="119">
        <v>509</v>
      </c>
      <c r="B874" s="119" t="s">
        <v>137</v>
      </c>
      <c r="C874" s="119" t="s">
        <v>184</v>
      </c>
      <c r="D874" s="119" t="s">
        <v>154</v>
      </c>
      <c r="E874" s="119">
        <v>5</v>
      </c>
      <c r="F874" s="119" t="s">
        <v>142</v>
      </c>
      <c r="G874" s="119">
        <v>105</v>
      </c>
      <c r="I874" s="119" t="s">
        <v>120</v>
      </c>
    </row>
    <row r="875" spans="1:9">
      <c r="A875" s="119">
        <v>505</v>
      </c>
      <c r="B875" s="119" t="s">
        <v>155</v>
      </c>
      <c r="C875" s="119" t="s">
        <v>184</v>
      </c>
      <c r="D875" s="119" t="s">
        <v>154</v>
      </c>
      <c r="E875" s="119">
        <v>5</v>
      </c>
      <c r="F875" s="119" t="s">
        <v>131</v>
      </c>
      <c r="G875" s="119">
        <v>105</v>
      </c>
      <c r="I875" s="119" t="s">
        <v>120</v>
      </c>
    </row>
    <row r="876" spans="1:9">
      <c r="A876" s="119">
        <v>509</v>
      </c>
      <c r="B876" s="119" t="s">
        <v>156</v>
      </c>
      <c r="C876" s="119" t="s">
        <v>184</v>
      </c>
      <c r="D876" s="119" t="s">
        <v>154</v>
      </c>
      <c r="E876" s="119">
        <v>5</v>
      </c>
      <c r="F876" s="119" t="s">
        <v>142</v>
      </c>
      <c r="G876" s="119">
        <v>105</v>
      </c>
      <c r="I876" s="119" t="s">
        <v>120</v>
      </c>
    </row>
    <row r="877" spans="1:9">
      <c r="A877" s="119">
        <v>508</v>
      </c>
      <c r="B877" s="119" t="s">
        <v>157</v>
      </c>
      <c r="C877" s="119" t="s">
        <v>184</v>
      </c>
      <c r="D877" s="119" t="s">
        <v>154</v>
      </c>
      <c r="E877" s="119">
        <v>5</v>
      </c>
      <c r="F877" s="119" t="s">
        <v>138</v>
      </c>
      <c r="G877" s="119">
        <v>105</v>
      </c>
      <c r="I877" s="119" t="s">
        <v>120</v>
      </c>
    </row>
    <row r="878" spans="1:9">
      <c r="A878" s="119">
        <v>507</v>
      </c>
      <c r="B878" s="119" t="s">
        <v>158</v>
      </c>
      <c r="C878" s="119" t="s">
        <v>184</v>
      </c>
      <c r="D878" s="119" t="s">
        <v>154</v>
      </c>
      <c r="E878" s="119">
        <v>5</v>
      </c>
      <c r="F878" s="119" t="s">
        <v>135</v>
      </c>
      <c r="G878" s="119">
        <v>105</v>
      </c>
    </row>
    <row r="879" spans="1:9">
      <c r="A879" s="119">
        <v>492</v>
      </c>
      <c r="B879" s="119" t="s">
        <v>159</v>
      </c>
      <c r="C879" s="119" t="s">
        <v>184</v>
      </c>
      <c r="D879" s="119" t="s">
        <v>154</v>
      </c>
      <c r="E879" s="119">
        <v>150</v>
      </c>
      <c r="F879" s="119" t="s">
        <v>118</v>
      </c>
      <c r="G879" s="119">
        <v>105</v>
      </c>
      <c r="I879" s="119" t="s">
        <v>120</v>
      </c>
    </row>
    <row r="880" spans="1:9">
      <c r="A880" s="119">
        <v>496</v>
      </c>
      <c r="B880" s="119" t="s">
        <v>159</v>
      </c>
      <c r="C880" s="119" t="s">
        <v>184</v>
      </c>
      <c r="D880" s="119" t="s">
        <v>154</v>
      </c>
      <c r="E880" s="119">
        <v>100</v>
      </c>
      <c r="F880" s="119" t="s">
        <v>123</v>
      </c>
      <c r="G880" s="119">
        <v>105</v>
      </c>
      <c r="I880" s="119" t="s">
        <v>120</v>
      </c>
    </row>
    <row r="881" spans="1:9">
      <c r="A881" s="119">
        <v>500</v>
      </c>
      <c r="B881" s="119" t="s">
        <v>159</v>
      </c>
      <c r="C881" s="119" t="s">
        <v>184</v>
      </c>
      <c r="D881" s="119" t="s">
        <v>154</v>
      </c>
      <c r="E881" s="119">
        <v>50</v>
      </c>
      <c r="F881" s="119" t="s">
        <v>126</v>
      </c>
      <c r="G881" s="119">
        <v>105</v>
      </c>
      <c r="I881" s="119" t="s">
        <v>120</v>
      </c>
    </row>
    <row r="882" spans="1:9">
      <c r="A882" s="119">
        <v>502</v>
      </c>
      <c r="B882" s="119" t="s">
        <v>159</v>
      </c>
      <c r="C882" s="119" t="s">
        <v>184</v>
      </c>
      <c r="D882" s="119" t="s">
        <v>154</v>
      </c>
      <c r="E882" s="119">
        <v>25</v>
      </c>
      <c r="F882" s="119" t="s">
        <v>128</v>
      </c>
      <c r="G882" s="119">
        <v>105</v>
      </c>
      <c r="I882" s="119" t="s">
        <v>120</v>
      </c>
    </row>
    <row r="883" spans="1:9">
      <c r="A883" s="119">
        <v>510</v>
      </c>
      <c r="B883" s="119" t="s">
        <v>159</v>
      </c>
      <c r="C883" s="119" t="s">
        <v>184</v>
      </c>
      <c r="D883" s="119" t="s">
        <v>154</v>
      </c>
      <c r="E883" s="119">
        <v>5</v>
      </c>
      <c r="F883" s="119" t="s">
        <v>143</v>
      </c>
      <c r="G883" s="119">
        <v>105</v>
      </c>
      <c r="I883" s="119" t="s">
        <v>120</v>
      </c>
    </row>
    <row r="884" spans="1:9">
      <c r="A884" s="119">
        <v>495</v>
      </c>
      <c r="B884" s="119" t="s">
        <v>160</v>
      </c>
      <c r="C884" s="119" t="s">
        <v>184</v>
      </c>
      <c r="D884" s="119" t="s">
        <v>154</v>
      </c>
      <c r="E884" s="119">
        <v>100</v>
      </c>
      <c r="F884" s="119" t="s">
        <v>122</v>
      </c>
      <c r="G884" s="119">
        <v>105</v>
      </c>
      <c r="I884" s="119" t="s">
        <v>120</v>
      </c>
    </row>
    <row r="885" spans="1:9">
      <c r="A885" s="119">
        <v>499</v>
      </c>
      <c r="B885" s="119" t="s">
        <v>160</v>
      </c>
      <c r="C885" s="119" t="s">
        <v>184</v>
      </c>
      <c r="D885" s="119" t="s">
        <v>154</v>
      </c>
      <c r="E885" s="119">
        <v>50</v>
      </c>
      <c r="F885" s="119" t="s">
        <v>134</v>
      </c>
      <c r="G885" s="119">
        <v>105</v>
      </c>
      <c r="I885" s="119" t="s">
        <v>120</v>
      </c>
    </row>
    <row r="886" spans="1:9">
      <c r="A886" s="119">
        <v>504</v>
      </c>
      <c r="B886" s="119" t="s">
        <v>160</v>
      </c>
      <c r="C886" s="119" t="s">
        <v>184</v>
      </c>
      <c r="D886" s="119" t="s">
        <v>154</v>
      </c>
      <c r="E886" s="119">
        <v>25</v>
      </c>
      <c r="F886" s="119" t="s">
        <v>130</v>
      </c>
      <c r="G886" s="119">
        <v>105</v>
      </c>
      <c r="I886" s="119" t="s">
        <v>120</v>
      </c>
    </row>
    <row r="887" spans="1:9">
      <c r="A887" s="119">
        <v>506</v>
      </c>
      <c r="B887" s="119" t="s">
        <v>160</v>
      </c>
      <c r="C887" s="119" t="s">
        <v>184</v>
      </c>
      <c r="D887" s="119" t="s">
        <v>154</v>
      </c>
      <c r="E887" s="119">
        <v>5</v>
      </c>
      <c r="F887" s="119" t="s">
        <v>132</v>
      </c>
      <c r="G887" s="119">
        <v>105</v>
      </c>
      <c r="I887" s="119" t="s">
        <v>120</v>
      </c>
    </row>
    <row r="888" spans="1:9">
      <c r="A888" s="119">
        <v>511</v>
      </c>
      <c r="B888" s="119" t="s">
        <v>139</v>
      </c>
      <c r="C888" s="119" t="s">
        <v>185</v>
      </c>
      <c r="D888" s="119" t="s">
        <v>154</v>
      </c>
      <c r="E888" s="119">
        <v>300</v>
      </c>
      <c r="F888" s="119" t="s">
        <v>133</v>
      </c>
      <c r="G888" s="119">
        <v>109</v>
      </c>
    </row>
    <row r="889" spans="1:9">
      <c r="A889" s="119">
        <v>512</v>
      </c>
      <c r="B889" s="119" t="s">
        <v>139</v>
      </c>
      <c r="C889" s="119" t="s">
        <v>185</v>
      </c>
      <c r="D889" s="119" t="s">
        <v>154</v>
      </c>
      <c r="E889" s="119">
        <v>200</v>
      </c>
      <c r="F889" s="119" t="s">
        <v>117</v>
      </c>
      <c r="G889" s="119">
        <v>109</v>
      </c>
    </row>
    <row r="890" spans="1:9">
      <c r="A890" s="119">
        <v>514</v>
      </c>
      <c r="B890" s="119" t="s">
        <v>139</v>
      </c>
      <c r="C890" s="119" t="s">
        <v>185</v>
      </c>
      <c r="D890" s="119" t="s">
        <v>154</v>
      </c>
      <c r="E890" s="119">
        <v>150</v>
      </c>
      <c r="F890" s="119" t="s">
        <v>119</v>
      </c>
      <c r="G890" s="119">
        <v>109</v>
      </c>
    </row>
    <row r="891" spans="1:9">
      <c r="A891" s="119">
        <v>515</v>
      </c>
      <c r="B891" s="119" t="s">
        <v>139</v>
      </c>
      <c r="C891" s="119" t="s">
        <v>185</v>
      </c>
      <c r="D891" s="119" t="s">
        <v>154</v>
      </c>
      <c r="E891" s="119">
        <v>125</v>
      </c>
      <c r="F891" s="119" t="s">
        <v>121</v>
      </c>
      <c r="G891" s="119">
        <v>109</v>
      </c>
    </row>
    <row r="892" spans="1:9">
      <c r="A892" s="119">
        <v>518</v>
      </c>
      <c r="B892" s="119" t="s">
        <v>139</v>
      </c>
      <c r="C892" s="119" t="s">
        <v>185</v>
      </c>
      <c r="D892" s="119" t="s">
        <v>154</v>
      </c>
      <c r="E892" s="119">
        <v>100</v>
      </c>
      <c r="F892" s="119" t="s">
        <v>124</v>
      </c>
      <c r="G892" s="119">
        <v>109</v>
      </c>
    </row>
    <row r="893" spans="1:9">
      <c r="A893" s="119">
        <v>519</v>
      </c>
      <c r="B893" s="119" t="s">
        <v>139</v>
      </c>
      <c r="C893" s="119" t="s">
        <v>185</v>
      </c>
      <c r="D893" s="119" t="s">
        <v>154</v>
      </c>
      <c r="E893" s="119">
        <v>75</v>
      </c>
      <c r="F893" s="119" t="s">
        <v>125</v>
      </c>
      <c r="G893" s="119">
        <v>109</v>
      </c>
    </row>
    <row r="894" spans="1:9">
      <c r="A894" s="119">
        <v>522</v>
      </c>
      <c r="B894" s="119" t="s">
        <v>139</v>
      </c>
      <c r="C894" s="119" t="s">
        <v>185</v>
      </c>
      <c r="D894" s="119" t="s">
        <v>154</v>
      </c>
      <c r="E894" s="119">
        <v>50</v>
      </c>
      <c r="F894" s="119" t="s">
        <v>127</v>
      </c>
      <c r="G894" s="119">
        <v>109</v>
      </c>
    </row>
    <row r="895" spans="1:9">
      <c r="A895" s="119">
        <v>524</v>
      </c>
      <c r="B895" s="119" t="s">
        <v>139</v>
      </c>
      <c r="C895" s="119" t="s">
        <v>185</v>
      </c>
      <c r="D895" s="119" t="s">
        <v>154</v>
      </c>
      <c r="E895" s="119">
        <v>25</v>
      </c>
      <c r="F895" s="119" t="s">
        <v>129</v>
      </c>
      <c r="G895" s="119">
        <v>109</v>
      </c>
      <c r="I895" s="119" t="s">
        <v>120</v>
      </c>
    </row>
    <row r="896" spans="1:9">
      <c r="A896" s="119">
        <v>530</v>
      </c>
      <c r="B896" s="119" t="s">
        <v>139</v>
      </c>
      <c r="C896" s="119" t="s">
        <v>185</v>
      </c>
      <c r="D896" s="119" t="s">
        <v>154</v>
      </c>
      <c r="E896" s="119">
        <v>5</v>
      </c>
      <c r="F896" s="119" t="s">
        <v>142</v>
      </c>
      <c r="G896" s="119">
        <v>109</v>
      </c>
    </row>
    <row r="897" spans="1:9">
      <c r="A897" s="119">
        <v>514</v>
      </c>
      <c r="B897" s="119" t="s">
        <v>136</v>
      </c>
      <c r="C897" s="119" t="s">
        <v>185</v>
      </c>
      <c r="D897" s="119" t="s">
        <v>154</v>
      </c>
      <c r="E897" s="119">
        <v>150</v>
      </c>
      <c r="F897" s="119" t="s">
        <v>119</v>
      </c>
      <c r="G897" s="119">
        <v>109</v>
      </c>
      <c r="I897" s="119" t="s">
        <v>120</v>
      </c>
    </row>
    <row r="898" spans="1:9">
      <c r="A898" s="119">
        <v>518</v>
      </c>
      <c r="B898" s="119" t="s">
        <v>136</v>
      </c>
      <c r="C898" s="119" t="s">
        <v>185</v>
      </c>
      <c r="D898" s="119" t="s">
        <v>154</v>
      </c>
      <c r="E898" s="119">
        <v>100</v>
      </c>
      <c r="F898" s="119" t="s">
        <v>124</v>
      </c>
      <c r="G898" s="119">
        <v>109</v>
      </c>
      <c r="I898" s="119" t="s">
        <v>120</v>
      </c>
    </row>
    <row r="899" spans="1:9">
      <c r="A899" s="119">
        <v>519</v>
      </c>
      <c r="B899" s="119" t="s">
        <v>136</v>
      </c>
      <c r="C899" s="119" t="s">
        <v>185</v>
      </c>
      <c r="D899" s="119" t="s">
        <v>154</v>
      </c>
      <c r="E899" s="119">
        <v>75</v>
      </c>
      <c r="F899" s="119" t="s">
        <v>125</v>
      </c>
      <c r="G899" s="119">
        <v>109</v>
      </c>
      <c r="I899" s="119" t="s">
        <v>120</v>
      </c>
    </row>
    <row r="900" spans="1:9">
      <c r="A900" s="119">
        <v>522</v>
      </c>
      <c r="B900" s="119" t="s">
        <v>136</v>
      </c>
      <c r="C900" s="119" t="s">
        <v>185</v>
      </c>
      <c r="D900" s="119" t="s">
        <v>154</v>
      </c>
      <c r="E900" s="119">
        <v>50</v>
      </c>
      <c r="F900" s="119" t="s">
        <v>127</v>
      </c>
      <c r="G900" s="119">
        <v>109</v>
      </c>
      <c r="I900" s="119" t="s">
        <v>120</v>
      </c>
    </row>
    <row r="901" spans="1:9">
      <c r="A901" s="119">
        <v>524</v>
      </c>
      <c r="B901" s="119" t="s">
        <v>136</v>
      </c>
      <c r="C901" s="119" t="s">
        <v>185</v>
      </c>
      <c r="D901" s="119" t="s">
        <v>154</v>
      </c>
      <c r="E901" s="119">
        <v>25</v>
      </c>
      <c r="F901" s="119" t="s">
        <v>129</v>
      </c>
      <c r="G901" s="119">
        <v>109</v>
      </c>
      <c r="I901" s="119" t="s">
        <v>120</v>
      </c>
    </row>
    <row r="902" spans="1:9">
      <c r="A902" s="119">
        <v>530</v>
      </c>
      <c r="B902" s="119" t="s">
        <v>136</v>
      </c>
      <c r="C902" s="119" t="s">
        <v>185</v>
      </c>
      <c r="D902" s="119" t="s">
        <v>154</v>
      </c>
      <c r="E902" s="119">
        <v>5</v>
      </c>
      <c r="F902" s="119" t="s">
        <v>142</v>
      </c>
      <c r="G902" s="119">
        <v>109</v>
      </c>
      <c r="I902" s="119" t="s">
        <v>120</v>
      </c>
    </row>
    <row r="903" spans="1:9">
      <c r="A903" s="119">
        <v>522</v>
      </c>
      <c r="B903" s="119" t="s">
        <v>137</v>
      </c>
      <c r="C903" s="119" t="s">
        <v>185</v>
      </c>
      <c r="D903" s="119" t="s">
        <v>154</v>
      </c>
      <c r="E903" s="119">
        <v>50</v>
      </c>
      <c r="F903" s="119" t="s">
        <v>127</v>
      </c>
      <c r="G903" s="119">
        <v>109</v>
      </c>
      <c r="I903" s="119" t="s">
        <v>120</v>
      </c>
    </row>
    <row r="904" spans="1:9">
      <c r="A904" s="119">
        <v>524</v>
      </c>
      <c r="B904" s="119" t="s">
        <v>137</v>
      </c>
      <c r="C904" s="119" t="s">
        <v>185</v>
      </c>
      <c r="D904" s="119" t="s">
        <v>154</v>
      </c>
      <c r="E904" s="119">
        <v>25</v>
      </c>
      <c r="F904" s="119" t="s">
        <v>129</v>
      </c>
      <c r="G904" s="119">
        <v>109</v>
      </c>
      <c r="I904" s="119" t="s">
        <v>120</v>
      </c>
    </row>
    <row r="905" spans="1:9">
      <c r="A905" s="119">
        <v>530</v>
      </c>
      <c r="B905" s="119" t="s">
        <v>137</v>
      </c>
      <c r="C905" s="119" t="s">
        <v>185</v>
      </c>
      <c r="D905" s="119" t="s">
        <v>154</v>
      </c>
      <c r="E905" s="119">
        <v>5</v>
      </c>
      <c r="F905" s="119" t="s">
        <v>142</v>
      </c>
      <c r="G905" s="119">
        <v>109</v>
      </c>
      <c r="I905" s="119" t="s">
        <v>120</v>
      </c>
    </row>
    <row r="906" spans="1:9">
      <c r="A906" s="119">
        <v>526</v>
      </c>
      <c r="B906" s="119" t="s">
        <v>155</v>
      </c>
      <c r="C906" s="119" t="s">
        <v>185</v>
      </c>
      <c r="D906" s="119" t="s">
        <v>154</v>
      </c>
      <c r="E906" s="119">
        <v>5</v>
      </c>
      <c r="F906" s="119" t="s">
        <v>131</v>
      </c>
      <c r="G906" s="119">
        <v>109</v>
      </c>
      <c r="I906" s="119" t="s">
        <v>120</v>
      </c>
    </row>
    <row r="907" spans="1:9">
      <c r="A907" s="119">
        <v>530</v>
      </c>
      <c r="B907" s="119" t="s">
        <v>156</v>
      </c>
      <c r="C907" s="119" t="s">
        <v>185</v>
      </c>
      <c r="D907" s="119" t="s">
        <v>154</v>
      </c>
      <c r="E907" s="119">
        <v>5</v>
      </c>
      <c r="F907" s="119" t="s">
        <v>142</v>
      </c>
      <c r="G907" s="119">
        <v>109</v>
      </c>
      <c r="I907" s="119" t="s">
        <v>120</v>
      </c>
    </row>
    <row r="908" spans="1:9">
      <c r="A908" s="119">
        <v>529</v>
      </c>
      <c r="B908" s="119" t="s">
        <v>157</v>
      </c>
      <c r="C908" s="119" t="s">
        <v>185</v>
      </c>
      <c r="D908" s="119" t="s">
        <v>154</v>
      </c>
      <c r="E908" s="119">
        <v>5</v>
      </c>
      <c r="F908" s="119" t="s">
        <v>138</v>
      </c>
      <c r="G908" s="119">
        <v>109</v>
      </c>
      <c r="I908" s="119" t="s">
        <v>120</v>
      </c>
    </row>
    <row r="909" spans="1:9">
      <c r="A909" s="119">
        <v>528</v>
      </c>
      <c r="B909" s="119" t="s">
        <v>158</v>
      </c>
      <c r="C909" s="119" t="s">
        <v>185</v>
      </c>
      <c r="D909" s="119" t="s">
        <v>154</v>
      </c>
      <c r="E909" s="119">
        <v>5</v>
      </c>
      <c r="F909" s="119" t="s">
        <v>135</v>
      </c>
      <c r="G909" s="119">
        <v>109</v>
      </c>
    </row>
    <row r="910" spans="1:9">
      <c r="A910" s="119">
        <v>513</v>
      </c>
      <c r="B910" s="119" t="s">
        <v>159</v>
      </c>
      <c r="C910" s="119" t="s">
        <v>185</v>
      </c>
      <c r="D910" s="119" t="s">
        <v>154</v>
      </c>
      <c r="E910" s="119">
        <v>150</v>
      </c>
      <c r="F910" s="119" t="s">
        <v>118</v>
      </c>
      <c r="G910" s="119">
        <v>109</v>
      </c>
      <c r="I910" s="119" t="s">
        <v>120</v>
      </c>
    </row>
    <row r="911" spans="1:9">
      <c r="A911" s="119">
        <v>517</v>
      </c>
      <c r="B911" s="119" t="s">
        <v>159</v>
      </c>
      <c r="C911" s="119" t="s">
        <v>185</v>
      </c>
      <c r="D911" s="119" t="s">
        <v>154</v>
      </c>
      <c r="E911" s="119">
        <v>100</v>
      </c>
      <c r="F911" s="119" t="s">
        <v>123</v>
      </c>
      <c r="G911" s="119">
        <v>109</v>
      </c>
      <c r="I911" s="119" t="s">
        <v>120</v>
      </c>
    </row>
    <row r="912" spans="1:9">
      <c r="A912" s="119">
        <v>521</v>
      </c>
      <c r="B912" s="119" t="s">
        <v>159</v>
      </c>
      <c r="C912" s="119" t="s">
        <v>185</v>
      </c>
      <c r="D912" s="119" t="s">
        <v>154</v>
      </c>
      <c r="E912" s="119">
        <v>50</v>
      </c>
      <c r="F912" s="119" t="s">
        <v>126</v>
      </c>
      <c r="G912" s="119">
        <v>109</v>
      </c>
      <c r="I912" s="119" t="s">
        <v>120</v>
      </c>
    </row>
    <row r="913" spans="1:9">
      <c r="A913" s="119">
        <v>523</v>
      </c>
      <c r="B913" s="119" t="s">
        <v>159</v>
      </c>
      <c r="C913" s="119" t="s">
        <v>185</v>
      </c>
      <c r="D913" s="119" t="s">
        <v>154</v>
      </c>
      <c r="E913" s="119">
        <v>25</v>
      </c>
      <c r="F913" s="119" t="s">
        <v>128</v>
      </c>
      <c r="G913" s="119">
        <v>109</v>
      </c>
      <c r="I913" s="119" t="s">
        <v>120</v>
      </c>
    </row>
    <row r="914" spans="1:9">
      <c r="A914" s="119">
        <v>531</v>
      </c>
      <c r="B914" s="119" t="s">
        <v>159</v>
      </c>
      <c r="C914" s="119" t="s">
        <v>185</v>
      </c>
      <c r="D914" s="119" t="s">
        <v>154</v>
      </c>
      <c r="E914" s="119">
        <v>5</v>
      </c>
      <c r="F914" s="119" t="s">
        <v>143</v>
      </c>
      <c r="G914" s="119">
        <v>109</v>
      </c>
      <c r="I914" s="119" t="s">
        <v>120</v>
      </c>
    </row>
    <row r="915" spans="1:9">
      <c r="A915" s="119">
        <v>516</v>
      </c>
      <c r="B915" s="119" t="s">
        <v>160</v>
      </c>
      <c r="C915" s="119" t="s">
        <v>185</v>
      </c>
      <c r="D915" s="119" t="s">
        <v>154</v>
      </c>
      <c r="E915" s="119">
        <v>100</v>
      </c>
      <c r="F915" s="119" t="s">
        <v>122</v>
      </c>
      <c r="G915" s="119">
        <v>109</v>
      </c>
      <c r="I915" s="119" t="s">
        <v>120</v>
      </c>
    </row>
    <row r="916" spans="1:9">
      <c r="A916" s="119">
        <v>520</v>
      </c>
      <c r="B916" s="119" t="s">
        <v>160</v>
      </c>
      <c r="C916" s="119" t="s">
        <v>185</v>
      </c>
      <c r="D916" s="119" t="s">
        <v>154</v>
      </c>
      <c r="E916" s="119">
        <v>50</v>
      </c>
      <c r="F916" s="119" t="s">
        <v>134</v>
      </c>
      <c r="G916" s="119">
        <v>109</v>
      </c>
      <c r="I916" s="119" t="s">
        <v>120</v>
      </c>
    </row>
    <row r="917" spans="1:9">
      <c r="A917" s="119">
        <v>525</v>
      </c>
      <c r="B917" s="119" t="s">
        <v>160</v>
      </c>
      <c r="C917" s="119" t="s">
        <v>185</v>
      </c>
      <c r="D917" s="119" t="s">
        <v>154</v>
      </c>
      <c r="E917" s="119">
        <v>25</v>
      </c>
      <c r="F917" s="119" t="s">
        <v>130</v>
      </c>
      <c r="G917" s="119">
        <v>109</v>
      </c>
      <c r="I917" s="119" t="s">
        <v>120</v>
      </c>
    </row>
    <row r="918" spans="1:9">
      <c r="A918" s="119">
        <v>527</v>
      </c>
      <c r="B918" s="119" t="s">
        <v>160</v>
      </c>
      <c r="C918" s="119" t="s">
        <v>185</v>
      </c>
      <c r="D918" s="119" t="s">
        <v>154</v>
      </c>
      <c r="E918" s="119">
        <v>5</v>
      </c>
      <c r="F918" s="119" t="s">
        <v>132</v>
      </c>
      <c r="G918" s="119">
        <v>109</v>
      </c>
      <c r="I918" s="119" t="s">
        <v>120</v>
      </c>
    </row>
    <row r="919" spans="1:9">
      <c r="A919" s="119">
        <v>532</v>
      </c>
      <c r="B919" s="119" t="s">
        <v>139</v>
      </c>
      <c r="C919" s="119" t="s">
        <v>186</v>
      </c>
      <c r="D919" s="119" t="s">
        <v>154</v>
      </c>
      <c r="E919" s="119">
        <v>300</v>
      </c>
      <c r="F919" s="119" t="s">
        <v>133</v>
      </c>
      <c r="G919" s="119">
        <v>113</v>
      </c>
    </row>
    <row r="920" spans="1:9">
      <c r="A920" s="119">
        <v>533</v>
      </c>
      <c r="B920" s="119" t="s">
        <v>139</v>
      </c>
      <c r="C920" s="119" t="s">
        <v>186</v>
      </c>
      <c r="D920" s="119" t="s">
        <v>154</v>
      </c>
      <c r="E920" s="119">
        <v>200</v>
      </c>
      <c r="F920" s="119" t="s">
        <v>117</v>
      </c>
      <c r="G920" s="119">
        <v>113</v>
      </c>
    </row>
    <row r="921" spans="1:9">
      <c r="A921" s="119">
        <v>535</v>
      </c>
      <c r="B921" s="119" t="s">
        <v>139</v>
      </c>
      <c r="C921" s="119" t="s">
        <v>186</v>
      </c>
      <c r="D921" s="119" t="s">
        <v>154</v>
      </c>
      <c r="E921" s="119">
        <v>150</v>
      </c>
      <c r="F921" s="119" t="s">
        <v>119</v>
      </c>
      <c r="G921" s="119">
        <v>113</v>
      </c>
    </row>
    <row r="922" spans="1:9">
      <c r="A922" s="119">
        <v>536</v>
      </c>
      <c r="B922" s="119" t="s">
        <v>139</v>
      </c>
      <c r="C922" s="119" t="s">
        <v>186</v>
      </c>
      <c r="D922" s="119" t="s">
        <v>154</v>
      </c>
      <c r="E922" s="119">
        <v>125</v>
      </c>
      <c r="F922" s="119" t="s">
        <v>121</v>
      </c>
      <c r="G922" s="119">
        <v>113</v>
      </c>
    </row>
    <row r="923" spans="1:9">
      <c r="A923" s="119">
        <v>539</v>
      </c>
      <c r="B923" s="119" t="s">
        <v>139</v>
      </c>
      <c r="C923" s="119" t="s">
        <v>186</v>
      </c>
      <c r="D923" s="119" t="s">
        <v>154</v>
      </c>
      <c r="E923" s="119">
        <v>100</v>
      </c>
      <c r="F923" s="119" t="s">
        <v>124</v>
      </c>
      <c r="G923" s="119">
        <v>113</v>
      </c>
      <c r="I923" s="119" t="s">
        <v>120</v>
      </c>
    </row>
    <row r="924" spans="1:9">
      <c r="A924" s="119">
        <v>540</v>
      </c>
      <c r="B924" s="119" t="s">
        <v>139</v>
      </c>
      <c r="C924" s="119" t="s">
        <v>186</v>
      </c>
      <c r="D924" s="119" t="s">
        <v>154</v>
      </c>
      <c r="E924" s="119">
        <v>75</v>
      </c>
      <c r="F924" s="119" t="s">
        <v>125</v>
      </c>
      <c r="G924" s="119">
        <v>113</v>
      </c>
    </row>
    <row r="925" spans="1:9">
      <c r="A925" s="119">
        <v>543</v>
      </c>
      <c r="B925" s="119" t="s">
        <v>139</v>
      </c>
      <c r="C925" s="119" t="s">
        <v>186</v>
      </c>
      <c r="D925" s="119" t="s">
        <v>154</v>
      </c>
      <c r="E925" s="119">
        <v>50</v>
      </c>
      <c r="F925" s="119" t="s">
        <v>127</v>
      </c>
      <c r="G925" s="119">
        <v>113</v>
      </c>
    </row>
    <row r="926" spans="1:9">
      <c r="A926" s="119">
        <v>545</v>
      </c>
      <c r="B926" s="119" t="s">
        <v>139</v>
      </c>
      <c r="C926" s="119" t="s">
        <v>186</v>
      </c>
      <c r="D926" s="119" t="s">
        <v>154</v>
      </c>
      <c r="E926" s="119">
        <v>25</v>
      </c>
      <c r="F926" s="119" t="s">
        <v>129</v>
      </c>
      <c r="G926" s="119">
        <v>113</v>
      </c>
    </row>
    <row r="927" spans="1:9">
      <c r="A927" s="119">
        <v>551</v>
      </c>
      <c r="B927" s="119" t="s">
        <v>139</v>
      </c>
      <c r="C927" s="119" t="s">
        <v>186</v>
      </c>
      <c r="D927" s="119" t="s">
        <v>154</v>
      </c>
      <c r="E927" s="119">
        <v>5</v>
      </c>
      <c r="F927" s="119" t="s">
        <v>142</v>
      </c>
      <c r="G927" s="119">
        <v>113</v>
      </c>
    </row>
    <row r="928" spans="1:9">
      <c r="A928" s="119">
        <v>535</v>
      </c>
      <c r="B928" s="119" t="s">
        <v>136</v>
      </c>
      <c r="C928" s="119" t="s">
        <v>186</v>
      </c>
      <c r="D928" s="119" t="s">
        <v>154</v>
      </c>
      <c r="E928" s="119">
        <v>150</v>
      </c>
      <c r="F928" s="119" t="s">
        <v>119</v>
      </c>
      <c r="G928" s="119">
        <v>113</v>
      </c>
      <c r="I928" s="119" t="s">
        <v>120</v>
      </c>
    </row>
    <row r="929" spans="1:9">
      <c r="A929" s="119">
        <v>539</v>
      </c>
      <c r="B929" s="119" t="s">
        <v>136</v>
      </c>
      <c r="C929" s="119" t="s">
        <v>186</v>
      </c>
      <c r="D929" s="119" t="s">
        <v>154</v>
      </c>
      <c r="E929" s="119">
        <v>100</v>
      </c>
      <c r="F929" s="119" t="s">
        <v>124</v>
      </c>
      <c r="G929" s="119">
        <v>113</v>
      </c>
      <c r="I929" s="119" t="s">
        <v>120</v>
      </c>
    </row>
    <row r="930" spans="1:9">
      <c r="A930" s="119">
        <v>540</v>
      </c>
      <c r="B930" s="119" t="s">
        <v>136</v>
      </c>
      <c r="C930" s="119" t="s">
        <v>186</v>
      </c>
      <c r="D930" s="119" t="s">
        <v>154</v>
      </c>
      <c r="E930" s="119">
        <v>75</v>
      </c>
      <c r="F930" s="119" t="s">
        <v>125</v>
      </c>
      <c r="G930" s="119">
        <v>113</v>
      </c>
      <c r="I930" s="119" t="s">
        <v>120</v>
      </c>
    </row>
    <row r="931" spans="1:9">
      <c r="A931" s="119">
        <v>543</v>
      </c>
      <c r="B931" s="119" t="s">
        <v>136</v>
      </c>
      <c r="C931" s="119" t="s">
        <v>186</v>
      </c>
      <c r="D931" s="119" t="s">
        <v>154</v>
      </c>
      <c r="E931" s="119">
        <v>50</v>
      </c>
      <c r="F931" s="119" t="s">
        <v>127</v>
      </c>
      <c r="G931" s="119">
        <v>113</v>
      </c>
      <c r="I931" s="119" t="s">
        <v>120</v>
      </c>
    </row>
    <row r="932" spans="1:9">
      <c r="A932" s="119">
        <v>545</v>
      </c>
      <c r="B932" s="119" t="s">
        <v>136</v>
      </c>
      <c r="C932" s="119" t="s">
        <v>186</v>
      </c>
      <c r="D932" s="119" t="s">
        <v>154</v>
      </c>
      <c r="E932" s="119">
        <v>25</v>
      </c>
      <c r="F932" s="119" t="s">
        <v>129</v>
      </c>
      <c r="G932" s="119">
        <v>113</v>
      </c>
      <c r="I932" s="119" t="s">
        <v>120</v>
      </c>
    </row>
    <row r="933" spans="1:9">
      <c r="A933" s="119">
        <v>551</v>
      </c>
      <c r="B933" s="119" t="s">
        <v>136</v>
      </c>
      <c r="C933" s="119" t="s">
        <v>186</v>
      </c>
      <c r="D933" s="119" t="s">
        <v>154</v>
      </c>
      <c r="E933" s="119">
        <v>5</v>
      </c>
      <c r="F933" s="119" t="s">
        <v>142</v>
      </c>
      <c r="G933" s="119">
        <v>113</v>
      </c>
      <c r="I933" s="119" t="s">
        <v>120</v>
      </c>
    </row>
    <row r="934" spans="1:9">
      <c r="A934" s="119">
        <v>543</v>
      </c>
      <c r="B934" s="119" t="s">
        <v>137</v>
      </c>
      <c r="C934" s="119" t="s">
        <v>186</v>
      </c>
      <c r="D934" s="119" t="s">
        <v>154</v>
      </c>
      <c r="E934" s="119">
        <v>50</v>
      </c>
      <c r="F934" s="119" t="s">
        <v>127</v>
      </c>
      <c r="G934" s="119">
        <v>113</v>
      </c>
      <c r="I934" s="119" t="s">
        <v>120</v>
      </c>
    </row>
    <row r="935" spans="1:9">
      <c r="A935" s="119">
        <v>545</v>
      </c>
      <c r="B935" s="119" t="s">
        <v>137</v>
      </c>
      <c r="C935" s="119" t="s">
        <v>186</v>
      </c>
      <c r="D935" s="119" t="s">
        <v>154</v>
      </c>
      <c r="E935" s="119">
        <v>25</v>
      </c>
      <c r="F935" s="119" t="s">
        <v>129</v>
      </c>
      <c r="G935" s="119">
        <v>113</v>
      </c>
      <c r="I935" s="119" t="s">
        <v>120</v>
      </c>
    </row>
    <row r="936" spans="1:9">
      <c r="A936" s="119">
        <v>551</v>
      </c>
      <c r="B936" s="119" t="s">
        <v>137</v>
      </c>
      <c r="C936" s="119" t="s">
        <v>186</v>
      </c>
      <c r="D936" s="119" t="s">
        <v>154</v>
      </c>
      <c r="E936" s="119">
        <v>5</v>
      </c>
      <c r="F936" s="119" t="s">
        <v>142</v>
      </c>
      <c r="G936" s="119">
        <v>113</v>
      </c>
      <c r="I936" s="119" t="s">
        <v>120</v>
      </c>
    </row>
    <row r="937" spans="1:9">
      <c r="A937" s="119">
        <v>547</v>
      </c>
      <c r="B937" s="119" t="s">
        <v>155</v>
      </c>
      <c r="C937" s="119" t="s">
        <v>186</v>
      </c>
      <c r="D937" s="119" t="s">
        <v>154</v>
      </c>
      <c r="E937" s="119">
        <v>5</v>
      </c>
      <c r="F937" s="119" t="s">
        <v>131</v>
      </c>
      <c r="G937" s="119">
        <v>113</v>
      </c>
      <c r="I937" s="119" t="s">
        <v>120</v>
      </c>
    </row>
    <row r="938" spans="1:9">
      <c r="A938" s="119">
        <v>551</v>
      </c>
      <c r="B938" s="119" t="s">
        <v>156</v>
      </c>
      <c r="C938" s="119" t="s">
        <v>186</v>
      </c>
      <c r="D938" s="119" t="s">
        <v>154</v>
      </c>
      <c r="E938" s="119">
        <v>5</v>
      </c>
      <c r="F938" s="119" t="s">
        <v>142</v>
      </c>
      <c r="G938" s="119">
        <v>113</v>
      </c>
      <c r="I938" s="119" t="s">
        <v>120</v>
      </c>
    </row>
    <row r="939" spans="1:9">
      <c r="A939" s="119">
        <v>550</v>
      </c>
      <c r="B939" s="119" t="s">
        <v>157</v>
      </c>
      <c r="C939" s="119" t="s">
        <v>186</v>
      </c>
      <c r="D939" s="119" t="s">
        <v>154</v>
      </c>
      <c r="E939" s="119">
        <v>5</v>
      </c>
      <c r="F939" s="119" t="s">
        <v>138</v>
      </c>
      <c r="G939" s="119">
        <v>113</v>
      </c>
      <c r="I939" s="119" t="s">
        <v>120</v>
      </c>
    </row>
    <row r="940" spans="1:9">
      <c r="A940" s="119">
        <v>549</v>
      </c>
      <c r="B940" s="119" t="s">
        <v>158</v>
      </c>
      <c r="C940" s="119" t="s">
        <v>186</v>
      </c>
      <c r="D940" s="119" t="s">
        <v>154</v>
      </c>
      <c r="E940" s="119">
        <v>5</v>
      </c>
      <c r="F940" s="119" t="s">
        <v>135</v>
      </c>
      <c r="G940" s="119">
        <v>113</v>
      </c>
    </row>
    <row r="941" spans="1:9">
      <c r="A941" s="119">
        <v>534</v>
      </c>
      <c r="B941" s="119" t="s">
        <v>159</v>
      </c>
      <c r="C941" s="119" t="s">
        <v>186</v>
      </c>
      <c r="D941" s="119" t="s">
        <v>154</v>
      </c>
      <c r="E941" s="119">
        <v>150</v>
      </c>
      <c r="F941" s="119" t="s">
        <v>118</v>
      </c>
      <c r="G941" s="119">
        <v>113</v>
      </c>
      <c r="I941" s="119" t="s">
        <v>120</v>
      </c>
    </row>
    <row r="942" spans="1:9">
      <c r="A942" s="119">
        <v>538</v>
      </c>
      <c r="B942" s="119" t="s">
        <v>159</v>
      </c>
      <c r="C942" s="119" t="s">
        <v>186</v>
      </c>
      <c r="D942" s="119" t="s">
        <v>154</v>
      </c>
      <c r="E942" s="119">
        <v>100</v>
      </c>
      <c r="F942" s="119" t="s">
        <v>123</v>
      </c>
      <c r="G942" s="119">
        <v>113</v>
      </c>
      <c r="I942" s="119" t="s">
        <v>120</v>
      </c>
    </row>
    <row r="943" spans="1:9">
      <c r="A943" s="119">
        <v>542</v>
      </c>
      <c r="B943" s="119" t="s">
        <v>159</v>
      </c>
      <c r="C943" s="119" t="s">
        <v>186</v>
      </c>
      <c r="D943" s="119" t="s">
        <v>154</v>
      </c>
      <c r="E943" s="119">
        <v>50</v>
      </c>
      <c r="F943" s="119" t="s">
        <v>126</v>
      </c>
      <c r="G943" s="119">
        <v>113</v>
      </c>
      <c r="I943" s="119" t="s">
        <v>120</v>
      </c>
    </row>
    <row r="944" spans="1:9">
      <c r="A944" s="119">
        <v>544</v>
      </c>
      <c r="B944" s="119" t="s">
        <v>159</v>
      </c>
      <c r="C944" s="119" t="s">
        <v>186</v>
      </c>
      <c r="D944" s="119" t="s">
        <v>154</v>
      </c>
      <c r="E944" s="119">
        <v>25</v>
      </c>
      <c r="F944" s="119" t="s">
        <v>128</v>
      </c>
      <c r="G944" s="119">
        <v>113</v>
      </c>
      <c r="I944" s="119" t="s">
        <v>120</v>
      </c>
    </row>
    <row r="945" spans="1:9">
      <c r="A945" s="119">
        <v>552</v>
      </c>
      <c r="B945" s="119" t="s">
        <v>159</v>
      </c>
      <c r="C945" s="119" t="s">
        <v>186</v>
      </c>
      <c r="D945" s="119" t="s">
        <v>154</v>
      </c>
      <c r="E945" s="119">
        <v>5</v>
      </c>
      <c r="F945" s="119" t="s">
        <v>143</v>
      </c>
      <c r="G945" s="119">
        <v>113</v>
      </c>
      <c r="I945" s="119" t="s">
        <v>120</v>
      </c>
    </row>
    <row r="946" spans="1:9">
      <c r="A946" s="119">
        <v>537</v>
      </c>
      <c r="B946" s="119" t="s">
        <v>160</v>
      </c>
      <c r="C946" s="119" t="s">
        <v>186</v>
      </c>
      <c r="D946" s="119" t="s">
        <v>154</v>
      </c>
      <c r="E946" s="119">
        <v>100</v>
      </c>
      <c r="F946" s="119" t="s">
        <v>122</v>
      </c>
      <c r="G946" s="119">
        <v>113</v>
      </c>
      <c r="I946" s="119" t="s">
        <v>120</v>
      </c>
    </row>
    <row r="947" spans="1:9">
      <c r="A947" s="119">
        <v>541</v>
      </c>
      <c r="B947" s="119" t="s">
        <v>160</v>
      </c>
      <c r="C947" s="119" t="s">
        <v>186</v>
      </c>
      <c r="D947" s="119" t="s">
        <v>154</v>
      </c>
      <c r="E947" s="119">
        <v>50</v>
      </c>
      <c r="F947" s="119" t="s">
        <v>134</v>
      </c>
      <c r="G947" s="119">
        <v>113</v>
      </c>
      <c r="I947" s="119" t="s">
        <v>120</v>
      </c>
    </row>
    <row r="948" spans="1:9">
      <c r="A948" s="119">
        <v>546</v>
      </c>
      <c r="B948" s="119" t="s">
        <v>160</v>
      </c>
      <c r="C948" s="119" t="s">
        <v>186</v>
      </c>
      <c r="D948" s="119" t="s">
        <v>154</v>
      </c>
      <c r="E948" s="119">
        <v>25</v>
      </c>
      <c r="F948" s="119" t="s">
        <v>130</v>
      </c>
      <c r="G948" s="119">
        <v>113</v>
      </c>
      <c r="I948" s="119" t="s">
        <v>120</v>
      </c>
    </row>
    <row r="949" spans="1:9">
      <c r="A949" s="119">
        <v>548</v>
      </c>
      <c r="B949" s="119" t="s">
        <v>160</v>
      </c>
      <c r="C949" s="119" t="s">
        <v>186</v>
      </c>
      <c r="D949" s="119" t="s">
        <v>154</v>
      </c>
      <c r="E949" s="119">
        <v>5</v>
      </c>
      <c r="F949" s="119" t="s">
        <v>132</v>
      </c>
      <c r="G949" s="119">
        <v>113</v>
      </c>
      <c r="I949" s="119" t="s">
        <v>120</v>
      </c>
    </row>
    <row r="950" spans="1:9">
      <c r="A950" s="119">
        <v>553</v>
      </c>
      <c r="B950" s="119" t="s">
        <v>139</v>
      </c>
      <c r="C950" s="119" t="s">
        <v>187</v>
      </c>
      <c r="D950" s="119" t="s">
        <v>154</v>
      </c>
      <c r="E950" s="119">
        <v>300</v>
      </c>
      <c r="F950" s="119" t="s">
        <v>133</v>
      </c>
      <c r="G950" s="119">
        <v>117</v>
      </c>
    </row>
    <row r="951" spans="1:9">
      <c r="A951" s="119">
        <v>554</v>
      </c>
      <c r="B951" s="119" t="s">
        <v>139</v>
      </c>
      <c r="C951" s="119" t="s">
        <v>187</v>
      </c>
      <c r="D951" s="119" t="s">
        <v>154</v>
      </c>
      <c r="E951" s="119">
        <v>200</v>
      </c>
      <c r="F951" s="119" t="s">
        <v>117</v>
      </c>
      <c r="G951" s="119">
        <v>117</v>
      </c>
    </row>
    <row r="952" spans="1:9">
      <c r="A952" s="119">
        <v>556</v>
      </c>
      <c r="B952" s="119" t="s">
        <v>139</v>
      </c>
      <c r="C952" s="119" t="s">
        <v>187</v>
      </c>
      <c r="D952" s="119" t="s">
        <v>154</v>
      </c>
      <c r="E952" s="119">
        <v>150</v>
      </c>
      <c r="F952" s="119" t="s">
        <v>119</v>
      </c>
      <c r="G952" s="119">
        <v>117</v>
      </c>
    </row>
    <row r="953" spans="1:9">
      <c r="A953" s="119">
        <v>557</v>
      </c>
      <c r="B953" s="119" t="s">
        <v>139</v>
      </c>
      <c r="C953" s="119" t="s">
        <v>187</v>
      </c>
      <c r="D953" s="119" t="s">
        <v>154</v>
      </c>
      <c r="E953" s="119">
        <v>125</v>
      </c>
      <c r="F953" s="119" t="s">
        <v>121</v>
      </c>
      <c r="G953" s="119">
        <v>117</v>
      </c>
    </row>
    <row r="954" spans="1:9">
      <c r="A954" s="119">
        <v>560</v>
      </c>
      <c r="B954" s="119" t="s">
        <v>139</v>
      </c>
      <c r="C954" s="119" t="s">
        <v>187</v>
      </c>
      <c r="D954" s="119" t="s">
        <v>154</v>
      </c>
      <c r="E954" s="119">
        <v>100</v>
      </c>
      <c r="F954" s="119" t="s">
        <v>124</v>
      </c>
      <c r="G954" s="119">
        <v>117</v>
      </c>
      <c r="I954" s="119" t="s">
        <v>120</v>
      </c>
    </row>
    <row r="955" spans="1:9">
      <c r="A955" s="119">
        <v>561</v>
      </c>
      <c r="B955" s="119" t="s">
        <v>139</v>
      </c>
      <c r="C955" s="119" t="s">
        <v>187</v>
      </c>
      <c r="D955" s="119" t="s">
        <v>154</v>
      </c>
      <c r="E955" s="119">
        <v>75</v>
      </c>
      <c r="F955" s="119" t="s">
        <v>125</v>
      </c>
      <c r="G955" s="119">
        <v>117</v>
      </c>
    </row>
    <row r="956" spans="1:9">
      <c r="A956" s="119">
        <v>564</v>
      </c>
      <c r="B956" s="119" t="s">
        <v>139</v>
      </c>
      <c r="C956" s="119" t="s">
        <v>187</v>
      </c>
      <c r="D956" s="119" t="s">
        <v>154</v>
      </c>
      <c r="E956" s="119">
        <v>50</v>
      </c>
      <c r="F956" s="119" t="s">
        <v>127</v>
      </c>
      <c r="G956" s="119">
        <v>117</v>
      </c>
    </row>
    <row r="957" spans="1:9">
      <c r="A957" s="119">
        <v>566</v>
      </c>
      <c r="B957" s="119" t="s">
        <v>139</v>
      </c>
      <c r="C957" s="119" t="s">
        <v>187</v>
      </c>
      <c r="D957" s="119" t="s">
        <v>154</v>
      </c>
      <c r="E957" s="119">
        <v>25</v>
      </c>
      <c r="F957" s="119" t="s">
        <v>129</v>
      </c>
      <c r="G957" s="119">
        <v>117</v>
      </c>
    </row>
    <row r="958" spans="1:9">
      <c r="A958" s="119">
        <v>572</v>
      </c>
      <c r="B958" s="119" t="s">
        <v>139</v>
      </c>
      <c r="C958" s="119" t="s">
        <v>187</v>
      </c>
      <c r="D958" s="119" t="s">
        <v>154</v>
      </c>
      <c r="E958" s="119">
        <v>5</v>
      </c>
      <c r="F958" s="119" t="s">
        <v>142</v>
      </c>
      <c r="G958" s="119">
        <v>117</v>
      </c>
    </row>
    <row r="959" spans="1:9">
      <c r="A959" s="119">
        <v>556</v>
      </c>
      <c r="B959" s="119" t="s">
        <v>136</v>
      </c>
      <c r="C959" s="119" t="s">
        <v>187</v>
      </c>
      <c r="D959" s="119" t="s">
        <v>154</v>
      </c>
      <c r="E959" s="119">
        <v>150</v>
      </c>
      <c r="F959" s="119" t="s">
        <v>119</v>
      </c>
      <c r="G959" s="119">
        <v>117</v>
      </c>
      <c r="I959" s="119" t="s">
        <v>120</v>
      </c>
    </row>
    <row r="960" spans="1:9">
      <c r="A960" s="119">
        <v>560</v>
      </c>
      <c r="B960" s="119" t="s">
        <v>136</v>
      </c>
      <c r="C960" s="119" t="s">
        <v>187</v>
      </c>
      <c r="D960" s="119" t="s">
        <v>154</v>
      </c>
      <c r="E960" s="119">
        <v>100</v>
      </c>
      <c r="F960" s="119" t="s">
        <v>124</v>
      </c>
      <c r="G960" s="119">
        <v>117</v>
      </c>
      <c r="I960" s="119" t="s">
        <v>120</v>
      </c>
    </row>
    <row r="961" spans="1:9">
      <c r="A961" s="119">
        <v>561</v>
      </c>
      <c r="B961" s="119" t="s">
        <v>136</v>
      </c>
      <c r="C961" s="119" t="s">
        <v>187</v>
      </c>
      <c r="D961" s="119" t="s">
        <v>154</v>
      </c>
      <c r="E961" s="119">
        <v>75</v>
      </c>
      <c r="F961" s="119" t="s">
        <v>125</v>
      </c>
      <c r="G961" s="119">
        <v>117</v>
      </c>
      <c r="I961" s="119" t="s">
        <v>120</v>
      </c>
    </row>
    <row r="962" spans="1:9">
      <c r="A962" s="119">
        <v>564</v>
      </c>
      <c r="B962" s="119" t="s">
        <v>136</v>
      </c>
      <c r="C962" s="119" t="s">
        <v>187</v>
      </c>
      <c r="D962" s="119" t="s">
        <v>154</v>
      </c>
      <c r="E962" s="119">
        <v>50</v>
      </c>
      <c r="F962" s="119" t="s">
        <v>127</v>
      </c>
      <c r="G962" s="119">
        <v>117</v>
      </c>
      <c r="I962" s="119" t="s">
        <v>120</v>
      </c>
    </row>
    <row r="963" spans="1:9">
      <c r="A963" s="119">
        <v>566</v>
      </c>
      <c r="B963" s="119" t="s">
        <v>136</v>
      </c>
      <c r="C963" s="119" t="s">
        <v>187</v>
      </c>
      <c r="D963" s="119" t="s">
        <v>154</v>
      </c>
      <c r="E963" s="119">
        <v>25</v>
      </c>
      <c r="F963" s="119" t="s">
        <v>129</v>
      </c>
      <c r="G963" s="119">
        <v>117</v>
      </c>
      <c r="I963" s="119" t="s">
        <v>120</v>
      </c>
    </row>
    <row r="964" spans="1:9">
      <c r="A964" s="119">
        <v>572</v>
      </c>
      <c r="B964" s="119" t="s">
        <v>136</v>
      </c>
      <c r="C964" s="119" t="s">
        <v>187</v>
      </c>
      <c r="D964" s="119" t="s">
        <v>154</v>
      </c>
      <c r="E964" s="119">
        <v>5</v>
      </c>
      <c r="F964" s="119" t="s">
        <v>142</v>
      </c>
      <c r="G964" s="119">
        <v>117</v>
      </c>
      <c r="I964" s="119" t="s">
        <v>120</v>
      </c>
    </row>
    <row r="965" spans="1:9">
      <c r="A965" s="119">
        <v>564</v>
      </c>
      <c r="B965" s="119" t="s">
        <v>137</v>
      </c>
      <c r="C965" s="119" t="s">
        <v>187</v>
      </c>
      <c r="D965" s="119" t="s">
        <v>154</v>
      </c>
      <c r="E965" s="119">
        <v>50</v>
      </c>
      <c r="F965" s="119" t="s">
        <v>127</v>
      </c>
      <c r="G965" s="119">
        <v>117</v>
      </c>
      <c r="I965" s="119" t="s">
        <v>120</v>
      </c>
    </row>
    <row r="966" spans="1:9">
      <c r="A966" s="119">
        <v>566</v>
      </c>
      <c r="B966" s="119" t="s">
        <v>137</v>
      </c>
      <c r="C966" s="119" t="s">
        <v>187</v>
      </c>
      <c r="D966" s="119" t="s">
        <v>154</v>
      </c>
      <c r="E966" s="119">
        <v>25</v>
      </c>
      <c r="F966" s="119" t="s">
        <v>129</v>
      </c>
      <c r="G966" s="119">
        <v>117</v>
      </c>
      <c r="I966" s="119" t="s">
        <v>120</v>
      </c>
    </row>
    <row r="967" spans="1:9">
      <c r="A967" s="119">
        <v>572</v>
      </c>
      <c r="B967" s="119" t="s">
        <v>137</v>
      </c>
      <c r="C967" s="119" t="s">
        <v>187</v>
      </c>
      <c r="D967" s="119" t="s">
        <v>154</v>
      </c>
      <c r="E967" s="119">
        <v>5</v>
      </c>
      <c r="F967" s="119" t="s">
        <v>142</v>
      </c>
      <c r="G967" s="119">
        <v>117</v>
      </c>
      <c r="I967" s="119" t="s">
        <v>120</v>
      </c>
    </row>
    <row r="968" spans="1:9">
      <c r="A968" s="119">
        <v>568</v>
      </c>
      <c r="B968" s="119" t="s">
        <v>155</v>
      </c>
      <c r="C968" s="119" t="s">
        <v>187</v>
      </c>
      <c r="D968" s="119" t="s">
        <v>154</v>
      </c>
      <c r="E968" s="119">
        <v>5</v>
      </c>
      <c r="F968" s="119" t="s">
        <v>131</v>
      </c>
      <c r="G968" s="119">
        <v>117</v>
      </c>
      <c r="I968" s="119" t="s">
        <v>120</v>
      </c>
    </row>
    <row r="969" spans="1:9">
      <c r="A969" s="119">
        <v>572</v>
      </c>
      <c r="B969" s="119" t="s">
        <v>156</v>
      </c>
      <c r="C969" s="119" t="s">
        <v>187</v>
      </c>
      <c r="D969" s="119" t="s">
        <v>154</v>
      </c>
      <c r="E969" s="119">
        <v>5</v>
      </c>
      <c r="F969" s="119" t="s">
        <v>142</v>
      </c>
      <c r="G969" s="119">
        <v>117</v>
      </c>
      <c r="I969" s="119" t="s">
        <v>120</v>
      </c>
    </row>
    <row r="970" spans="1:9">
      <c r="A970" s="119">
        <v>571</v>
      </c>
      <c r="B970" s="119" t="s">
        <v>157</v>
      </c>
      <c r="C970" s="119" t="s">
        <v>187</v>
      </c>
      <c r="D970" s="119" t="s">
        <v>154</v>
      </c>
      <c r="E970" s="119">
        <v>5</v>
      </c>
      <c r="F970" s="119" t="s">
        <v>138</v>
      </c>
      <c r="G970" s="119">
        <v>117</v>
      </c>
      <c r="I970" s="119" t="s">
        <v>120</v>
      </c>
    </row>
    <row r="971" spans="1:9">
      <c r="A971" s="119">
        <v>570</v>
      </c>
      <c r="B971" s="119" t="s">
        <v>158</v>
      </c>
      <c r="C971" s="119" t="s">
        <v>187</v>
      </c>
      <c r="D971" s="119" t="s">
        <v>154</v>
      </c>
      <c r="E971" s="119">
        <v>5</v>
      </c>
      <c r="F971" s="119" t="s">
        <v>135</v>
      </c>
      <c r="G971" s="119">
        <v>117</v>
      </c>
    </row>
    <row r="972" spans="1:9">
      <c r="A972" s="119">
        <v>555</v>
      </c>
      <c r="B972" s="119" t="s">
        <v>159</v>
      </c>
      <c r="C972" s="119" t="s">
        <v>187</v>
      </c>
      <c r="D972" s="119" t="s">
        <v>154</v>
      </c>
      <c r="E972" s="119">
        <v>150</v>
      </c>
      <c r="F972" s="119" t="s">
        <v>118</v>
      </c>
      <c r="G972" s="119">
        <v>117</v>
      </c>
      <c r="I972" s="119" t="s">
        <v>120</v>
      </c>
    </row>
    <row r="973" spans="1:9">
      <c r="A973" s="119">
        <v>559</v>
      </c>
      <c r="B973" s="119" t="s">
        <v>159</v>
      </c>
      <c r="C973" s="119" t="s">
        <v>187</v>
      </c>
      <c r="D973" s="119" t="s">
        <v>154</v>
      </c>
      <c r="E973" s="119">
        <v>100</v>
      </c>
      <c r="F973" s="119" t="s">
        <v>123</v>
      </c>
      <c r="G973" s="119">
        <v>117</v>
      </c>
      <c r="I973" s="119" t="s">
        <v>120</v>
      </c>
    </row>
    <row r="974" spans="1:9">
      <c r="A974" s="119">
        <v>563</v>
      </c>
      <c r="B974" s="119" t="s">
        <v>159</v>
      </c>
      <c r="C974" s="119" t="s">
        <v>187</v>
      </c>
      <c r="D974" s="119" t="s">
        <v>154</v>
      </c>
      <c r="E974" s="119">
        <v>50</v>
      </c>
      <c r="F974" s="119" t="s">
        <v>126</v>
      </c>
      <c r="G974" s="119">
        <v>117</v>
      </c>
      <c r="I974" s="119" t="s">
        <v>120</v>
      </c>
    </row>
    <row r="975" spans="1:9">
      <c r="A975" s="119">
        <v>565</v>
      </c>
      <c r="B975" s="119" t="s">
        <v>159</v>
      </c>
      <c r="C975" s="119" t="s">
        <v>187</v>
      </c>
      <c r="D975" s="119" t="s">
        <v>154</v>
      </c>
      <c r="E975" s="119">
        <v>25</v>
      </c>
      <c r="F975" s="119" t="s">
        <v>128</v>
      </c>
      <c r="G975" s="119">
        <v>117</v>
      </c>
      <c r="I975" s="119" t="s">
        <v>120</v>
      </c>
    </row>
    <row r="976" spans="1:9">
      <c r="A976" s="119">
        <v>573</v>
      </c>
      <c r="B976" s="119" t="s">
        <v>159</v>
      </c>
      <c r="C976" s="119" t="s">
        <v>187</v>
      </c>
      <c r="D976" s="119" t="s">
        <v>154</v>
      </c>
      <c r="E976" s="119">
        <v>5</v>
      </c>
      <c r="F976" s="119" t="s">
        <v>143</v>
      </c>
      <c r="G976" s="119">
        <v>117</v>
      </c>
      <c r="I976" s="119" t="s">
        <v>120</v>
      </c>
    </row>
    <row r="977" spans="1:9">
      <c r="A977" s="119">
        <v>558</v>
      </c>
      <c r="B977" s="119" t="s">
        <v>160</v>
      </c>
      <c r="C977" s="119" t="s">
        <v>187</v>
      </c>
      <c r="D977" s="119" t="s">
        <v>154</v>
      </c>
      <c r="E977" s="119">
        <v>100</v>
      </c>
      <c r="F977" s="119" t="s">
        <v>122</v>
      </c>
      <c r="G977" s="119">
        <v>117</v>
      </c>
      <c r="I977" s="119" t="s">
        <v>120</v>
      </c>
    </row>
    <row r="978" spans="1:9">
      <c r="A978" s="119">
        <v>562</v>
      </c>
      <c r="B978" s="119" t="s">
        <v>160</v>
      </c>
      <c r="C978" s="119" t="s">
        <v>187</v>
      </c>
      <c r="D978" s="119" t="s">
        <v>154</v>
      </c>
      <c r="E978" s="119">
        <v>50</v>
      </c>
      <c r="F978" s="119" t="s">
        <v>134</v>
      </c>
      <c r="G978" s="119">
        <v>117</v>
      </c>
      <c r="I978" s="119" t="s">
        <v>120</v>
      </c>
    </row>
    <row r="979" spans="1:9">
      <c r="A979" s="119">
        <v>567</v>
      </c>
      <c r="B979" s="119" t="s">
        <v>160</v>
      </c>
      <c r="C979" s="119" t="s">
        <v>187</v>
      </c>
      <c r="D979" s="119" t="s">
        <v>154</v>
      </c>
      <c r="E979" s="119">
        <v>25</v>
      </c>
      <c r="F979" s="119" t="s">
        <v>130</v>
      </c>
      <c r="G979" s="119">
        <v>117</v>
      </c>
      <c r="I979" s="119" t="s">
        <v>120</v>
      </c>
    </row>
    <row r="980" spans="1:9">
      <c r="A980" s="119">
        <v>569</v>
      </c>
      <c r="B980" s="119" t="s">
        <v>160</v>
      </c>
      <c r="C980" s="119" t="s">
        <v>187</v>
      </c>
      <c r="D980" s="119" t="s">
        <v>154</v>
      </c>
      <c r="E980" s="119">
        <v>5</v>
      </c>
      <c r="F980" s="119" t="s">
        <v>132</v>
      </c>
      <c r="G980" s="119">
        <v>117</v>
      </c>
      <c r="I980" s="119" t="s">
        <v>120</v>
      </c>
    </row>
    <row r="981" spans="1:9">
      <c r="A981" s="119">
        <v>574</v>
      </c>
      <c r="B981" s="119" t="s">
        <v>139</v>
      </c>
      <c r="C981" s="119" t="s">
        <v>188</v>
      </c>
      <c r="D981" s="119" t="s">
        <v>154</v>
      </c>
      <c r="E981" s="119">
        <v>300</v>
      </c>
      <c r="F981" s="119" t="s">
        <v>133</v>
      </c>
      <c r="G981" s="119">
        <v>121</v>
      </c>
    </row>
    <row r="982" spans="1:9">
      <c r="A982" s="119">
        <v>575</v>
      </c>
      <c r="B982" s="119" t="s">
        <v>139</v>
      </c>
      <c r="C982" s="119" t="s">
        <v>188</v>
      </c>
      <c r="D982" s="119" t="s">
        <v>154</v>
      </c>
      <c r="E982" s="119">
        <v>200</v>
      </c>
      <c r="F982" s="119" t="s">
        <v>117</v>
      </c>
      <c r="G982" s="119">
        <v>121</v>
      </c>
    </row>
    <row r="983" spans="1:9">
      <c r="A983" s="119">
        <v>577</v>
      </c>
      <c r="B983" s="119" t="s">
        <v>139</v>
      </c>
      <c r="C983" s="119" t="s">
        <v>188</v>
      </c>
      <c r="D983" s="119" t="s">
        <v>154</v>
      </c>
      <c r="E983" s="119">
        <v>150</v>
      </c>
      <c r="F983" s="119" t="s">
        <v>119</v>
      </c>
      <c r="G983" s="119">
        <v>121</v>
      </c>
    </row>
    <row r="984" spans="1:9">
      <c r="A984" s="119">
        <v>578</v>
      </c>
      <c r="B984" s="119" t="s">
        <v>139</v>
      </c>
      <c r="C984" s="119" t="s">
        <v>188</v>
      </c>
      <c r="D984" s="119" t="s">
        <v>154</v>
      </c>
      <c r="E984" s="119">
        <v>125</v>
      </c>
      <c r="F984" s="119" t="s">
        <v>121</v>
      </c>
      <c r="G984" s="119">
        <v>121</v>
      </c>
    </row>
    <row r="985" spans="1:9">
      <c r="A985" s="119">
        <v>581</v>
      </c>
      <c r="B985" s="119" t="s">
        <v>139</v>
      </c>
      <c r="C985" s="119" t="s">
        <v>188</v>
      </c>
      <c r="D985" s="119" t="s">
        <v>154</v>
      </c>
      <c r="E985" s="119">
        <v>100</v>
      </c>
      <c r="F985" s="119" t="s">
        <v>124</v>
      </c>
      <c r="G985" s="119">
        <v>121</v>
      </c>
    </row>
    <row r="986" spans="1:9">
      <c r="A986" s="119">
        <v>582</v>
      </c>
      <c r="B986" s="119" t="s">
        <v>139</v>
      </c>
      <c r="C986" s="119" t="s">
        <v>188</v>
      </c>
      <c r="D986" s="119" t="s">
        <v>154</v>
      </c>
      <c r="E986" s="119">
        <v>75</v>
      </c>
      <c r="F986" s="119" t="s">
        <v>125</v>
      </c>
      <c r="G986" s="119">
        <v>121</v>
      </c>
    </row>
    <row r="987" spans="1:9">
      <c r="A987" s="119">
        <v>585</v>
      </c>
      <c r="B987" s="119" t="s">
        <v>139</v>
      </c>
      <c r="C987" s="119" t="s">
        <v>188</v>
      </c>
      <c r="D987" s="119" t="s">
        <v>154</v>
      </c>
      <c r="E987" s="119">
        <v>50</v>
      </c>
      <c r="F987" s="119" t="s">
        <v>127</v>
      </c>
      <c r="G987" s="119">
        <v>121</v>
      </c>
    </row>
    <row r="988" spans="1:9">
      <c r="A988" s="119">
        <v>587</v>
      </c>
      <c r="B988" s="119" t="s">
        <v>139</v>
      </c>
      <c r="C988" s="119" t="s">
        <v>188</v>
      </c>
      <c r="D988" s="119" t="s">
        <v>154</v>
      </c>
      <c r="E988" s="119">
        <v>25</v>
      </c>
      <c r="F988" s="119" t="s">
        <v>129</v>
      </c>
      <c r="G988" s="119">
        <v>121</v>
      </c>
      <c r="I988" s="119" t="s">
        <v>120</v>
      </c>
    </row>
    <row r="989" spans="1:9">
      <c r="A989" s="119">
        <v>593</v>
      </c>
      <c r="B989" s="119" t="s">
        <v>139</v>
      </c>
      <c r="C989" s="119" t="s">
        <v>188</v>
      </c>
      <c r="D989" s="119" t="s">
        <v>154</v>
      </c>
      <c r="E989" s="119">
        <v>5</v>
      </c>
      <c r="F989" s="119" t="s">
        <v>142</v>
      </c>
      <c r="G989" s="119">
        <v>121</v>
      </c>
    </row>
    <row r="990" spans="1:9">
      <c r="A990" s="119">
        <v>577</v>
      </c>
      <c r="B990" s="119" t="s">
        <v>136</v>
      </c>
      <c r="C990" s="119" t="s">
        <v>188</v>
      </c>
      <c r="D990" s="119" t="s">
        <v>154</v>
      </c>
      <c r="E990" s="119">
        <v>150</v>
      </c>
      <c r="F990" s="119" t="s">
        <v>119</v>
      </c>
      <c r="G990" s="119">
        <v>121</v>
      </c>
      <c r="I990" s="119" t="s">
        <v>120</v>
      </c>
    </row>
    <row r="991" spans="1:9">
      <c r="A991" s="119">
        <v>581</v>
      </c>
      <c r="B991" s="119" t="s">
        <v>136</v>
      </c>
      <c r="C991" s="119" t="s">
        <v>188</v>
      </c>
      <c r="D991" s="119" t="s">
        <v>154</v>
      </c>
      <c r="E991" s="119">
        <v>100</v>
      </c>
      <c r="F991" s="119" t="s">
        <v>124</v>
      </c>
      <c r="G991" s="119">
        <v>121</v>
      </c>
      <c r="I991" s="119" t="s">
        <v>120</v>
      </c>
    </row>
    <row r="992" spans="1:9">
      <c r="A992" s="119">
        <v>582</v>
      </c>
      <c r="B992" s="119" t="s">
        <v>136</v>
      </c>
      <c r="C992" s="119" t="s">
        <v>188</v>
      </c>
      <c r="D992" s="119" t="s">
        <v>154</v>
      </c>
      <c r="E992" s="119">
        <v>75</v>
      </c>
      <c r="F992" s="119" t="s">
        <v>125</v>
      </c>
      <c r="G992" s="119">
        <v>121</v>
      </c>
      <c r="I992" s="119" t="s">
        <v>120</v>
      </c>
    </row>
    <row r="993" spans="1:9">
      <c r="A993" s="119">
        <v>585</v>
      </c>
      <c r="B993" s="119" t="s">
        <v>136</v>
      </c>
      <c r="C993" s="119" t="s">
        <v>188</v>
      </c>
      <c r="D993" s="119" t="s">
        <v>154</v>
      </c>
      <c r="E993" s="119">
        <v>50</v>
      </c>
      <c r="F993" s="119" t="s">
        <v>127</v>
      </c>
      <c r="G993" s="119">
        <v>121</v>
      </c>
      <c r="I993" s="119" t="s">
        <v>120</v>
      </c>
    </row>
    <row r="994" spans="1:9">
      <c r="A994" s="119">
        <v>587</v>
      </c>
      <c r="B994" s="119" t="s">
        <v>136</v>
      </c>
      <c r="C994" s="119" t="s">
        <v>188</v>
      </c>
      <c r="D994" s="119" t="s">
        <v>154</v>
      </c>
      <c r="E994" s="119">
        <v>25</v>
      </c>
      <c r="F994" s="119" t="s">
        <v>129</v>
      </c>
      <c r="G994" s="119">
        <v>121</v>
      </c>
      <c r="I994" s="119" t="s">
        <v>120</v>
      </c>
    </row>
    <row r="995" spans="1:9">
      <c r="A995" s="119">
        <v>593</v>
      </c>
      <c r="B995" s="119" t="s">
        <v>136</v>
      </c>
      <c r="C995" s="119" t="s">
        <v>188</v>
      </c>
      <c r="D995" s="119" t="s">
        <v>154</v>
      </c>
      <c r="E995" s="119">
        <v>5</v>
      </c>
      <c r="F995" s="119" t="s">
        <v>142</v>
      </c>
      <c r="G995" s="119">
        <v>121</v>
      </c>
      <c r="I995" s="119" t="s">
        <v>120</v>
      </c>
    </row>
    <row r="996" spans="1:9">
      <c r="A996" s="119">
        <v>585</v>
      </c>
      <c r="B996" s="119" t="s">
        <v>137</v>
      </c>
      <c r="C996" s="119" t="s">
        <v>188</v>
      </c>
      <c r="D996" s="119" t="s">
        <v>154</v>
      </c>
      <c r="E996" s="119">
        <v>50</v>
      </c>
      <c r="F996" s="119" t="s">
        <v>127</v>
      </c>
      <c r="G996" s="119">
        <v>121</v>
      </c>
      <c r="I996" s="119" t="s">
        <v>120</v>
      </c>
    </row>
    <row r="997" spans="1:9">
      <c r="A997" s="119">
        <v>587</v>
      </c>
      <c r="B997" s="119" t="s">
        <v>137</v>
      </c>
      <c r="C997" s="119" t="s">
        <v>188</v>
      </c>
      <c r="D997" s="119" t="s">
        <v>154</v>
      </c>
      <c r="E997" s="119">
        <v>25</v>
      </c>
      <c r="F997" s="119" t="s">
        <v>129</v>
      </c>
      <c r="G997" s="119">
        <v>121</v>
      </c>
      <c r="I997" s="119" t="s">
        <v>120</v>
      </c>
    </row>
    <row r="998" spans="1:9">
      <c r="A998" s="119">
        <v>593</v>
      </c>
      <c r="B998" s="119" t="s">
        <v>137</v>
      </c>
      <c r="C998" s="119" t="s">
        <v>188</v>
      </c>
      <c r="D998" s="119" t="s">
        <v>154</v>
      </c>
      <c r="E998" s="119">
        <v>5</v>
      </c>
      <c r="F998" s="119" t="s">
        <v>142</v>
      </c>
      <c r="G998" s="119">
        <v>121</v>
      </c>
      <c r="I998" s="119" t="s">
        <v>120</v>
      </c>
    </row>
    <row r="999" spans="1:9">
      <c r="A999" s="119">
        <v>589</v>
      </c>
      <c r="B999" s="119" t="s">
        <v>155</v>
      </c>
      <c r="C999" s="119" t="s">
        <v>188</v>
      </c>
      <c r="D999" s="119" t="s">
        <v>154</v>
      </c>
      <c r="E999" s="119">
        <v>5</v>
      </c>
      <c r="F999" s="119" t="s">
        <v>131</v>
      </c>
      <c r="G999" s="119">
        <v>121</v>
      </c>
      <c r="I999" s="119" t="s">
        <v>120</v>
      </c>
    </row>
    <row r="1000" spans="1:9">
      <c r="A1000" s="119">
        <v>593</v>
      </c>
      <c r="B1000" s="119" t="s">
        <v>156</v>
      </c>
      <c r="C1000" s="119" t="s">
        <v>188</v>
      </c>
      <c r="D1000" s="119" t="s">
        <v>154</v>
      </c>
      <c r="E1000" s="119">
        <v>5</v>
      </c>
      <c r="F1000" s="119" t="s">
        <v>142</v>
      </c>
      <c r="G1000" s="119">
        <v>121</v>
      </c>
      <c r="I1000" s="119" t="s">
        <v>120</v>
      </c>
    </row>
    <row r="1001" spans="1:9">
      <c r="A1001" s="119">
        <v>592</v>
      </c>
      <c r="B1001" s="119" t="s">
        <v>157</v>
      </c>
      <c r="C1001" s="119" t="s">
        <v>188</v>
      </c>
      <c r="D1001" s="119" t="s">
        <v>154</v>
      </c>
      <c r="E1001" s="119">
        <v>5</v>
      </c>
      <c r="F1001" s="119" t="s">
        <v>138</v>
      </c>
      <c r="G1001" s="119">
        <v>121</v>
      </c>
      <c r="I1001" s="119" t="s">
        <v>120</v>
      </c>
    </row>
    <row r="1002" spans="1:9">
      <c r="A1002" s="119">
        <v>591</v>
      </c>
      <c r="B1002" s="119" t="s">
        <v>158</v>
      </c>
      <c r="C1002" s="119" t="s">
        <v>188</v>
      </c>
      <c r="D1002" s="119" t="s">
        <v>154</v>
      </c>
      <c r="E1002" s="119">
        <v>5</v>
      </c>
      <c r="F1002" s="119" t="s">
        <v>135</v>
      </c>
      <c r="G1002" s="119">
        <v>121</v>
      </c>
    </row>
    <row r="1003" spans="1:9">
      <c r="A1003" s="119">
        <v>576</v>
      </c>
      <c r="B1003" s="119" t="s">
        <v>159</v>
      </c>
      <c r="C1003" s="119" t="s">
        <v>188</v>
      </c>
      <c r="D1003" s="119" t="s">
        <v>154</v>
      </c>
      <c r="E1003" s="119">
        <v>150</v>
      </c>
      <c r="F1003" s="119" t="s">
        <v>118</v>
      </c>
      <c r="G1003" s="119">
        <v>121</v>
      </c>
      <c r="I1003" s="119" t="s">
        <v>120</v>
      </c>
    </row>
    <row r="1004" spans="1:9">
      <c r="A1004" s="119">
        <v>580</v>
      </c>
      <c r="B1004" s="119" t="s">
        <v>159</v>
      </c>
      <c r="C1004" s="119" t="s">
        <v>188</v>
      </c>
      <c r="D1004" s="119" t="s">
        <v>154</v>
      </c>
      <c r="E1004" s="119">
        <v>100</v>
      </c>
      <c r="F1004" s="119" t="s">
        <v>123</v>
      </c>
      <c r="G1004" s="119">
        <v>121</v>
      </c>
      <c r="I1004" s="119" t="s">
        <v>120</v>
      </c>
    </row>
    <row r="1005" spans="1:9">
      <c r="A1005" s="119">
        <v>584</v>
      </c>
      <c r="B1005" s="119" t="s">
        <v>159</v>
      </c>
      <c r="C1005" s="119" t="s">
        <v>188</v>
      </c>
      <c r="D1005" s="119" t="s">
        <v>154</v>
      </c>
      <c r="E1005" s="119">
        <v>50</v>
      </c>
      <c r="F1005" s="119" t="s">
        <v>126</v>
      </c>
      <c r="G1005" s="119">
        <v>121</v>
      </c>
      <c r="I1005" s="119" t="s">
        <v>120</v>
      </c>
    </row>
    <row r="1006" spans="1:9">
      <c r="A1006" s="119">
        <v>586</v>
      </c>
      <c r="B1006" s="119" t="s">
        <v>159</v>
      </c>
      <c r="C1006" s="119" t="s">
        <v>188</v>
      </c>
      <c r="D1006" s="119" t="s">
        <v>154</v>
      </c>
      <c r="E1006" s="119">
        <v>25</v>
      </c>
      <c r="F1006" s="119" t="s">
        <v>128</v>
      </c>
      <c r="G1006" s="119">
        <v>121</v>
      </c>
      <c r="I1006" s="119" t="s">
        <v>120</v>
      </c>
    </row>
    <row r="1007" spans="1:9">
      <c r="A1007" s="119">
        <v>594</v>
      </c>
      <c r="B1007" s="119" t="s">
        <v>159</v>
      </c>
      <c r="C1007" s="119" t="s">
        <v>188</v>
      </c>
      <c r="D1007" s="119" t="s">
        <v>154</v>
      </c>
      <c r="E1007" s="119">
        <v>5</v>
      </c>
      <c r="F1007" s="119" t="s">
        <v>143</v>
      </c>
      <c r="G1007" s="119">
        <v>121</v>
      </c>
      <c r="I1007" s="119" t="s">
        <v>120</v>
      </c>
    </row>
    <row r="1008" spans="1:9">
      <c r="A1008" s="119">
        <v>579</v>
      </c>
      <c r="B1008" s="119" t="s">
        <v>160</v>
      </c>
      <c r="C1008" s="119" t="s">
        <v>188</v>
      </c>
      <c r="D1008" s="119" t="s">
        <v>154</v>
      </c>
      <c r="E1008" s="119">
        <v>100</v>
      </c>
      <c r="F1008" s="119" t="s">
        <v>122</v>
      </c>
      <c r="G1008" s="119">
        <v>121</v>
      </c>
      <c r="I1008" s="119" t="s">
        <v>120</v>
      </c>
    </row>
    <row r="1009" spans="1:9">
      <c r="A1009" s="119">
        <v>583</v>
      </c>
      <c r="B1009" s="119" t="s">
        <v>160</v>
      </c>
      <c r="C1009" s="119" t="s">
        <v>188</v>
      </c>
      <c r="D1009" s="119" t="s">
        <v>154</v>
      </c>
      <c r="E1009" s="119">
        <v>50</v>
      </c>
      <c r="F1009" s="119" t="s">
        <v>134</v>
      </c>
      <c r="G1009" s="119">
        <v>121</v>
      </c>
      <c r="I1009" s="119" t="s">
        <v>120</v>
      </c>
    </row>
    <row r="1010" spans="1:9">
      <c r="A1010" s="119">
        <v>588</v>
      </c>
      <c r="B1010" s="119" t="s">
        <v>160</v>
      </c>
      <c r="C1010" s="119" t="s">
        <v>188</v>
      </c>
      <c r="D1010" s="119" t="s">
        <v>154</v>
      </c>
      <c r="E1010" s="119">
        <v>25</v>
      </c>
      <c r="F1010" s="119" t="s">
        <v>130</v>
      </c>
      <c r="G1010" s="119">
        <v>121</v>
      </c>
      <c r="I1010" s="119" t="s">
        <v>120</v>
      </c>
    </row>
    <row r="1011" spans="1:9">
      <c r="A1011" s="119">
        <v>590</v>
      </c>
      <c r="B1011" s="119" t="s">
        <v>160</v>
      </c>
      <c r="C1011" s="119" t="s">
        <v>188</v>
      </c>
      <c r="D1011" s="119" t="s">
        <v>154</v>
      </c>
      <c r="E1011" s="119">
        <v>5</v>
      </c>
      <c r="F1011" s="119" t="s">
        <v>132</v>
      </c>
      <c r="G1011" s="119">
        <v>121</v>
      </c>
      <c r="I1011" s="119" t="s">
        <v>120</v>
      </c>
    </row>
    <row r="1012" spans="1:9">
      <c r="A1012" s="119">
        <v>595</v>
      </c>
      <c r="B1012" s="119" t="s">
        <v>116</v>
      </c>
      <c r="C1012" s="119" t="s">
        <v>189</v>
      </c>
      <c r="D1012" s="119" t="s">
        <v>154</v>
      </c>
      <c r="E1012" s="119">
        <v>2000</v>
      </c>
      <c r="F1012" s="119" t="s">
        <v>133</v>
      </c>
      <c r="G1012" s="119">
        <v>124</v>
      </c>
    </row>
    <row r="1013" spans="1:9">
      <c r="A1013" s="119">
        <v>596</v>
      </c>
      <c r="B1013" s="119" t="s">
        <v>116</v>
      </c>
      <c r="C1013" s="119" t="s">
        <v>189</v>
      </c>
      <c r="D1013" s="119" t="s">
        <v>154</v>
      </c>
      <c r="E1013" s="119">
        <v>1500</v>
      </c>
      <c r="F1013" s="119" t="s">
        <v>117</v>
      </c>
      <c r="G1013" s="119">
        <v>124</v>
      </c>
      <c r="I1013" s="119" t="s">
        <v>120</v>
      </c>
    </row>
    <row r="1014" spans="1:9">
      <c r="A1014" s="119">
        <v>597</v>
      </c>
      <c r="B1014" s="119" t="s">
        <v>116</v>
      </c>
      <c r="C1014" s="119" t="s">
        <v>189</v>
      </c>
      <c r="D1014" s="119" t="s">
        <v>154</v>
      </c>
      <c r="E1014" s="119">
        <v>1250</v>
      </c>
      <c r="F1014" s="119" t="s">
        <v>118</v>
      </c>
      <c r="G1014" s="119">
        <v>124</v>
      </c>
    </row>
    <row r="1015" spans="1:9">
      <c r="A1015" s="119">
        <v>598</v>
      </c>
      <c r="B1015" s="119" t="s">
        <v>116</v>
      </c>
      <c r="C1015" s="119" t="s">
        <v>189</v>
      </c>
      <c r="D1015" s="119" t="s">
        <v>154</v>
      </c>
      <c r="E1015" s="119">
        <v>1000</v>
      </c>
      <c r="F1015" s="119" t="s">
        <v>119</v>
      </c>
      <c r="G1015" s="119">
        <v>124</v>
      </c>
    </row>
    <row r="1016" spans="1:9">
      <c r="A1016" s="119">
        <v>599</v>
      </c>
      <c r="B1016" s="119" t="s">
        <v>116</v>
      </c>
      <c r="C1016" s="119" t="s">
        <v>189</v>
      </c>
      <c r="D1016" s="119" t="s">
        <v>154</v>
      </c>
      <c r="E1016" s="119">
        <v>800</v>
      </c>
      <c r="F1016" s="119" t="s">
        <v>121</v>
      </c>
      <c r="G1016" s="119">
        <v>124</v>
      </c>
    </row>
    <row r="1017" spans="1:9">
      <c r="A1017" s="119">
        <v>600</v>
      </c>
      <c r="B1017" s="119" t="s">
        <v>116</v>
      </c>
      <c r="C1017" s="119" t="s">
        <v>189</v>
      </c>
      <c r="D1017" s="119" t="s">
        <v>154</v>
      </c>
      <c r="E1017" s="119">
        <v>600</v>
      </c>
      <c r="F1017" s="119" t="s">
        <v>122</v>
      </c>
      <c r="G1017" s="119">
        <v>124</v>
      </c>
    </row>
    <row r="1018" spans="1:9">
      <c r="A1018" s="119">
        <v>601</v>
      </c>
      <c r="B1018" s="119" t="s">
        <v>116</v>
      </c>
      <c r="C1018" s="119" t="s">
        <v>189</v>
      </c>
      <c r="D1018" s="119" t="s">
        <v>154</v>
      </c>
      <c r="E1018" s="119">
        <v>400</v>
      </c>
      <c r="F1018" s="119" t="s">
        <v>123</v>
      </c>
      <c r="G1018" s="119">
        <v>124</v>
      </c>
    </row>
    <row r="1019" spans="1:9">
      <c r="A1019" s="119">
        <v>602</v>
      </c>
      <c r="B1019" s="119" t="s">
        <v>116</v>
      </c>
      <c r="C1019" s="119" t="s">
        <v>189</v>
      </c>
      <c r="D1019" s="119" t="s">
        <v>154</v>
      </c>
      <c r="E1019" s="119">
        <v>300</v>
      </c>
      <c r="F1019" s="119" t="s">
        <v>124</v>
      </c>
      <c r="G1019" s="119">
        <v>124</v>
      </c>
    </row>
    <row r="1020" spans="1:9">
      <c r="A1020" s="119">
        <v>603</v>
      </c>
      <c r="B1020" s="119" t="s">
        <v>116</v>
      </c>
      <c r="C1020" s="119" t="s">
        <v>189</v>
      </c>
      <c r="D1020" s="119" t="s">
        <v>154</v>
      </c>
      <c r="E1020" s="119">
        <v>250</v>
      </c>
      <c r="F1020" s="119" t="s">
        <v>125</v>
      </c>
      <c r="G1020" s="119">
        <v>124</v>
      </c>
    </row>
    <row r="1021" spans="1:9">
      <c r="A1021" s="119">
        <v>604</v>
      </c>
      <c r="B1021" s="119" t="s">
        <v>116</v>
      </c>
      <c r="C1021" s="119" t="s">
        <v>189</v>
      </c>
      <c r="D1021" s="119" t="s">
        <v>154</v>
      </c>
      <c r="E1021" s="119">
        <v>200</v>
      </c>
      <c r="F1021" s="119" t="s">
        <v>134</v>
      </c>
      <c r="G1021" s="119">
        <v>124</v>
      </c>
    </row>
    <row r="1022" spans="1:9">
      <c r="A1022" s="119">
        <v>605</v>
      </c>
      <c r="B1022" s="119" t="s">
        <v>116</v>
      </c>
      <c r="C1022" s="119" t="s">
        <v>189</v>
      </c>
      <c r="D1022" s="119" t="s">
        <v>154</v>
      </c>
      <c r="E1022" s="119">
        <v>175</v>
      </c>
      <c r="F1022" s="119" t="s">
        <v>126</v>
      </c>
      <c r="G1022" s="119">
        <v>124</v>
      </c>
    </row>
    <row r="1023" spans="1:9">
      <c r="A1023" s="119">
        <v>606</v>
      </c>
      <c r="B1023" s="119" t="s">
        <v>116</v>
      </c>
      <c r="C1023" s="119" t="s">
        <v>189</v>
      </c>
      <c r="D1023" s="119" t="s">
        <v>154</v>
      </c>
      <c r="E1023" s="119">
        <v>150</v>
      </c>
      <c r="F1023" s="119" t="s">
        <v>127</v>
      </c>
      <c r="G1023" s="119">
        <v>124</v>
      </c>
    </row>
    <row r="1024" spans="1:9">
      <c r="A1024" s="119">
        <v>607</v>
      </c>
      <c r="B1024" s="119" t="s">
        <v>116</v>
      </c>
      <c r="C1024" s="119" t="s">
        <v>189</v>
      </c>
      <c r="D1024" s="119" t="s">
        <v>154</v>
      </c>
      <c r="E1024" s="119">
        <v>125</v>
      </c>
      <c r="F1024" s="119" t="s">
        <v>128</v>
      </c>
      <c r="G1024" s="119">
        <v>124</v>
      </c>
      <c r="I1024" s="119" t="s">
        <v>120</v>
      </c>
    </row>
    <row r="1025" spans="1:9">
      <c r="A1025" s="119">
        <v>608</v>
      </c>
      <c r="B1025" s="119" t="s">
        <v>116</v>
      </c>
      <c r="C1025" s="119" t="s">
        <v>189</v>
      </c>
      <c r="D1025" s="119" t="s">
        <v>154</v>
      </c>
      <c r="E1025" s="119">
        <v>100</v>
      </c>
      <c r="F1025" s="119" t="s">
        <v>129</v>
      </c>
      <c r="G1025" s="119">
        <v>124</v>
      </c>
    </row>
    <row r="1026" spans="1:9">
      <c r="A1026" s="119">
        <v>609</v>
      </c>
      <c r="B1026" s="119" t="s">
        <v>116</v>
      </c>
      <c r="C1026" s="119" t="s">
        <v>189</v>
      </c>
      <c r="D1026" s="119" t="s">
        <v>154</v>
      </c>
      <c r="E1026" s="119">
        <v>75</v>
      </c>
      <c r="F1026" s="119" t="s">
        <v>130</v>
      </c>
      <c r="G1026" s="119">
        <v>124</v>
      </c>
    </row>
    <row r="1027" spans="1:9">
      <c r="A1027" s="119">
        <v>610</v>
      </c>
      <c r="B1027" s="119" t="s">
        <v>116</v>
      </c>
      <c r="C1027" s="119" t="s">
        <v>189</v>
      </c>
      <c r="D1027" s="119" t="s">
        <v>154</v>
      </c>
      <c r="E1027" s="119">
        <v>60</v>
      </c>
      <c r="F1027" s="119" t="s">
        <v>131</v>
      </c>
      <c r="G1027" s="119">
        <v>124</v>
      </c>
    </row>
    <row r="1028" spans="1:9">
      <c r="A1028" s="119">
        <v>611</v>
      </c>
      <c r="B1028" s="119" t="s">
        <v>116</v>
      </c>
      <c r="C1028" s="119" t="s">
        <v>189</v>
      </c>
      <c r="D1028" s="119" t="s">
        <v>154</v>
      </c>
      <c r="E1028" s="119">
        <v>50</v>
      </c>
      <c r="F1028" s="119" t="s">
        <v>132</v>
      </c>
      <c r="G1028" s="119">
        <v>124</v>
      </c>
    </row>
    <row r="1029" spans="1:9">
      <c r="A1029" s="119">
        <v>612</v>
      </c>
      <c r="B1029" s="119" t="s">
        <v>116</v>
      </c>
      <c r="C1029" s="119" t="s">
        <v>189</v>
      </c>
      <c r="D1029" s="119" t="s">
        <v>154</v>
      </c>
      <c r="E1029" s="119">
        <v>25</v>
      </c>
      <c r="F1029" s="119" t="s">
        <v>135</v>
      </c>
      <c r="G1029" s="119">
        <v>124</v>
      </c>
      <c r="I1029" s="119" t="s">
        <v>120</v>
      </c>
    </row>
    <row r="1030" spans="1:9">
      <c r="A1030" s="119">
        <v>613</v>
      </c>
      <c r="B1030" s="119" t="s">
        <v>116</v>
      </c>
      <c r="C1030" s="119" t="s">
        <v>189</v>
      </c>
      <c r="D1030" s="119" t="s">
        <v>154</v>
      </c>
      <c r="E1030" s="119">
        <v>10</v>
      </c>
      <c r="F1030" s="119" t="s">
        <v>138</v>
      </c>
      <c r="G1030" s="119">
        <v>124</v>
      </c>
    </row>
    <row r="1031" spans="1:9">
      <c r="A1031" s="119">
        <v>614</v>
      </c>
      <c r="B1031" s="119" t="s">
        <v>116</v>
      </c>
      <c r="C1031" s="119" t="s">
        <v>189</v>
      </c>
      <c r="D1031" s="119" t="s">
        <v>154</v>
      </c>
      <c r="E1031" s="119">
        <v>5</v>
      </c>
      <c r="F1031" s="119" t="s">
        <v>142</v>
      </c>
      <c r="G1031" s="119">
        <v>124</v>
      </c>
    </row>
    <row r="1032" spans="1:9">
      <c r="A1032" s="119">
        <v>618</v>
      </c>
      <c r="B1032" s="119" t="s">
        <v>116</v>
      </c>
      <c r="C1032" s="119" t="s">
        <v>189</v>
      </c>
      <c r="D1032" s="119" t="s">
        <v>154</v>
      </c>
      <c r="E1032" s="119">
        <v>0</v>
      </c>
      <c r="F1032" s="119" t="s">
        <v>146</v>
      </c>
      <c r="G1032" s="119">
        <v>124</v>
      </c>
    </row>
    <row r="1033" spans="1:9">
      <c r="A1033" s="119">
        <v>595</v>
      </c>
      <c r="B1033" s="119" t="s">
        <v>139</v>
      </c>
      <c r="C1033" s="119" t="s">
        <v>189</v>
      </c>
      <c r="D1033" s="119" t="s">
        <v>154</v>
      </c>
      <c r="E1033" s="119">
        <v>2000</v>
      </c>
      <c r="F1033" s="119" t="s">
        <v>133</v>
      </c>
      <c r="G1033" s="119">
        <v>124</v>
      </c>
    </row>
    <row r="1034" spans="1:9">
      <c r="A1034" s="119">
        <v>596</v>
      </c>
      <c r="B1034" s="119" t="s">
        <v>139</v>
      </c>
      <c r="C1034" s="119" t="s">
        <v>189</v>
      </c>
      <c r="D1034" s="119" t="s">
        <v>154</v>
      </c>
      <c r="E1034" s="119">
        <v>1500</v>
      </c>
      <c r="F1034" s="119" t="s">
        <v>117</v>
      </c>
      <c r="G1034" s="119">
        <v>124</v>
      </c>
    </row>
    <row r="1035" spans="1:9">
      <c r="A1035" s="119">
        <v>597</v>
      </c>
      <c r="B1035" s="119" t="s">
        <v>139</v>
      </c>
      <c r="C1035" s="119" t="s">
        <v>189</v>
      </c>
      <c r="D1035" s="119" t="s">
        <v>154</v>
      </c>
      <c r="E1035" s="119">
        <v>1250</v>
      </c>
      <c r="F1035" s="119" t="s">
        <v>118</v>
      </c>
      <c r="G1035" s="119">
        <v>124</v>
      </c>
    </row>
    <row r="1036" spans="1:9">
      <c r="A1036" s="119">
        <v>598</v>
      </c>
      <c r="B1036" s="119" t="s">
        <v>139</v>
      </c>
      <c r="C1036" s="119" t="s">
        <v>189</v>
      </c>
      <c r="D1036" s="119" t="s">
        <v>154</v>
      </c>
      <c r="E1036" s="119">
        <v>1000</v>
      </c>
      <c r="F1036" s="119" t="s">
        <v>119</v>
      </c>
      <c r="G1036" s="119">
        <v>124</v>
      </c>
    </row>
    <row r="1037" spans="1:9">
      <c r="A1037" s="119">
        <v>599</v>
      </c>
      <c r="B1037" s="119" t="s">
        <v>139</v>
      </c>
      <c r="C1037" s="119" t="s">
        <v>189</v>
      </c>
      <c r="D1037" s="119" t="s">
        <v>154</v>
      </c>
      <c r="E1037" s="119">
        <v>800</v>
      </c>
      <c r="F1037" s="119" t="s">
        <v>121</v>
      </c>
      <c r="G1037" s="119">
        <v>124</v>
      </c>
      <c r="I1037" s="119" t="s">
        <v>120</v>
      </c>
    </row>
    <row r="1038" spans="1:9">
      <c r="A1038" s="119">
        <v>600</v>
      </c>
      <c r="B1038" s="119" t="s">
        <v>139</v>
      </c>
      <c r="C1038" s="119" t="s">
        <v>189</v>
      </c>
      <c r="D1038" s="119" t="s">
        <v>154</v>
      </c>
      <c r="E1038" s="119">
        <v>600</v>
      </c>
      <c r="F1038" s="119" t="s">
        <v>122</v>
      </c>
      <c r="G1038" s="119">
        <v>124</v>
      </c>
    </row>
    <row r="1039" spans="1:9">
      <c r="A1039" s="119">
        <v>601</v>
      </c>
      <c r="B1039" s="119" t="s">
        <v>139</v>
      </c>
      <c r="C1039" s="119" t="s">
        <v>189</v>
      </c>
      <c r="D1039" s="119" t="s">
        <v>154</v>
      </c>
      <c r="E1039" s="119">
        <v>400</v>
      </c>
      <c r="F1039" s="119" t="s">
        <v>123</v>
      </c>
      <c r="G1039" s="119">
        <v>124</v>
      </c>
    </row>
    <row r="1040" spans="1:9">
      <c r="A1040" s="119">
        <v>602</v>
      </c>
      <c r="B1040" s="119" t="s">
        <v>139</v>
      </c>
      <c r="C1040" s="119" t="s">
        <v>189</v>
      </c>
      <c r="D1040" s="119" t="s">
        <v>154</v>
      </c>
      <c r="E1040" s="119">
        <v>300</v>
      </c>
      <c r="F1040" s="119" t="s">
        <v>124</v>
      </c>
      <c r="G1040" s="119">
        <v>124</v>
      </c>
    </row>
    <row r="1041" spans="1:9">
      <c r="A1041" s="119">
        <v>603</v>
      </c>
      <c r="B1041" s="119" t="s">
        <v>139</v>
      </c>
      <c r="C1041" s="119" t="s">
        <v>189</v>
      </c>
      <c r="D1041" s="119" t="s">
        <v>154</v>
      </c>
      <c r="E1041" s="119">
        <v>250</v>
      </c>
      <c r="F1041" s="119" t="s">
        <v>125</v>
      </c>
      <c r="G1041" s="119">
        <v>124</v>
      </c>
    </row>
    <row r="1042" spans="1:9">
      <c r="A1042" s="119">
        <v>604</v>
      </c>
      <c r="B1042" s="119" t="s">
        <v>139</v>
      </c>
      <c r="C1042" s="119" t="s">
        <v>189</v>
      </c>
      <c r="D1042" s="119" t="s">
        <v>154</v>
      </c>
      <c r="E1042" s="119">
        <v>200</v>
      </c>
      <c r="F1042" s="119" t="s">
        <v>134</v>
      </c>
      <c r="G1042" s="119">
        <v>124</v>
      </c>
    </row>
    <row r="1043" spans="1:9">
      <c r="A1043" s="119">
        <v>605</v>
      </c>
      <c r="B1043" s="119" t="s">
        <v>139</v>
      </c>
      <c r="C1043" s="119" t="s">
        <v>189</v>
      </c>
      <c r="D1043" s="119" t="s">
        <v>154</v>
      </c>
      <c r="E1043" s="119">
        <v>175</v>
      </c>
      <c r="F1043" s="119" t="s">
        <v>126</v>
      </c>
      <c r="G1043" s="119">
        <v>124</v>
      </c>
    </row>
    <row r="1044" spans="1:9">
      <c r="A1044" s="119">
        <v>606</v>
      </c>
      <c r="B1044" s="119" t="s">
        <v>139</v>
      </c>
      <c r="C1044" s="119" t="s">
        <v>189</v>
      </c>
      <c r="D1044" s="119" t="s">
        <v>154</v>
      </c>
      <c r="E1044" s="119">
        <v>150</v>
      </c>
      <c r="F1044" s="119" t="s">
        <v>127</v>
      </c>
      <c r="G1044" s="119">
        <v>124</v>
      </c>
    </row>
    <row r="1045" spans="1:9">
      <c r="A1045" s="119">
        <v>607</v>
      </c>
      <c r="B1045" s="119" t="s">
        <v>139</v>
      </c>
      <c r="C1045" s="119" t="s">
        <v>189</v>
      </c>
      <c r="D1045" s="119" t="s">
        <v>154</v>
      </c>
      <c r="E1045" s="119">
        <v>125</v>
      </c>
      <c r="F1045" s="119" t="s">
        <v>128</v>
      </c>
      <c r="G1045" s="119">
        <v>124</v>
      </c>
    </row>
    <row r="1046" spans="1:9">
      <c r="A1046" s="119">
        <v>608</v>
      </c>
      <c r="B1046" s="119" t="s">
        <v>139</v>
      </c>
      <c r="C1046" s="119" t="s">
        <v>189</v>
      </c>
      <c r="D1046" s="119" t="s">
        <v>154</v>
      </c>
      <c r="E1046" s="119">
        <v>100</v>
      </c>
      <c r="F1046" s="119" t="s">
        <v>129</v>
      </c>
      <c r="G1046" s="119">
        <v>124</v>
      </c>
    </row>
    <row r="1047" spans="1:9">
      <c r="A1047" s="119">
        <v>609</v>
      </c>
      <c r="B1047" s="119" t="s">
        <v>139</v>
      </c>
      <c r="C1047" s="119" t="s">
        <v>189</v>
      </c>
      <c r="D1047" s="119" t="s">
        <v>154</v>
      </c>
      <c r="E1047" s="119">
        <v>75</v>
      </c>
      <c r="F1047" s="119" t="s">
        <v>130</v>
      </c>
      <c r="G1047" s="119">
        <v>124</v>
      </c>
    </row>
    <row r="1048" spans="1:9">
      <c r="A1048" s="119">
        <v>610</v>
      </c>
      <c r="B1048" s="119" t="s">
        <v>139</v>
      </c>
      <c r="C1048" s="119" t="s">
        <v>189</v>
      </c>
      <c r="D1048" s="119" t="s">
        <v>154</v>
      </c>
      <c r="E1048" s="119">
        <v>60</v>
      </c>
      <c r="F1048" s="119" t="s">
        <v>131</v>
      </c>
      <c r="G1048" s="119">
        <v>124</v>
      </c>
      <c r="I1048" s="119" t="s">
        <v>120</v>
      </c>
    </row>
    <row r="1049" spans="1:9">
      <c r="A1049" s="119">
        <v>611</v>
      </c>
      <c r="B1049" s="119" t="s">
        <v>139</v>
      </c>
      <c r="C1049" s="119" t="s">
        <v>189</v>
      </c>
      <c r="D1049" s="119" t="s">
        <v>154</v>
      </c>
      <c r="E1049" s="119">
        <v>50</v>
      </c>
      <c r="F1049" s="119" t="s">
        <v>132</v>
      </c>
      <c r="G1049" s="119">
        <v>124</v>
      </c>
    </row>
    <row r="1050" spans="1:9">
      <c r="A1050" s="119">
        <v>612</v>
      </c>
      <c r="B1050" s="119" t="s">
        <v>139</v>
      </c>
      <c r="C1050" s="119" t="s">
        <v>189</v>
      </c>
      <c r="D1050" s="119" t="s">
        <v>154</v>
      </c>
      <c r="E1050" s="119">
        <v>25</v>
      </c>
      <c r="F1050" s="119" t="s">
        <v>135</v>
      </c>
      <c r="G1050" s="119">
        <v>124</v>
      </c>
    </row>
    <row r="1051" spans="1:9">
      <c r="A1051" s="119">
        <v>613</v>
      </c>
      <c r="B1051" s="119" t="s">
        <v>139</v>
      </c>
      <c r="C1051" s="119" t="s">
        <v>189</v>
      </c>
      <c r="D1051" s="119" t="s">
        <v>154</v>
      </c>
      <c r="E1051" s="119">
        <v>10</v>
      </c>
      <c r="F1051" s="119" t="s">
        <v>138</v>
      </c>
      <c r="G1051" s="119">
        <v>124</v>
      </c>
    </row>
    <row r="1052" spans="1:9">
      <c r="A1052" s="119">
        <v>614</v>
      </c>
      <c r="B1052" s="119" t="s">
        <v>139</v>
      </c>
      <c r="C1052" s="119" t="s">
        <v>189</v>
      </c>
      <c r="D1052" s="119" t="s">
        <v>154</v>
      </c>
      <c r="E1052" s="119">
        <v>5</v>
      </c>
      <c r="F1052" s="119" t="s">
        <v>142</v>
      </c>
      <c r="G1052" s="119">
        <v>124</v>
      </c>
    </row>
    <row r="1053" spans="1:9">
      <c r="A1053" s="119">
        <v>618</v>
      </c>
      <c r="B1053" s="119" t="s">
        <v>139</v>
      </c>
      <c r="C1053" s="119" t="s">
        <v>189</v>
      </c>
      <c r="D1053" s="119" t="s">
        <v>154</v>
      </c>
      <c r="E1053" s="119">
        <v>0</v>
      </c>
      <c r="F1053" s="119" t="s">
        <v>146</v>
      </c>
      <c r="G1053" s="119">
        <v>124</v>
      </c>
      <c r="I1053" s="119" t="s">
        <v>120</v>
      </c>
    </row>
    <row r="1054" spans="1:9">
      <c r="A1054" s="119">
        <v>595</v>
      </c>
      <c r="B1054" s="119" t="s">
        <v>140</v>
      </c>
      <c r="C1054" s="119" t="s">
        <v>189</v>
      </c>
      <c r="D1054" s="119" t="s">
        <v>154</v>
      </c>
      <c r="E1054" s="119">
        <v>2000</v>
      </c>
      <c r="F1054" s="119" t="s">
        <v>133</v>
      </c>
      <c r="G1054" s="119">
        <v>124</v>
      </c>
    </row>
    <row r="1055" spans="1:9">
      <c r="A1055" s="119">
        <v>596</v>
      </c>
      <c r="B1055" s="119" t="s">
        <v>140</v>
      </c>
      <c r="C1055" s="119" t="s">
        <v>189</v>
      </c>
      <c r="D1055" s="119" t="s">
        <v>154</v>
      </c>
      <c r="E1055" s="119">
        <v>1500</v>
      </c>
      <c r="F1055" s="119" t="s">
        <v>117</v>
      </c>
      <c r="G1055" s="119">
        <v>124</v>
      </c>
    </row>
    <row r="1056" spans="1:9">
      <c r="A1056" s="119">
        <v>597</v>
      </c>
      <c r="B1056" s="119" t="s">
        <v>140</v>
      </c>
      <c r="C1056" s="119" t="s">
        <v>189</v>
      </c>
      <c r="D1056" s="119" t="s">
        <v>154</v>
      </c>
      <c r="E1056" s="119">
        <v>1250</v>
      </c>
      <c r="F1056" s="119" t="s">
        <v>118</v>
      </c>
      <c r="G1056" s="119">
        <v>124</v>
      </c>
    </row>
    <row r="1057" spans="1:9">
      <c r="A1057" s="119">
        <v>598</v>
      </c>
      <c r="B1057" s="119" t="s">
        <v>140</v>
      </c>
      <c r="C1057" s="119" t="s">
        <v>189</v>
      </c>
      <c r="D1057" s="119" t="s">
        <v>154</v>
      </c>
      <c r="E1057" s="119">
        <v>1000</v>
      </c>
      <c r="F1057" s="119" t="s">
        <v>119</v>
      </c>
      <c r="G1057" s="119">
        <v>124</v>
      </c>
    </row>
    <row r="1058" spans="1:9">
      <c r="A1058" s="119">
        <v>599</v>
      </c>
      <c r="B1058" s="119" t="s">
        <v>140</v>
      </c>
      <c r="C1058" s="119" t="s">
        <v>189</v>
      </c>
      <c r="D1058" s="119" t="s">
        <v>154</v>
      </c>
      <c r="E1058" s="119">
        <v>800</v>
      </c>
      <c r="F1058" s="119" t="s">
        <v>121</v>
      </c>
      <c r="G1058" s="119">
        <v>124</v>
      </c>
    </row>
    <row r="1059" spans="1:9">
      <c r="A1059" s="119">
        <v>600</v>
      </c>
      <c r="B1059" s="119" t="s">
        <v>140</v>
      </c>
      <c r="C1059" s="119" t="s">
        <v>189</v>
      </c>
      <c r="D1059" s="119" t="s">
        <v>154</v>
      </c>
      <c r="E1059" s="119">
        <v>600</v>
      </c>
      <c r="F1059" s="119" t="s">
        <v>122</v>
      </c>
      <c r="G1059" s="119">
        <v>124</v>
      </c>
    </row>
    <row r="1060" spans="1:9">
      <c r="A1060" s="119">
        <v>601</v>
      </c>
      <c r="B1060" s="119" t="s">
        <v>140</v>
      </c>
      <c r="C1060" s="119" t="s">
        <v>189</v>
      </c>
      <c r="D1060" s="119" t="s">
        <v>154</v>
      </c>
      <c r="E1060" s="119">
        <v>400</v>
      </c>
      <c r="F1060" s="119" t="s">
        <v>123</v>
      </c>
      <c r="G1060" s="119">
        <v>124</v>
      </c>
      <c r="I1060" s="119" t="s">
        <v>120</v>
      </c>
    </row>
    <row r="1061" spans="1:9">
      <c r="A1061" s="119">
        <v>606</v>
      </c>
      <c r="B1061" s="119" t="s">
        <v>136</v>
      </c>
      <c r="C1061" s="119" t="s">
        <v>189</v>
      </c>
      <c r="D1061" s="119" t="s">
        <v>154</v>
      </c>
      <c r="E1061" s="119">
        <v>150</v>
      </c>
      <c r="F1061" s="119" t="s">
        <v>127</v>
      </c>
      <c r="G1061" s="119">
        <v>124</v>
      </c>
      <c r="I1061" s="119" t="s">
        <v>120</v>
      </c>
    </row>
    <row r="1062" spans="1:9">
      <c r="A1062" s="119">
        <v>608</v>
      </c>
      <c r="B1062" s="119" t="s">
        <v>136</v>
      </c>
      <c r="C1062" s="119" t="s">
        <v>189</v>
      </c>
      <c r="D1062" s="119" t="s">
        <v>154</v>
      </c>
      <c r="E1062" s="119">
        <v>100</v>
      </c>
      <c r="F1062" s="119" t="s">
        <v>129</v>
      </c>
      <c r="G1062" s="119">
        <v>124</v>
      </c>
      <c r="I1062" s="119" t="s">
        <v>120</v>
      </c>
    </row>
    <row r="1063" spans="1:9">
      <c r="A1063" s="119">
        <v>609</v>
      </c>
      <c r="B1063" s="119" t="s">
        <v>136</v>
      </c>
      <c r="C1063" s="119" t="s">
        <v>189</v>
      </c>
      <c r="D1063" s="119" t="s">
        <v>154</v>
      </c>
      <c r="E1063" s="119">
        <v>75</v>
      </c>
      <c r="F1063" s="119" t="s">
        <v>130</v>
      </c>
      <c r="G1063" s="119">
        <v>124</v>
      </c>
      <c r="I1063" s="119" t="s">
        <v>120</v>
      </c>
    </row>
    <row r="1064" spans="1:9">
      <c r="A1064" s="119">
        <v>611</v>
      </c>
      <c r="B1064" s="119" t="s">
        <v>136</v>
      </c>
      <c r="C1064" s="119" t="s">
        <v>189</v>
      </c>
      <c r="D1064" s="119" t="s">
        <v>154</v>
      </c>
      <c r="E1064" s="119">
        <v>50</v>
      </c>
      <c r="F1064" s="119" t="s">
        <v>132</v>
      </c>
      <c r="G1064" s="119">
        <v>124</v>
      </c>
      <c r="I1064" s="119" t="s">
        <v>120</v>
      </c>
    </row>
    <row r="1065" spans="1:9">
      <c r="A1065" s="119">
        <v>612</v>
      </c>
      <c r="B1065" s="119" t="s">
        <v>136</v>
      </c>
      <c r="C1065" s="119" t="s">
        <v>189</v>
      </c>
      <c r="D1065" s="119" t="s">
        <v>154</v>
      </c>
      <c r="E1065" s="119">
        <v>25</v>
      </c>
      <c r="F1065" s="119" t="s">
        <v>135</v>
      </c>
      <c r="G1065" s="119">
        <v>124</v>
      </c>
      <c r="I1065" s="119" t="s">
        <v>120</v>
      </c>
    </row>
    <row r="1066" spans="1:9">
      <c r="A1066" s="119">
        <v>615</v>
      </c>
      <c r="B1066" s="119" t="s">
        <v>136</v>
      </c>
      <c r="C1066" s="119" t="s">
        <v>189</v>
      </c>
      <c r="D1066" s="119" t="s">
        <v>154</v>
      </c>
      <c r="E1066" s="119">
        <v>5</v>
      </c>
      <c r="F1066" s="119" t="s">
        <v>143</v>
      </c>
      <c r="G1066" s="119">
        <v>124</v>
      </c>
      <c r="I1066" s="119" t="s">
        <v>120</v>
      </c>
    </row>
    <row r="1067" spans="1:9">
      <c r="A1067" s="119">
        <v>611</v>
      </c>
      <c r="B1067" s="119" t="s">
        <v>137</v>
      </c>
      <c r="C1067" s="119" t="s">
        <v>189</v>
      </c>
      <c r="D1067" s="119" t="s">
        <v>154</v>
      </c>
      <c r="E1067" s="119">
        <v>50</v>
      </c>
      <c r="F1067" s="119" t="s">
        <v>132</v>
      </c>
      <c r="G1067" s="119">
        <v>124</v>
      </c>
      <c r="I1067" s="119" t="s">
        <v>120</v>
      </c>
    </row>
    <row r="1068" spans="1:9">
      <c r="A1068" s="119">
        <v>612</v>
      </c>
      <c r="B1068" s="119" t="s">
        <v>137</v>
      </c>
      <c r="C1068" s="119" t="s">
        <v>189</v>
      </c>
      <c r="D1068" s="119" t="s">
        <v>154</v>
      </c>
      <c r="E1068" s="119">
        <v>25</v>
      </c>
      <c r="F1068" s="119" t="s">
        <v>135</v>
      </c>
      <c r="G1068" s="119">
        <v>124</v>
      </c>
      <c r="I1068" s="119" t="s">
        <v>120</v>
      </c>
    </row>
    <row r="1069" spans="1:9">
      <c r="A1069" s="119">
        <v>615</v>
      </c>
      <c r="B1069" s="119" t="s">
        <v>137</v>
      </c>
      <c r="C1069" s="119" t="s">
        <v>189</v>
      </c>
      <c r="D1069" s="119" t="s">
        <v>154</v>
      </c>
      <c r="E1069" s="119">
        <v>5</v>
      </c>
      <c r="F1069" s="119" t="s">
        <v>143</v>
      </c>
      <c r="G1069" s="119">
        <v>124</v>
      </c>
      <c r="I1069" s="119" t="s">
        <v>120</v>
      </c>
    </row>
    <row r="1070" spans="1:9">
      <c r="A1070" s="119">
        <v>617</v>
      </c>
      <c r="B1070" s="119" t="s">
        <v>155</v>
      </c>
      <c r="C1070" s="119" t="s">
        <v>189</v>
      </c>
      <c r="D1070" s="119" t="s">
        <v>154</v>
      </c>
      <c r="E1070" s="119">
        <v>5</v>
      </c>
      <c r="F1070" s="119" t="s">
        <v>145</v>
      </c>
      <c r="G1070" s="119">
        <v>124</v>
      </c>
      <c r="I1070" s="119" t="s">
        <v>120</v>
      </c>
    </row>
    <row r="1071" spans="1:9">
      <c r="A1071" s="119">
        <v>615</v>
      </c>
      <c r="B1071" s="119" t="s">
        <v>156</v>
      </c>
      <c r="C1071" s="119" t="s">
        <v>189</v>
      </c>
      <c r="D1071" s="119" t="s">
        <v>154</v>
      </c>
      <c r="E1071" s="119">
        <v>5</v>
      </c>
      <c r="F1071" s="119" t="s">
        <v>143</v>
      </c>
      <c r="G1071" s="119">
        <v>124</v>
      </c>
    </row>
    <row r="1072" spans="1:9">
      <c r="A1072" s="119">
        <v>614</v>
      </c>
      <c r="B1072" s="119" t="s">
        <v>157</v>
      </c>
      <c r="C1072" s="119" t="s">
        <v>189</v>
      </c>
      <c r="D1072" s="119" t="s">
        <v>154</v>
      </c>
      <c r="E1072" s="119">
        <v>5</v>
      </c>
      <c r="F1072" s="119" t="s">
        <v>142</v>
      </c>
      <c r="G1072" s="119">
        <v>124</v>
      </c>
      <c r="I1072" s="119" t="s">
        <v>120</v>
      </c>
    </row>
    <row r="1073" spans="1:9">
      <c r="A1073" s="119">
        <v>616</v>
      </c>
      <c r="B1073" s="119" t="s">
        <v>158</v>
      </c>
      <c r="C1073" s="119" t="s">
        <v>189</v>
      </c>
      <c r="D1073" s="119" t="s">
        <v>154</v>
      </c>
      <c r="E1073" s="119">
        <v>5</v>
      </c>
      <c r="F1073" s="119" t="s">
        <v>144</v>
      </c>
      <c r="G1073" s="119">
        <v>124</v>
      </c>
    </row>
    <row r="1074" spans="1:9">
      <c r="A1074" s="119">
        <v>595</v>
      </c>
      <c r="B1074" s="119" t="s">
        <v>141</v>
      </c>
      <c r="C1074" s="119" t="s">
        <v>189</v>
      </c>
      <c r="D1074" s="119" t="s">
        <v>154</v>
      </c>
      <c r="E1074" s="119">
        <v>2000</v>
      </c>
      <c r="F1074" s="119" t="s">
        <v>133</v>
      </c>
      <c r="G1074" s="119">
        <v>124</v>
      </c>
    </row>
    <row r="1075" spans="1:9">
      <c r="A1075" s="119">
        <v>596</v>
      </c>
      <c r="B1075" s="119" t="s">
        <v>141</v>
      </c>
      <c r="C1075" s="119" t="s">
        <v>189</v>
      </c>
      <c r="D1075" s="119" t="s">
        <v>154</v>
      </c>
      <c r="E1075" s="119">
        <v>1500</v>
      </c>
      <c r="F1075" s="119" t="s">
        <v>117</v>
      </c>
      <c r="G1075" s="119">
        <v>124</v>
      </c>
    </row>
    <row r="1076" spans="1:9">
      <c r="A1076" s="119">
        <v>597</v>
      </c>
      <c r="B1076" s="119" t="s">
        <v>141</v>
      </c>
      <c r="C1076" s="119" t="s">
        <v>189</v>
      </c>
      <c r="D1076" s="119" t="s">
        <v>154</v>
      </c>
      <c r="E1076" s="119">
        <v>1250</v>
      </c>
      <c r="F1076" s="119" t="s">
        <v>118</v>
      </c>
      <c r="G1076" s="119">
        <v>124</v>
      </c>
    </row>
    <row r="1077" spans="1:9">
      <c r="A1077" s="119">
        <v>598</v>
      </c>
      <c r="B1077" s="119" t="s">
        <v>141</v>
      </c>
      <c r="C1077" s="119" t="s">
        <v>189</v>
      </c>
      <c r="D1077" s="119" t="s">
        <v>154</v>
      </c>
      <c r="E1077" s="119">
        <v>1000</v>
      </c>
      <c r="F1077" s="119" t="s">
        <v>119</v>
      </c>
      <c r="G1077" s="119">
        <v>124</v>
      </c>
    </row>
    <row r="1078" spans="1:9">
      <c r="A1078" s="119">
        <v>619</v>
      </c>
      <c r="B1078" s="119" t="s">
        <v>139</v>
      </c>
      <c r="C1078" s="119" t="s">
        <v>190</v>
      </c>
      <c r="D1078" s="119" t="s">
        <v>154</v>
      </c>
      <c r="E1078" s="119">
        <v>300</v>
      </c>
      <c r="F1078" s="119" t="s">
        <v>133</v>
      </c>
      <c r="G1078" s="119">
        <v>130</v>
      </c>
      <c r="I1078" s="119" t="s">
        <v>120</v>
      </c>
    </row>
    <row r="1079" spans="1:9">
      <c r="A1079" s="119">
        <v>620</v>
      </c>
      <c r="B1079" s="119" t="s">
        <v>139</v>
      </c>
      <c r="C1079" s="119" t="s">
        <v>190</v>
      </c>
      <c r="D1079" s="119" t="s">
        <v>154</v>
      </c>
      <c r="E1079" s="119">
        <v>200</v>
      </c>
      <c r="F1079" s="119" t="s">
        <v>117</v>
      </c>
      <c r="G1079" s="119">
        <v>130</v>
      </c>
    </row>
    <row r="1080" spans="1:9">
      <c r="A1080" s="119">
        <v>622</v>
      </c>
      <c r="B1080" s="119" t="s">
        <v>139</v>
      </c>
      <c r="C1080" s="119" t="s">
        <v>190</v>
      </c>
      <c r="D1080" s="119" t="s">
        <v>154</v>
      </c>
      <c r="E1080" s="119">
        <v>150</v>
      </c>
      <c r="F1080" s="119" t="s">
        <v>119</v>
      </c>
      <c r="G1080" s="119">
        <v>130</v>
      </c>
    </row>
    <row r="1081" spans="1:9">
      <c r="A1081" s="119">
        <v>623</v>
      </c>
      <c r="B1081" s="119" t="s">
        <v>139</v>
      </c>
      <c r="C1081" s="119" t="s">
        <v>190</v>
      </c>
      <c r="D1081" s="119" t="s">
        <v>154</v>
      </c>
      <c r="E1081" s="119">
        <v>125</v>
      </c>
      <c r="F1081" s="119" t="s">
        <v>121</v>
      </c>
      <c r="G1081" s="119">
        <v>130</v>
      </c>
    </row>
    <row r="1082" spans="1:9">
      <c r="A1082" s="119">
        <v>626</v>
      </c>
      <c r="B1082" s="119" t="s">
        <v>139</v>
      </c>
      <c r="C1082" s="119" t="s">
        <v>190</v>
      </c>
      <c r="D1082" s="119" t="s">
        <v>154</v>
      </c>
      <c r="E1082" s="119">
        <v>100</v>
      </c>
      <c r="F1082" s="119" t="s">
        <v>124</v>
      </c>
      <c r="G1082" s="119">
        <v>130</v>
      </c>
    </row>
    <row r="1083" spans="1:9">
      <c r="A1083" s="119">
        <v>627</v>
      </c>
      <c r="B1083" s="119" t="s">
        <v>139</v>
      </c>
      <c r="C1083" s="119" t="s">
        <v>190</v>
      </c>
      <c r="D1083" s="119" t="s">
        <v>154</v>
      </c>
      <c r="E1083" s="119">
        <v>75</v>
      </c>
      <c r="F1083" s="119" t="s">
        <v>125</v>
      </c>
      <c r="G1083" s="119">
        <v>130</v>
      </c>
    </row>
    <row r="1084" spans="1:9">
      <c r="A1084" s="119">
        <v>630</v>
      </c>
      <c r="B1084" s="119" t="s">
        <v>139</v>
      </c>
      <c r="C1084" s="119" t="s">
        <v>190</v>
      </c>
      <c r="D1084" s="119" t="s">
        <v>154</v>
      </c>
      <c r="E1084" s="119">
        <v>50</v>
      </c>
      <c r="F1084" s="119" t="s">
        <v>127</v>
      </c>
      <c r="G1084" s="119">
        <v>130</v>
      </c>
    </row>
    <row r="1085" spans="1:9">
      <c r="A1085" s="119">
        <v>632</v>
      </c>
      <c r="B1085" s="119" t="s">
        <v>139</v>
      </c>
      <c r="C1085" s="119" t="s">
        <v>190</v>
      </c>
      <c r="D1085" s="119" t="s">
        <v>154</v>
      </c>
      <c r="E1085" s="119">
        <v>25</v>
      </c>
      <c r="F1085" s="119" t="s">
        <v>129</v>
      </c>
      <c r="G1085" s="119">
        <v>130</v>
      </c>
    </row>
    <row r="1086" spans="1:9">
      <c r="A1086" s="119">
        <v>638</v>
      </c>
      <c r="B1086" s="119" t="s">
        <v>139</v>
      </c>
      <c r="C1086" s="119" t="s">
        <v>190</v>
      </c>
      <c r="D1086" s="119" t="s">
        <v>154</v>
      </c>
      <c r="E1086" s="119">
        <v>5</v>
      </c>
      <c r="F1086" s="119" t="s">
        <v>142</v>
      </c>
      <c r="G1086" s="119">
        <v>130</v>
      </c>
    </row>
    <row r="1087" spans="1:9">
      <c r="A1087" s="119">
        <v>622</v>
      </c>
      <c r="B1087" s="119" t="s">
        <v>136</v>
      </c>
      <c r="C1087" s="119" t="s">
        <v>190</v>
      </c>
      <c r="D1087" s="119" t="s">
        <v>154</v>
      </c>
      <c r="E1087" s="119">
        <v>150</v>
      </c>
      <c r="F1087" s="119" t="s">
        <v>119</v>
      </c>
      <c r="G1087" s="119">
        <v>130</v>
      </c>
      <c r="I1087" s="119" t="s">
        <v>120</v>
      </c>
    </row>
    <row r="1088" spans="1:9">
      <c r="A1088" s="119">
        <v>626</v>
      </c>
      <c r="B1088" s="119" t="s">
        <v>136</v>
      </c>
      <c r="C1088" s="119" t="s">
        <v>190</v>
      </c>
      <c r="D1088" s="119" t="s">
        <v>154</v>
      </c>
      <c r="E1088" s="119">
        <v>100</v>
      </c>
      <c r="F1088" s="119" t="s">
        <v>124</v>
      </c>
      <c r="G1088" s="119">
        <v>130</v>
      </c>
      <c r="I1088" s="119" t="s">
        <v>120</v>
      </c>
    </row>
    <row r="1089" spans="1:9">
      <c r="A1089" s="119">
        <v>627</v>
      </c>
      <c r="B1089" s="119" t="s">
        <v>136</v>
      </c>
      <c r="C1089" s="119" t="s">
        <v>190</v>
      </c>
      <c r="D1089" s="119" t="s">
        <v>154</v>
      </c>
      <c r="E1089" s="119">
        <v>75</v>
      </c>
      <c r="F1089" s="119" t="s">
        <v>125</v>
      </c>
      <c r="G1089" s="119">
        <v>130</v>
      </c>
      <c r="I1089" s="119" t="s">
        <v>120</v>
      </c>
    </row>
    <row r="1090" spans="1:9">
      <c r="A1090" s="119">
        <v>630</v>
      </c>
      <c r="B1090" s="119" t="s">
        <v>136</v>
      </c>
      <c r="C1090" s="119" t="s">
        <v>190</v>
      </c>
      <c r="D1090" s="119" t="s">
        <v>154</v>
      </c>
      <c r="E1090" s="119">
        <v>50</v>
      </c>
      <c r="F1090" s="119" t="s">
        <v>127</v>
      </c>
      <c r="G1090" s="119">
        <v>130</v>
      </c>
      <c r="I1090" s="119" t="s">
        <v>120</v>
      </c>
    </row>
    <row r="1091" spans="1:9">
      <c r="A1091" s="119">
        <v>632</v>
      </c>
      <c r="B1091" s="119" t="s">
        <v>136</v>
      </c>
      <c r="C1091" s="119" t="s">
        <v>190</v>
      </c>
      <c r="D1091" s="119" t="s">
        <v>154</v>
      </c>
      <c r="E1091" s="119">
        <v>25</v>
      </c>
      <c r="F1091" s="119" t="s">
        <v>129</v>
      </c>
      <c r="G1091" s="119">
        <v>130</v>
      </c>
      <c r="I1091" s="119" t="s">
        <v>120</v>
      </c>
    </row>
    <row r="1092" spans="1:9">
      <c r="A1092" s="119">
        <v>638</v>
      </c>
      <c r="B1092" s="119" t="s">
        <v>136</v>
      </c>
      <c r="C1092" s="119" t="s">
        <v>190</v>
      </c>
      <c r="D1092" s="119" t="s">
        <v>154</v>
      </c>
      <c r="E1092" s="119">
        <v>5</v>
      </c>
      <c r="F1092" s="119" t="s">
        <v>142</v>
      </c>
      <c r="G1092" s="119">
        <v>130</v>
      </c>
      <c r="I1092" s="119" t="s">
        <v>120</v>
      </c>
    </row>
    <row r="1093" spans="1:9">
      <c r="A1093" s="119">
        <v>630</v>
      </c>
      <c r="B1093" s="119" t="s">
        <v>137</v>
      </c>
      <c r="C1093" s="119" t="s">
        <v>190</v>
      </c>
      <c r="D1093" s="119" t="s">
        <v>154</v>
      </c>
      <c r="E1093" s="119">
        <v>50</v>
      </c>
      <c r="F1093" s="119" t="s">
        <v>127</v>
      </c>
      <c r="G1093" s="119">
        <v>130</v>
      </c>
      <c r="I1093" s="119" t="s">
        <v>120</v>
      </c>
    </row>
    <row r="1094" spans="1:9">
      <c r="A1094" s="119">
        <v>632</v>
      </c>
      <c r="B1094" s="119" t="s">
        <v>137</v>
      </c>
      <c r="C1094" s="119" t="s">
        <v>190</v>
      </c>
      <c r="D1094" s="119" t="s">
        <v>154</v>
      </c>
      <c r="E1094" s="119">
        <v>25</v>
      </c>
      <c r="F1094" s="119" t="s">
        <v>129</v>
      </c>
      <c r="G1094" s="119">
        <v>130</v>
      </c>
      <c r="I1094" s="119" t="s">
        <v>120</v>
      </c>
    </row>
    <row r="1095" spans="1:9">
      <c r="A1095" s="119">
        <v>638</v>
      </c>
      <c r="B1095" s="119" t="s">
        <v>137</v>
      </c>
      <c r="C1095" s="119" t="s">
        <v>190</v>
      </c>
      <c r="D1095" s="119" t="s">
        <v>154</v>
      </c>
      <c r="E1095" s="119">
        <v>5</v>
      </c>
      <c r="F1095" s="119" t="s">
        <v>142</v>
      </c>
      <c r="G1095" s="119">
        <v>130</v>
      </c>
      <c r="I1095" s="119" t="s">
        <v>120</v>
      </c>
    </row>
    <row r="1096" spans="1:9">
      <c r="A1096" s="119">
        <v>634</v>
      </c>
      <c r="B1096" s="119" t="s">
        <v>155</v>
      </c>
      <c r="C1096" s="119" t="s">
        <v>190</v>
      </c>
      <c r="D1096" s="119" t="s">
        <v>154</v>
      </c>
      <c r="E1096" s="119">
        <v>5</v>
      </c>
      <c r="F1096" s="119" t="s">
        <v>131</v>
      </c>
      <c r="G1096" s="119">
        <v>130</v>
      </c>
      <c r="I1096" s="119" t="s">
        <v>120</v>
      </c>
    </row>
    <row r="1097" spans="1:9">
      <c r="A1097" s="119">
        <v>638</v>
      </c>
      <c r="B1097" s="119" t="s">
        <v>156</v>
      </c>
      <c r="C1097" s="119" t="s">
        <v>190</v>
      </c>
      <c r="D1097" s="119" t="s">
        <v>154</v>
      </c>
      <c r="E1097" s="119">
        <v>5</v>
      </c>
      <c r="F1097" s="119" t="s">
        <v>142</v>
      </c>
      <c r="G1097" s="119">
        <v>130</v>
      </c>
      <c r="I1097" s="119" t="s">
        <v>120</v>
      </c>
    </row>
    <row r="1098" spans="1:9">
      <c r="A1098" s="119">
        <v>637</v>
      </c>
      <c r="B1098" s="119" t="s">
        <v>157</v>
      </c>
      <c r="C1098" s="119" t="s">
        <v>190</v>
      </c>
      <c r="D1098" s="119" t="s">
        <v>154</v>
      </c>
      <c r="E1098" s="119">
        <v>5</v>
      </c>
      <c r="F1098" s="119" t="s">
        <v>138</v>
      </c>
      <c r="G1098" s="119">
        <v>130</v>
      </c>
      <c r="I1098" s="119" t="s">
        <v>120</v>
      </c>
    </row>
    <row r="1099" spans="1:9">
      <c r="A1099" s="119">
        <v>636</v>
      </c>
      <c r="B1099" s="119" t="s">
        <v>158</v>
      </c>
      <c r="C1099" s="119" t="s">
        <v>190</v>
      </c>
      <c r="D1099" s="119" t="s">
        <v>154</v>
      </c>
      <c r="E1099" s="119">
        <v>5</v>
      </c>
      <c r="F1099" s="119" t="s">
        <v>135</v>
      </c>
      <c r="G1099" s="119">
        <v>130</v>
      </c>
    </row>
    <row r="1100" spans="1:9">
      <c r="A1100" s="119">
        <v>621</v>
      </c>
      <c r="B1100" s="119" t="s">
        <v>159</v>
      </c>
      <c r="C1100" s="119" t="s">
        <v>190</v>
      </c>
      <c r="D1100" s="119" t="s">
        <v>154</v>
      </c>
      <c r="E1100" s="119">
        <v>150</v>
      </c>
      <c r="F1100" s="119" t="s">
        <v>118</v>
      </c>
      <c r="G1100" s="119">
        <v>130</v>
      </c>
      <c r="I1100" s="119" t="s">
        <v>120</v>
      </c>
    </row>
    <row r="1101" spans="1:9">
      <c r="A1101" s="119">
        <v>625</v>
      </c>
      <c r="B1101" s="119" t="s">
        <v>159</v>
      </c>
      <c r="C1101" s="119" t="s">
        <v>190</v>
      </c>
      <c r="D1101" s="119" t="s">
        <v>154</v>
      </c>
      <c r="E1101" s="119">
        <v>100</v>
      </c>
      <c r="F1101" s="119" t="s">
        <v>123</v>
      </c>
      <c r="G1101" s="119">
        <v>130</v>
      </c>
      <c r="I1101" s="119" t="s">
        <v>120</v>
      </c>
    </row>
    <row r="1102" spans="1:9">
      <c r="A1102" s="119">
        <v>629</v>
      </c>
      <c r="B1102" s="119" t="s">
        <v>159</v>
      </c>
      <c r="C1102" s="119" t="s">
        <v>190</v>
      </c>
      <c r="D1102" s="119" t="s">
        <v>154</v>
      </c>
      <c r="E1102" s="119">
        <v>50</v>
      </c>
      <c r="F1102" s="119" t="s">
        <v>126</v>
      </c>
      <c r="G1102" s="119">
        <v>130</v>
      </c>
      <c r="I1102" s="119" t="s">
        <v>120</v>
      </c>
    </row>
    <row r="1103" spans="1:9">
      <c r="A1103" s="119">
        <v>631</v>
      </c>
      <c r="B1103" s="119" t="s">
        <v>159</v>
      </c>
      <c r="C1103" s="119" t="s">
        <v>190</v>
      </c>
      <c r="D1103" s="119" t="s">
        <v>154</v>
      </c>
      <c r="E1103" s="119">
        <v>25</v>
      </c>
      <c r="F1103" s="119" t="s">
        <v>128</v>
      </c>
      <c r="G1103" s="119">
        <v>130</v>
      </c>
      <c r="I1103" s="119" t="s">
        <v>120</v>
      </c>
    </row>
    <row r="1104" spans="1:9">
      <c r="A1104" s="119">
        <v>639</v>
      </c>
      <c r="B1104" s="119" t="s">
        <v>159</v>
      </c>
      <c r="C1104" s="119" t="s">
        <v>190</v>
      </c>
      <c r="D1104" s="119" t="s">
        <v>154</v>
      </c>
      <c r="E1104" s="119">
        <v>5</v>
      </c>
      <c r="F1104" s="119" t="s">
        <v>143</v>
      </c>
      <c r="G1104" s="119">
        <v>130</v>
      </c>
      <c r="I1104" s="119" t="s">
        <v>120</v>
      </c>
    </row>
    <row r="1105" spans="1:9">
      <c r="A1105" s="119">
        <v>624</v>
      </c>
      <c r="B1105" s="119" t="s">
        <v>160</v>
      </c>
      <c r="C1105" s="119" t="s">
        <v>190</v>
      </c>
      <c r="D1105" s="119" t="s">
        <v>154</v>
      </c>
      <c r="E1105" s="119">
        <v>100</v>
      </c>
      <c r="F1105" s="119" t="s">
        <v>122</v>
      </c>
      <c r="G1105" s="119">
        <v>130</v>
      </c>
      <c r="I1105" s="119" t="s">
        <v>120</v>
      </c>
    </row>
    <row r="1106" spans="1:9">
      <c r="A1106" s="119">
        <v>628</v>
      </c>
      <c r="B1106" s="119" t="s">
        <v>160</v>
      </c>
      <c r="C1106" s="119" t="s">
        <v>190</v>
      </c>
      <c r="D1106" s="119" t="s">
        <v>154</v>
      </c>
      <c r="E1106" s="119">
        <v>50</v>
      </c>
      <c r="F1106" s="119" t="s">
        <v>134</v>
      </c>
      <c r="G1106" s="119">
        <v>130</v>
      </c>
      <c r="I1106" s="119" t="s">
        <v>120</v>
      </c>
    </row>
    <row r="1107" spans="1:9">
      <c r="A1107" s="119">
        <v>633</v>
      </c>
      <c r="B1107" s="119" t="s">
        <v>160</v>
      </c>
      <c r="C1107" s="119" t="s">
        <v>190</v>
      </c>
      <c r="D1107" s="119" t="s">
        <v>154</v>
      </c>
      <c r="E1107" s="119">
        <v>25</v>
      </c>
      <c r="F1107" s="119" t="s">
        <v>130</v>
      </c>
      <c r="G1107" s="119">
        <v>130</v>
      </c>
      <c r="I1107" s="119" t="s">
        <v>120</v>
      </c>
    </row>
    <row r="1108" spans="1:9">
      <c r="A1108" s="119">
        <v>635</v>
      </c>
      <c r="B1108" s="119" t="s">
        <v>160</v>
      </c>
      <c r="C1108" s="119" t="s">
        <v>190</v>
      </c>
      <c r="D1108" s="119" t="s">
        <v>154</v>
      </c>
      <c r="E1108" s="119">
        <v>5</v>
      </c>
      <c r="F1108" s="119" t="s">
        <v>132</v>
      </c>
      <c r="G1108" s="119">
        <v>130</v>
      </c>
      <c r="I1108" s="119" t="s">
        <v>120</v>
      </c>
    </row>
    <row r="1109" spans="1:9">
      <c r="A1109" s="119">
        <v>640</v>
      </c>
      <c r="B1109" s="119" t="s">
        <v>116</v>
      </c>
      <c r="C1109" s="119" t="s">
        <v>191</v>
      </c>
      <c r="D1109" s="119" t="s">
        <v>154</v>
      </c>
      <c r="E1109" s="119">
        <v>2000</v>
      </c>
      <c r="F1109" s="119" t="s">
        <v>133</v>
      </c>
      <c r="G1109" s="119">
        <v>133</v>
      </c>
    </row>
    <row r="1110" spans="1:9">
      <c r="A1110" s="119">
        <v>641</v>
      </c>
      <c r="B1110" s="119" t="s">
        <v>116</v>
      </c>
      <c r="C1110" s="119" t="s">
        <v>191</v>
      </c>
      <c r="D1110" s="119" t="s">
        <v>154</v>
      </c>
      <c r="E1110" s="119">
        <v>1500</v>
      </c>
      <c r="F1110" s="119" t="s">
        <v>117</v>
      </c>
      <c r="G1110" s="119">
        <v>133</v>
      </c>
      <c r="I1110" s="119" t="s">
        <v>120</v>
      </c>
    </row>
    <row r="1111" spans="1:9">
      <c r="A1111" s="119">
        <v>642</v>
      </c>
      <c r="B1111" s="119" t="s">
        <v>116</v>
      </c>
      <c r="C1111" s="119" t="s">
        <v>191</v>
      </c>
      <c r="D1111" s="119" t="s">
        <v>154</v>
      </c>
      <c r="E1111" s="119">
        <v>1250</v>
      </c>
      <c r="F1111" s="119" t="s">
        <v>118</v>
      </c>
      <c r="G1111" s="119">
        <v>133</v>
      </c>
    </row>
    <row r="1112" spans="1:9">
      <c r="A1112" s="119">
        <v>643</v>
      </c>
      <c r="B1112" s="119" t="s">
        <v>116</v>
      </c>
      <c r="C1112" s="119" t="s">
        <v>191</v>
      </c>
      <c r="D1112" s="119" t="s">
        <v>154</v>
      </c>
      <c r="E1112" s="119">
        <v>1000</v>
      </c>
      <c r="F1112" s="119" t="s">
        <v>119</v>
      </c>
      <c r="G1112" s="119">
        <v>133</v>
      </c>
    </row>
    <row r="1113" spans="1:9">
      <c r="A1113" s="119">
        <v>644</v>
      </c>
      <c r="B1113" s="119" t="s">
        <v>116</v>
      </c>
      <c r="C1113" s="119" t="s">
        <v>191</v>
      </c>
      <c r="D1113" s="119" t="s">
        <v>154</v>
      </c>
      <c r="E1113" s="119">
        <v>800</v>
      </c>
      <c r="F1113" s="119" t="s">
        <v>121</v>
      </c>
      <c r="G1113" s="119">
        <v>133</v>
      </c>
    </row>
    <row r="1114" spans="1:9">
      <c r="A1114" s="119">
        <v>645</v>
      </c>
      <c r="B1114" s="119" t="s">
        <v>116</v>
      </c>
      <c r="C1114" s="119" t="s">
        <v>191</v>
      </c>
      <c r="D1114" s="119" t="s">
        <v>154</v>
      </c>
      <c r="E1114" s="119">
        <v>600</v>
      </c>
      <c r="F1114" s="119" t="s">
        <v>122</v>
      </c>
      <c r="G1114" s="119">
        <v>133</v>
      </c>
    </row>
    <row r="1115" spans="1:9">
      <c r="A1115" s="119">
        <v>646</v>
      </c>
      <c r="B1115" s="119" t="s">
        <v>116</v>
      </c>
      <c r="C1115" s="119" t="s">
        <v>191</v>
      </c>
      <c r="D1115" s="119" t="s">
        <v>154</v>
      </c>
      <c r="E1115" s="119">
        <v>400</v>
      </c>
      <c r="F1115" s="119" t="s">
        <v>123</v>
      </c>
      <c r="G1115" s="119">
        <v>133</v>
      </c>
    </row>
    <row r="1116" spans="1:9">
      <c r="A1116" s="119">
        <v>647</v>
      </c>
      <c r="B1116" s="119" t="s">
        <v>116</v>
      </c>
      <c r="C1116" s="119" t="s">
        <v>191</v>
      </c>
      <c r="D1116" s="119" t="s">
        <v>154</v>
      </c>
      <c r="E1116" s="119">
        <v>300</v>
      </c>
      <c r="F1116" s="119" t="s">
        <v>124</v>
      </c>
      <c r="G1116" s="119">
        <v>133</v>
      </c>
    </row>
    <row r="1117" spans="1:9">
      <c r="A1117" s="119">
        <v>648</v>
      </c>
      <c r="B1117" s="119" t="s">
        <v>116</v>
      </c>
      <c r="C1117" s="119" t="s">
        <v>191</v>
      </c>
      <c r="D1117" s="119" t="s">
        <v>154</v>
      </c>
      <c r="E1117" s="119">
        <v>250</v>
      </c>
      <c r="F1117" s="119" t="s">
        <v>125</v>
      </c>
      <c r="G1117" s="119">
        <v>133</v>
      </c>
    </row>
    <row r="1118" spans="1:9">
      <c r="A1118" s="119">
        <v>649</v>
      </c>
      <c r="B1118" s="119" t="s">
        <v>116</v>
      </c>
      <c r="C1118" s="119" t="s">
        <v>191</v>
      </c>
      <c r="D1118" s="119" t="s">
        <v>154</v>
      </c>
      <c r="E1118" s="119">
        <v>200</v>
      </c>
      <c r="F1118" s="119" t="s">
        <v>134</v>
      </c>
      <c r="G1118" s="119">
        <v>133</v>
      </c>
    </row>
    <row r="1119" spans="1:9">
      <c r="A1119" s="119">
        <v>650</v>
      </c>
      <c r="B1119" s="119" t="s">
        <v>116</v>
      </c>
      <c r="C1119" s="119" t="s">
        <v>191</v>
      </c>
      <c r="D1119" s="119" t="s">
        <v>154</v>
      </c>
      <c r="E1119" s="119">
        <v>175</v>
      </c>
      <c r="F1119" s="119" t="s">
        <v>126</v>
      </c>
      <c r="G1119" s="119">
        <v>133</v>
      </c>
    </row>
    <row r="1120" spans="1:9">
      <c r="A1120" s="119">
        <v>651</v>
      </c>
      <c r="B1120" s="119" t="s">
        <v>116</v>
      </c>
      <c r="C1120" s="119" t="s">
        <v>191</v>
      </c>
      <c r="D1120" s="119" t="s">
        <v>154</v>
      </c>
      <c r="E1120" s="119">
        <v>150</v>
      </c>
      <c r="F1120" s="119" t="s">
        <v>127</v>
      </c>
      <c r="G1120" s="119">
        <v>133</v>
      </c>
    </row>
    <row r="1121" spans="1:9">
      <c r="A1121" s="119">
        <v>652</v>
      </c>
      <c r="B1121" s="119" t="s">
        <v>116</v>
      </c>
      <c r="C1121" s="119" t="s">
        <v>191</v>
      </c>
      <c r="D1121" s="119" t="s">
        <v>154</v>
      </c>
      <c r="E1121" s="119">
        <v>125</v>
      </c>
      <c r="F1121" s="119" t="s">
        <v>128</v>
      </c>
      <c r="G1121" s="119">
        <v>133</v>
      </c>
      <c r="I1121" s="119" t="s">
        <v>120</v>
      </c>
    </row>
    <row r="1122" spans="1:9">
      <c r="A1122" s="119">
        <v>653</v>
      </c>
      <c r="B1122" s="119" t="s">
        <v>116</v>
      </c>
      <c r="C1122" s="119" t="s">
        <v>191</v>
      </c>
      <c r="D1122" s="119" t="s">
        <v>154</v>
      </c>
      <c r="E1122" s="119">
        <v>100</v>
      </c>
      <c r="F1122" s="119" t="s">
        <v>129</v>
      </c>
      <c r="G1122" s="119">
        <v>133</v>
      </c>
    </row>
    <row r="1123" spans="1:9">
      <c r="A1123" s="119">
        <v>654</v>
      </c>
      <c r="B1123" s="119" t="s">
        <v>116</v>
      </c>
      <c r="C1123" s="119" t="s">
        <v>191</v>
      </c>
      <c r="D1123" s="119" t="s">
        <v>154</v>
      </c>
      <c r="E1123" s="119">
        <v>75</v>
      </c>
      <c r="F1123" s="119" t="s">
        <v>130</v>
      </c>
      <c r="G1123" s="119">
        <v>133</v>
      </c>
    </row>
    <row r="1124" spans="1:9">
      <c r="A1124" s="119">
        <v>655</v>
      </c>
      <c r="B1124" s="119" t="s">
        <v>116</v>
      </c>
      <c r="C1124" s="119" t="s">
        <v>191</v>
      </c>
      <c r="D1124" s="119" t="s">
        <v>154</v>
      </c>
      <c r="E1124" s="119">
        <v>60</v>
      </c>
      <c r="F1124" s="119" t="s">
        <v>131</v>
      </c>
      <c r="G1124" s="119">
        <v>133</v>
      </c>
    </row>
    <row r="1125" spans="1:9">
      <c r="A1125" s="119">
        <v>656</v>
      </c>
      <c r="B1125" s="119" t="s">
        <v>116</v>
      </c>
      <c r="C1125" s="119" t="s">
        <v>191</v>
      </c>
      <c r="D1125" s="119" t="s">
        <v>154</v>
      </c>
      <c r="E1125" s="119">
        <v>50</v>
      </c>
      <c r="F1125" s="119" t="s">
        <v>132</v>
      </c>
      <c r="G1125" s="119">
        <v>133</v>
      </c>
    </row>
    <row r="1126" spans="1:9">
      <c r="A1126" s="119">
        <v>657</v>
      </c>
      <c r="B1126" s="119" t="s">
        <v>116</v>
      </c>
      <c r="C1126" s="119" t="s">
        <v>191</v>
      </c>
      <c r="D1126" s="119" t="s">
        <v>154</v>
      </c>
      <c r="E1126" s="119">
        <v>25</v>
      </c>
      <c r="F1126" s="119" t="s">
        <v>135</v>
      </c>
      <c r="G1126" s="119">
        <v>133</v>
      </c>
      <c r="I1126" s="119" t="s">
        <v>120</v>
      </c>
    </row>
    <row r="1127" spans="1:9">
      <c r="A1127" s="119">
        <v>658</v>
      </c>
      <c r="B1127" s="119" t="s">
        <v>116</v>
      </c>
      <c r="C1127" s="119" t="s">
        <v>191</v>
      </c>
      <c r="D1127" s="119" t="s">
        <v>154</v>
      </c>
      <c r="E1127" s="119">
        <v>10</v>
      </c>
      <c r="F1127" s="119" t="s">
        <v>138</v>
      </c>
      <c r="G1127" s="119">
        <v>133</v>
      </c>
    </row>
    <row r="1128" spans="1:9">
      <c r="A1128" s="119">
        <v>659</v>
      </c>
      <c r="B1128" s="119" t="s">
        <v>116</v>
      </c>
      <c r="C1128" s="119" t="s">
        <v>191</v>
      </c>
      <c r="D1128" s="119" t="s">
        <v>154</v>
      </c>
      <c r="E1128" s="119">
        <v>5</v>
      </c>
      <c r="F1128" s="119" t="s">
        <v>142</v>
      </c>
      <c r="G1128" s="119">
        <v>133</v>
      </c>
    </row>
    <row r="1129" spans="1:9">
      <c r="A1129" s="119">
        <v>663</v>
      </c>
      <c r="B1129" s="119" t="s">
        <v>116</v>
      </c>
      <c r="C1129" s="119" t="s">
        <v>191</v>
      </c>
      <c r="D1129" s="119" t="s">
        <v>154</v>
      </c>
      <c r="E1129" s="119">
        <v>0</v>
      </c>
      <c r="F1129" s="119" t="s">
        <v>146</v>
      </c>
      <c r="G1129" s="119">
        <v>133</v>
      </c>
    </row>
    <row r="1130" spans="1:9">
      <c r="A1130" s="119">
        <v>640</v>
      </c>
      <c r="B1130" s="119" t="s">
        <v>139</v>
      </c>
      <c r="C1130" s="119" t="s">
        <v>191</v>
      </c>
      <c r="D1130" s="119" t="s">
        <v>154</v>
      </c>
      <c r="E1130" s="119">
        <v>2000</v>
      </c>
      <c r="F1130" s="119" t="s">
        <v>133</v>
      </c>
      <c r="G1130" s="119">
        <v>133</v>
      </c>
    </row>
    <row r="1131" spans="1:9">
      <c r="A1131" s="119">
        <v>641</v>
      </c>
      <c r="B1131" s="119" t="s">
        <v>139</v>
      </c>
      <c r="C1131" s="119" t="s">
        <v>191</v>
      </c>
      <c r="D1131" s="119" t="s">
        <v>154</v>
      </c>
      <c r="E1131" s="119">
        <v>1500</v>
      </c>
      <c r="F1131" s="119" t="s">
        <v>117</v>
      </c>
      <c r="G1131" s="119">
        <v>133</v>
      </c>
    </row>
    <row r="1132" spans="1:9">
      <c r="A1132" s="119">
        <v>642</v>
      </c>
      <c r="B1132" s="119" t="s">
        <v>139</v>
      </c>
      <c r="C1132" s="119" t="s">
        <v>191</v>
      </c>
      <c r="D1132" s="119" t="s">
        <v>154</v>
      </c>
      <c r="E1132" s="119">
        <v>1250</v>
      </c>
      <c r="F1132" s="119" t="s">
        <v>118</v>
      </c>
      <c r="G1132" s="119">
        <v>133</v>
      </c>
    </row>
    <row r="1133" spans="1:9">
      <c r="A1133" s="119">
        <v>643</v>
      </c>
      <c r="B1133" s="119" t="s">
        <v>139</v>
      </c>
      <c r="C1133" s="119" t="s">
        <v>191</v>
      </c>
      <c r="D1133" s="119" t="s">
        <v>154</v>
      </c>
      <c r="E1133" s="119">
        <v>1000</v>
      </c>
      <c r="F1133" s="119" t="s">
        <v>119</v>
      </c>
      <c r="G1133" s="119">
        <v>133</v>
      </c>
    </row>
    <row r="1134" spans="1:9">
      <c r="A1134" s="119">
        <v>644</v>
      </c>
      <c r="B1134" s="119" t="s">
        <v>139</v>
      </c>
      <c r="C1134" s="119" t="s">
        <v>191</v>
      </c>
      <c r="D1134" s="119" t="s">
        <v>154</v>
      </c>
      <c r="E1134" s="119">
        <v>800</v>
      </c>
      <c r="F1134" s="119" t="s">
        <v>121</v>
      </c>
      <c r="G1134" s="119">
        <v>133</v>
      </c>
      <c r="I1134" s="119" t="s">
        <v>120</v>
      </c>
    </row>
    <row r="1135" spans="1:9">
      <c r="A1135" s="119">
        <v>645</v>
      </c>
      <c r="B1135" s="119" t="s">
        <v>139</v>
      </c>
      <c r="C1135" s="119" t="s">
        <v>191</v>
      </c>
      <c r="D1135" s="119" t="s">
        <v>154</v>
      </c>
      <c r="E1135" s="119">
        <v>600</v>
      </c>
      <c r="F1135" s="119" t="s">
        <v>122</v>
      </c>
      <c r="G1135" s="119">
        <v>133</v>
      </c>
    </row>
    <row r="1136" spans="1:9">
      <c r="A1136" s="119">
        <v>646</v>
      </c>
      <c r="B1136" s="119" t="s">
        <v>139</v>
      </c>
      <c r="C1136" s="119" t="s">
        <v>191</v>
      </c>
      <c r="D1136" s="119" t="s">
        <v>154</v>
      </c>
      <c r="E1136" s="119">
        <v>400</v>
      </c>
      <c r="F1136" s="119" t="s">
        <v>123</v>
      </c>
      <c r="G1136" s="119">
        <v>133</v>
      </c>
    </row>
    <row r="1137" spans="1:9">
      <c r="A1137" s="119">
        <v>647</v>
      </c>
      <c r="B1137" s="119" t="s">
        <v>139</v>
      </c>
      <c r="C1137" s="119" t="s">
        <v>191</v>
      </c>
      <c r="D1137" s="119" t="s">
        <v>154</v>
      </c>
      <c r="E1137" s="119">
        <v>300</v>
      </c>
      <c r="F1137" s="119" t="s">
        <v>124</v>
      </c>
      <c r="G1137" s="119">
        <v>133</v>
      </c>
    </row>
    <row r="1138" spans="1:9">
      <c r="A1138" s="119">
        <v>648</v>
      </c>
      <c r="B1138" s="119" t="s">
        <v>139</v>
      </c>
      <c r="C1138" s="119" t="s">
        <v>191</v>
      </c>
      <c r="D1138" s="119" t="s">
        <v>154</v>
      </c>
      <c r="E1138" s="119">
        <v>250</v>
      </c>
      <c r="F1138" s="119" t="s">
        <v>125</v>
      </c>
      <c r="G1138" s="119">
        <v>133</v>
      </c>
    </row>
    <row r="1139" spans="1:9">
      <c r="A1139" s="119">
        <v>649</v>
      </c>
      <c r="B1139" s="119" t="s">
        <v>139</v>
      </c>
      <c r="C1139" s="119" t="s">
        <v>191</v>
      </c>
      <c r="D1139" s="119" t="s">
        <v>154</v>
      </c>
      <c r="E1139" s="119">
        <v>200</v>
      </c>
      <c r="F1139" s="119" t="s">
        <v>134</v>
      </c>
      <c r="G1139" s="119">
        <v>133</v>
      </c>
    </row>
    <row r="1140" spans="1:9">
      <c r="A1140" s="119">
        <v>650</v>
      </c>
      <c r="B1140" s="119" t="s">
        <v>139</v>
      </c>
      <c r="C1140" s="119" t="s">
        <v>191</v>
      </c>
      <c r="D1140" s="119" t="s">
        <v>154</v>
      </c>
      <c r="E1140" s="119">
        <v>175</v>
      </c>
      <c r="F1140" s="119" t="s">
        <v>126</v>
      </c>
      <c r="G1140" s="119">
        <v>133</v>
      </c>
    </row>
    <row r="1141" spans="1:9">
      <c r="A1141" s="119">
        <v>651</v>
      </c>
      <c r="B1141" s="119" t="s">
        <v>139</v>
      </c>
      <c r="C1141" s="119" t="s">
        <v>191</v>
      </c>
      <c r="D1141" s="119" t="s">
        <v>154</v>
      </c>
      <c r="E1141" s="119">
        <v>150</v>
      </c>
      <c r="F1141" s="119" t="s">
        <v>127</v>
      </c>
      <c r="G1141" s="119">
        <v>133</v>
      </c>
    </row>
    <row r="1142" spans="1:9">
      <c r="A1142" s="119">
        <v>652</v>
      </c>
      <c r="B1142" s="119" t="s">
        <v>139</v>
      </c>
      <c r="C1142" s="119" t="s">
        <v>191</v>
      </c>
      <c r="D1142" s="119" t="s">
        <v>154</v>
      </c>
      <c r="E1142" s="119">
        <v>125</v>
      </c>
      <c r="F1142" s="119" t="s">
        <v>128</v>
      </c>
      <c r="G1142" s="119">
        <v>133</v>
      </c>
    </row>
    <row r="1143" spans="1:9">
      <c r="A1143" s="119">
        <v>653</v>
      </c>
      <c r="B1143" s="119" t="s">
        <v>139</v>
      </c>
      <c r="C1143" s="119" t="s">
        <v>191</v>
      </c>
      <c r="D1143" s="119" t="s">
        <v>154</v>
      </c>
      <c r="E1143" s="119">
        <v>100</v>
      </c>
      <c r="F1143" s="119" t="s">
        <v>129</v>
      </c>
      <c r="G1143" s="119">
        <v>133</v>
      </c>
    </row>
    <row r="1144" spans="1:9">
      <c r="A1144" s="119">
        <v>654</v>
      </c>
      <c r="B1144" s="119" t="s">
        <v>139</v>
      </c>
      <c r="C1144" s="119" t="s">
        <v>191</v>
      </c>
      <c r="D1144" s="119" t="s">
        <v>154</v>
      </c>
      <c r="E1144" s="119">
        <v>75</v>
      </c>
      <c r="F1144" s="119" t="s">
        <v>130</v>
      </c>
      <c r="G1144" s="119">
        <v>133</v>
      </c>
    </row>
    <row r="1145" spans="1:9">
      <c r="A1145" s="119">
        <v>655</v>
      </c>
      <c r="B1145" s="119" t="s">
        <v>139</v>
      </c>
      <c r="C1145" s="119" t="s">
        <v>191</v>
      </c>
      <c r="D1145" s="119" t="s">
        <v>154</v>
      </c>
      <c r="E1145" s="119">
        <v>60</v>
      </c>
      <c r="F1145" s="119" t="s">
        <v>131</v>
      </c>
      <c r="G1145" s="119">
        <v>133</v>
      </c>
      <c r="I1145" s="119" t="s">
        <v>120</v>
      </c>
    </row>
    <row r="1146" spans="1:9">
      <c r="A1146" s="119">
        <v>656</v>
      </c>
      <c r="B1146" s="119" t="s">
        <v>139</v>
      </c>
      <c r="C1146" s="119" t="s">
        <v>191</v>
      </c>
      <c r="D1146" s="119" t="s">
        <v>154</v>
      </c>
      <c r="E1146" s="119">
        <v>50</v>
      </c>
      <c r="F1146" s="119" t="s">
        <v>132</v>
      </c>
      <c r="G1146" s="119">
        <v>133</v>
      </c>
    </row>
    <row r="1147" spans="1:9">
      <c r="A1147" s="119">
        <v>657</v>
      </c>
      <c r="B1147" s="119" t="s">
        <v>139</v>
      </c>
      <c r="C1147" s="119" t="s">
        <v>191</v>
      </c>
      <c r="D1147" s="119" t="s">
        <v>154</v>
      </c>
      <c r="E1147" s="119">
        <v>25</v>
      </c>
      <c r="F1147" s="119" t="s">
        <v>135</v>
      </c>
      <c r="G1147" s="119">
        <v>133</v>
      </c>
    </row>
    <row r="1148" spans="1:9">
      <c r="A1148" s="119">
        <v>658</v>
      </c>
      <c r="B1148" s="119" t="s">
        <v>139</v>
      </c>
      <c r="C1148" s="119" t="s">
        <v>191</v>
      </c>
      <c r="D1148" s="119" t="s">
        <v>154</v>
      </c>
      <c r="E1148" s="119">
        <v>10</v>
      </c>
      <c r="F1148" s="119" t="s">
        <v>138</v>
      </c>
      <c r="G1148" s="119">
        <v>133</v>
      </c>
    </row>
    <row r="1149" spans="1:9">
      <c r="A1149" s="119">
        <v>659</v>
      </c>
      <c r="B1149" s="119" t="s">
        <v>139</v>
      </c>
      <c r="C1149" s="119" t="s">
        <v>191</v>
      </c>
      <c r="D1149" s="119" t="s">
        <v>154</v>
      </c>
      <c r="E1149" s="119">
        <v>5</v>
      </c>
      <c r="F1149" s="119" t="s">
        <v>142</v>
      </c>
      <c r="G1149" s="119">
        <v>133</v>
      </c>
    </row>
    <row r="1150" spans="1:9">
      <c r="A1150" s="119">
        <v>663</v>
      </c>
      <c r="B1150" s="119" t="s">
        <v>139</v>
      </c>
      <c r="C1150" s="119" t="s">
        <v>191</v>
      </c>
      <c r="D1150" s="119" t="s">
        <v>154</v>
      </c>
      <c r="E1150" s="119">
        <v>0</v>
      </c>
      <c r="F1150" s="119" t="s">
        <v>146</v>
      </c>
      <c r="G1150" s="119">
        <v>133</v>
      </c>
      <c r="I1150" s="119" t="s">
        <v>120</v>
      </c>
    </row>
    <row r="1151" spans="1:9">
      <c r="A1151" s="119">
        <v>640</v>
      </c>
      <c r="B1151" s="119" t="s">
        <v>140</v>
      </c>
      <c r="C1151" s="119" t="s">
        <v>191</v>
      </c>
      <c r="D1151" s="119" t="s">
        <v>154</v>
      </c>
      <c r="E1151" s="119">
        <v>2000</v>
      </c>
      <c r="F1151" s="119" t="s">
        <v>133</v>
      </c>
      <c r="G1151" s="119">
        <v>133</v>
      </c>
    </row>
    <row r="1152" spans="1:9">
      <c r="A1152" s="119">
        <v>641</v>
      </c>
      <c r="B1152" s="119" t="s">
        <v>140</v>
      </c>
      <c r="C1152" s="119" t="s">
        <v>191</v>
      </c>
      <c r="D1152" s="119" t="s">
        <v>154</v>
      </c>
      <c r="E1152" s="119">
        <v>1500</v>
      </c>
      <c r="F1152" s="119" t="s">
        <v>117</v>
      </c>
      <c r="G1152" s="119">
        <v>133</v>
      </c>
    </row>
    <row r="1153" spans="1:9">
      <c r="A1153" s="119">
        <v>642</v>
      </c>
      <c r="B1153" s="119" t="s">
        <v>140</v>
      </c>
      <c r="C1153" s="119" t="s">
        <v>191</v>
      </c>
      <c r="D1153" s="119" t="s">
        <v>154</v>
      </c>
      <c r="E1153" s="119">
        <v>1250</v>
      </c>
      <c r="F1153" s="119" t="s">
        <v>118</v>
      </c>
      <c r="G1153" s="119">
        <v>133</v>
      </c>
    </row>
    <row r="1154" spans="1:9">
      <c r="A1154" s="119">
        <v>643</v>
      </c>
      <c r="B1154" s="119" t="s">
        <v>140</v>
      </c>
      <c r="C1154" s="119" t="s">
        <v>191</v>
      </c>
      <c r="D1154" s="119" t="s">
        <v>154</v>
      </c>
      <c r="E1154" s="119">
        <v>1000</v>
      </c>
      <c r="F1154" s="119" t="s">
        <v>119</v>
      </c>
      <c r="G1154" s="119">
        <v>133</v>
      </c>
    </row>
    <row r="1155" spans="1:9">
      <c r="A1155" s="119">
        <v>644</v>
      </c>
      <c r="B1155" s="119" t="s">
        <v>140</v>
      </c>
      <c r="C1155" s="119" t="s">
        <v>191</v>
      </c>
      <c r="D1155" s="119" t="s">
        <v>154</v>
      </c>
      <c r="E1155" s="119">
        <v>800</v>
      </c>
      <c r="F1155" s="119" t="s">
        <v>121</v>
      </c>
      <c r="G1155" s="119">
        <v>133</v>
      </c>
    </row>
    <row r="1156" spans="1:9">
      <c r="A1156" s="119">
        <v>645</v>
      </c>
      <c r="B1156" s="119" t="s">
        <v>140</v>
      </c>
      <c r="C1156" s="119" t="s">
        <v>191</v>
      </c>
      <c r="D1156" s="119" t="s">
        <v>154</v>
      </c>
      <c r="E1156" s="119">
        <v>600</v>
      </c>
      <c r="F1156" s="119" t="s">
        <v>122</v>
      </c>
      <c r="G1156" s="119">
        <v>133</v>
      </c>
    </row>
    <row r="1157" spans="1:9">
      <c r="A1157" s="119">
        <v>646</v>
      </c>
      <c r="B1157" s="119" t="s">
        <v>140</v>
      </c>
      <c r="C1157" s="119" t="s">
        <v>191</v>
      </c>
      <c r="D1157" s="119" t="s">
        <v>154</v>
      </c>
      <c r="E1157" s="119">
        <v>400</v>
      </c>
      <c r="F1157" s="119" t="s">
        <v>123</v>
      </c>
      <c r="G1157" s="119">
        <v>133</v>
      </c>
      <c r="I1157" s="119" t="s">
        <v>120</v>
      </c>
    </row>
    <row r="1158" spans="1:9">
      <c r="A1158" s="119">
        <v>651</v>
      </c>
      <c r="B1158" s="119" t="s">
        <v>136</v>
      </c>
      <c r="C1158" s="119" t="s">
        <v>191</v>
      </c>
      <c r="D1158" s="119" t="s">
        <v>154</v>
      </c>
      <c r="E1158" s="119">
        <v>150</v>
      </c>
      <c r="F1158" s="119" t="s">
        <v>127</v>
      </c>
      <c r="G1158" s="119">
        <v>133</v>
      </c>
      <c r="I1158" s="119" t="s">
        <v>120</v>
      </c>
    </row>
    <row r="1159" spans="1:9">
      <c r="A1159" s="119">
        <v>653</v>
      </c>
      <c r="B1159" s="119" t="s">
        <v>136</v>
      </c>
      <c r="C1159" s="119" t="s">
        <v>191</v>
      </c>
      <c r="D1159" s="119" t="s">
        <v>154</v>
      </c>
      <c r="E1159" s="119">
        <v>100</v>
      </c>
      <c r="F1159" s="119" t="s">
        <v>129</v>
      </c>
      <c r="G1159" s="119">
        <v>133</v>
      </c>
      <c r="I1159" s="119" t="s">
        <v>120</v>
      </c>
    </row>
    <row r="1160" spans="1:9">
      <c r="A1160" s="119">
        <v>654</v>
      </c>
      <c r="B1160" s="119" t="s">
        <v>136</v>
      </c>
      <c r="C1160" s="119" t="s">
        <v>191</v>
      </c>
      <c r="D1160" s="119" t="s">
        <v>154</v>
      </c>
      <c r="E1160" s="119">
        <v>75</v>
      </c>
      <c r="F1160" s="119" t="s">
        <v>130</v>
      </c>
      <c r="G1160" s="119">
        <v>133</v>
      </c>
      <c r="I1160" s="119" t="s">
        <v>120</v>
      </c>
    </row>
    <row r="1161" spans="1:9">
      <c r="A1161" s="119">
        <v>656</v>
      </c>
      <c r="B1161" s="119" t="s">
        <v>136</v>
      </c>
      <c r="C1161" s="119" t="s">
        <v>191</v>
      </c>
      <c r="D1161" s="119" t="s">
        <v>154</v>
      </c>
      <c r="E1161" s="119">
        <v>50</v>
      </c>
      <c r="F1161" s="119" t="s">
        <v>132</v>
      </c>
      <c r="G1161" s="119">
        <v>133</v>
      </c>
      <c r="I1161" s="119" t="s">
        <v>120</v>
      </c>
    </row>
    <row r="1162" spans="1:9">
      <c r="A1162" s="119">
        <v>657</v>
      </c>
      <c r="B1162" s="119" t="s">
        <v>136</v>
      </c>
      <c r="C1162" s="119" t="s">
        <v>191</v>
      </c>
      <c r="D1162" s="119" t="s">
        <v>154</v>
      </c>
      <c r="E1162" s="119">
        <v>25</v>
      </c>
      <c r="F1162" s="119" t="s">
        <v>135</v>
      </c>
      <c r="G1162" s="119">
        <v>133</v>
      </c>
      <c r="I1162" s="119" t="s">
        <v>120</v>
      </c>
    </row>
    <row r="1163" spans="1:9">
      <c r="A1163" s="119">
        <v>660</v>
      </c>
      <c r="B1163" s="119" t="s">
        <v>136</v>
      </c>
      <c r="C1163" s="119" t="s">
        <v>191</v>
      </c>
      <c r="D1163" s="119" t="s">
        <v>154</v>
      </c>
      <c r="E1163" s="119">
        <v>5</v>
      </c>
      <c r="F1163" s="119" t="s">
        <v>143</v>
      </c>
      <c r="G1163" s="119">
        <v>133</v>
      </c>
      <c r="I1163" s="119" t="s">
        <v>120</v>
      </c>
    </row>
    <row r="1164" spans="1:9">
      <c r="A1164" s="119">
        <v>656</v>
      </c>
      <c r="B1164" s="119" t="s">
        <v>137</v>
      </c>
      <c r="C1164" s="119" t="s">
        <v>191</v>
      </c>
      <c r="D1164" s="119" t="s">
        <v>154</v>
      </c>
      <c r="E1164" s="119">
        <v>50</v>
      </c>
      <c r="F1164" s="119" t="s">
        <v>132</v>
      </c>
      <c r="G1164" s="119">
        <v>133</v>
      </c>
      <c r="I1164" s="119" t="s">
        <v>120</v>
      </c>
    </row>
    <row r="1165" spans="1:9">
      <c r="A1165" s="119">
        <v>657</v>
      </c>
      <c r="B1165" s="119" t="s">
        <v>137</v>
      </c>
      <c r="C1165" s="119" t="s">
        <v>191</v>
      </c>
      <c r="D1165" s="119" t="s">
        <v>154</v>
      </c>
      <c r="E1165" s="119">
        <v>25</v>
      </c>
      <c r="F1165" s="119" t="s">
        <v>135</v>
      </c>
      <c r="G1165" s="119">
        <v>133</v>
      </c>
      <c r="I1165" s="119" t="s">
        <v>120</v>
      </c>
    </row>
    <row r="1166" spans="1:9">
      <c r="A1166" s="119">
        <v>660</v>
      </c>
      <c r="B1166" s="119" t="s">
        <v>137</v>
      </c>
      <c r="C1166" s="119" t="s">
        <v>191</v>
      </c>
      <c r="D1166" s="119" t="s">
        <v>154</v>
      </c>
      <c r="E1166" s="119">
        <v>5</v>
      </c>
      <c r="F1166" s="119" t="s">
        <v>143</v>
      </c>
      <c r="G1166" s="119">
        <v>133</v>
      </c>
      <c r="I1166" s="119" t="s">
        <v>120</v>
      </c>
    </row>
    <row r="1167" spans="1:9">
      <c r="A1167" s="119">
        <v>662</v>
      </c>
      <c r="B1167" s="119" t="s">
        <v>155</v>
      </c>
      <c r="C1167" s="119" t="s">
        <v>191</v>
      </c>
      <c r="D1167" s="119" t="s">
        <v>154</v>
      </c>
      <c r="E1167" s="119">
        <v>5</v>
      </c>
      <c r="F1167" s="119" t="s">
        <v>145</v>
      </c>
      <c r="G1167" s="119">
        <v>133</v>
      </c>
      <c r="I1167" s="119" t="s">
        <v>120</v>
      </c>
    </row>
    <row r="1168" spans="1:9">
      <c r="A1168" s="119">
        <v>660</v>
      </c>
      <c r="B1168" s="119" t="s">
        <v>156</v>
      </c>
      <c r="C1168" s="119" t="s">
        <v>191</v>
      </c>
      <c r="D1168" s="119" t="s">
        <v>154</v>
      </c>
      <c r="E1168" s="119">
        <v>5</v>
      </c>
      <c r="F1168" s="119" t="s">
        <v>143</v>
      </c>
      <c r="G1168" s="119">
        <v>133</v>
      </c>
    </row>
    <row r="1169" spans="1:9">
      <c r="A1169" s="119">
        <v>659</v>
      </c>
      <c r="B1169" s="119" t="s">
        <v>157</v>
      </c>
      <c r="C1169" s="119" t="s">
        <v>191</v>
      </c>
      <c r="D1169" s="119" t="s">
        <v>154</v>
      </c>
      <c r="E1169" s="119">
        <v>5</v>
      </c>
      <c r="F1169" s="119" t="s">
        <v>142</v>
      </c>
      <c r="G1169" s="119">
        <v>133</v>
      </c>
      <c r="I1169" s="119" t="s">
        <v>120</v>
      </c>
    </row>
    <row r="1170" spans="1:9">
      <c r="A1170" s="119">
        <v>661</v>
      </c>
      <c r="B1170" s="119" t="s">
        <v>158</v>
      </c>
      <c r="C1170" s="119" t="s">
        <v>191</v>
      </c>
      <c r="D1170" s="119" t="s">
        <v>154</v>
      </c>
      <c r="E1170" s="119">
        <v>5</v>
      </c>
      <c r="F1170" s="119" t="s">
        <v>144</v>
      </c>
      <c r="G1170" s="119">
        <v>133</v>
      </c>
    </row>
    <row r="1171" spans="1:9">
      <c r="A1171" s="119">
        <v>640</v>
      </c>
      <c r="B1171" s="119" t="s">
        <v>141</v>
      </c>
      <c r="C1171" s="119" t="s">
        <v>191</v>
      </c>
      <c r="D1171" s="119" t="s">
        <v>154</v>
      </c>
      <c r="E1171" s="119">
        <v>2000</v>
      </c>
      <c r="F1171" s="119" t="s">
        <v>133</v>
      </c>
      <c r="G1171" s="119">
        <v>133</v>
      </c>
    </row>
    <row r="1172" spans="1:9">
      <c r="A1172" s="119">
        <v>641</v>
      </c>
      <c r="B1172" s="119" t="s">
        <v>141</v>
      </c>
      <c r="C1172" s="119" t="s">
        <v>191</v>
      </c>
      <c r="D1172" s="119" t="s">
        <v>154</v>
      </c>
      <c r="E1172" s="119">
        <v>1500</v>
      </c>
      <c r="F1172" s="119" t="s">
        <v>117</v>
      </c>
      <c r="G1172" s="119">
        <v>133</v>
      </c>
    </row>
    <row r="1173" spans="1:9">
      <c r="A1173" s="119">
        <v>642</v>
      </c>
      <c r="B1173" s="119" t="s">
        <v>141</v>
      </c>
      <c r="C1173" s="119" t="s">
        <v>191</v>
      </c>
      <c r="D1173" s="119" t="s">
        <v>154</v>
      </c>
      <c r="E1173" s="119">
        <v>1250</v>
      </c>
      <c r="F1173" s="119" t="s">
        <v>118</v>
      </c>
      <c r="G1173" s="119">
        <v>133</v>
      </c>
    </row>
    <row r="1174" spans="1:9">
      <c r="A1174" s="119">
        <v>643</v>
      </c>
      <c r="B1174" s="119" t="s">
        <v>141</v>
      </c>
      <c r="C1174" s="119" t="s">
        <v>191</v>
      </c>
      <c r="D1174" s="119" t="s">
        <v>154</v>
      </c>
      <c r="E1174" s="119">
        <v>1000</v>
      </c>
      <c r="F1174" s="119" t="s">
        <v>119</v>
      </c>
      <c r="G1174" s="119">
        <v>133</v>
      </c>
    </row>
    <row r="1175" spans="1:9">
      <c r="A1175" s="119">
        <v>664</v>
      </c>
      <c r="B1175" s="119" t="s">
        <v>139</v>
      </c>
      <c r="C1175" s="119" t="s">
        <v>192</v>
      </c>
      <c r="D1175" s="119" t="s">
        <v>154</v>
      </c>
      <c r="E1175" s="119">
        <v>300</v>
      </c>
      <c r="F1175" s="119" t="s">
        <v>133</v>
      </c>
      <c r="G1175" s="119">
        <v>138</v>
      </c>
    </row>
    <row r="1176" spans="1:9">
      <c r="A1176" s="119">
        <v>665</v>
      </c>
      <c r="B1176" s="119" t="s">
        <v>139</v>
      </c>
      <c r="C1176" s="119" t="s">
        <v>192</v>
      </c>
      <c r="D1176" s="119" t="s">
        <v>154</v>
      </c>
      <c r="E1176" s="119">
        <v>200</v>
      </c>
      <c r="F1176" s="119" t="s">
        <v>117</v>
      </c>
      <c r="G1176" s="119">
        <v>138</v>
      </c>
    </row>
    <row r="1177" spans="1:9">
      <c r="A1177" s="119">
        <v>667</v>
      </c>
      <c r="B1177" s="119" t="s">
        <v>139</v>
      </c>
      <c r="C1177" s="119" t="s">
        <v>192</v>
      </c>
      <c r="D1177" s="119" t="s">
        <v>154</v>
      </c>
      <c r="E1177" s="119">
        <v>150</v>
      </c>
      <c r="F1177" s="119" t="s">
        <v>119</v>
      </c>
      <c r="G1177" s="119">
        <v>138</v>
      </c>
    </row>
    <row r="1178" spans="1:9">
      <c r="A1178" s="119">
        <v>668</v>
      </c>
      <c r="B1178" s="119" t="s">
        <v>139</v>
      </c>
      <c r="C1178" s="119" t="s">
        <v>192</v>
      </c>
      <c r="D1178" s="119" t="s">
        <v>154</v>
      </c>
      <c r="E1178" s="119">
        <v>125</v>
      </c>
      <c r="F1178" s="119" t="s">
        <v>121</v>
      </c>
      <c r="G1178" s="119">
        <v>138</v>
      </c>
    </row>
    <row r="1179" spans="1:9">
      <c r="A1179" s="119">
        <v>671</v>
      </c>
      <c r="B1179" s="119" t="s">
        <v>139</v>
      </c>
      <c r="C1179" s="119" t="s">
        <v>192</v>
      </c>
      <c r="D1179" s="119" t="s">
        <v>154</v>
      </c>
      <c r="E1179" s="119">
        <v>100</v>
      </c>
      <c r="F1179" s="119" t="s">
        <v>124</v>
      </c>
      <c r="G1179" s="119">
        <v>138</v>
      </c>
    </row>
    <row r="1180" spans="1:9">
      <c r="A1180" s="119">
        <v>672</v>
      </c>
      <c r="B1180" s="119" t="s">
        <v>139</v>
      </c>
      <c r="C1180" s="119" t="s">
        <v>192</v>
      </c>
      <c r="D1180" s="119" t="s">
        <v>154</v>
      </c>
      <c r="E1180" s="119">
        <v>75</v>
      </c>
      <c r="F1180" s="119" t="s">
        <v>125</v>
      </c>
      <c r="G1180" s="119">
        <v>138</v>
      </c>
    </row>
    <row r="1181" spans="1:9">
      <c r="A1181" s="119">
        <v>675</v>
      </c>
      <c r="B1181" s="119" t="s">
        <v>139</v>
      </c>
      <c r="C1181" s="119" t="s">
        <v>192</v>
      </c>
      <c r="D1181" s="119" t="s">
        <v>154</v>
      </c>
      <c r="E1181" s="119">
        <v>50</v>
      </c>
      <c r="F1181" s="119" t="s">
        <v>127</v>
      </c>
      <c r="G1181" s="119">
        <v>138</v>
      </c>
    </row>
    <row r="1182" spans="1:9">
      <c r="A1182" s="119">
        <v>677</v>
      </c>
      <c r="B1182" s="119" t="s">
        <v>139</v>
      </c>
      <c r="C1182" s="119" t="s">
        <v>192</v>
      </c>
      <c r="D1182" s="119" t="s">
        <v>154</v>
      </c>
      <c r="E1182" s="119">
        <v>25</v>
      </c>
      <c r="F1182" s="119" t="s">
        <v>129</v>
      </c>
      <c r="G1182" s="119">
        <v>138</v>
      </c>
      <c r="I1182" s="119" t="s">
        <v>120</v>
      </c>
    </row>
    <row r="1183" spans="1:9">
      <c r="A1183" s="119">
        <v>683</v>
      </c>
      <c r="B1183" s="119" t="s">
        <v>139</v>
      </c>
      <c r="C1183" s="119" t="s">
        <v>192</v>
      </c>
      <c r="D1183" s="119" t="s">
        <v>154</v>
      </c>
      <c r="E1183" s="119">
        <v>5</v>
      </c>
      <c r="F1183" s="119" t="s">
        <v>142</v>
      </c>
      <c r="G1183" s="119">
        <v>138</v>
      </c>
    </row>
    <row r="1184" spans="1:9">
      <c r="A1184" s="119">
        <v>667</v>
      </c>
      <c r="B1184" s="119" t="s">
        <v>136</v>
      </c>
      <c r="C1184" s="119" t="s">
        <v>192</v>
      </c>
      <c r="D1184" s="119" t="s">
        <v>154</v>
      </c>
      <c r="E1184" s="119">
        <v>150</v>
      </c>
      <c r="F1184" s="119" t="s">
        <v>119</v>
      </c>
      <c r="G1184" s="119">
        <v>138</v>
      </c>
      <c r="I1184" s="119" t="s">
        <v>120</v>
      </c>
    </row>
    <row r="1185" spans="1:9">
      <c r="A1185" s="119">
        <v>671</v>
      </c>
      <c r="B1185" s="119" t="s">
        <v>136</v>
      </c>
      <c r="C1185" s="119" t="s">
        <v>192</v>
      </c>
      <c r="D1185" s="119" t="s">
        <v>154</v>
      </c>
      <c r="E1185" s="119">
        <v>100</v>
      </c>
      <c r="F1185" s="119" t="s">
        <v>124</v>
      </c>
      <c r="G1185" s="119">
        <v>138</v>
      </c>
      <c r="I1185" s="119" t="s">
        <v>120</v>
      </c>
    </row>
    <row r="1186" spans="1:9">
      <c r="A1186" s="119">
        <v>672</v>
      </c>
      <c r="B1186" s="119" t="s">
        <v>136</v>
      </c>
      <c r="C1186" s="119" t="s">
        <v>192</v>
      </c>
      <c r="D1186" s="119" t="s">
        <v>154</v>
      </c>
      <c r="E1186" s="119">
        <v>75</v>
      </c>
      <c r="F1186" s="119" t="s">
        <v>125</v>
      </c>
      <c r="G1186" s="119">
        <v>138</v>
      </c>
      <c r="I1186" s="119" t="s">
        <v>120</v>
      </c>
    </row>
    <row r="1187" spans="1:9">
      <c r="A1187" s="119">
        <v>675</v>
      </c>
      <c r="B1187" s="119" t="s">
        <v>136</v>
      </c>
      <c r="C1187" s="119" t="s">
        <v>192</v>
      </c>
      <c r="D1187" s="119" t="s">
        <v>154</v>
      </c>
      <c r="E1187" s="119">
        <v>50</v>
      </c>
      <c r="F1187" s="119" t="s">
        <v>127</v>
      </c>
      <c r="G1187" s="119">
        <v>138</v>
      </c>
      <c r="I1187" s="119" t="s">
        <v>120</v>
      </c>
    </row>
    <row r="1188" spans="1:9">
      <c r="A1188" s="119">
        <v>677</v>
      </c>
      <c r="B1188" s="119" t="s">
        <v>136</v>
      </c>
      <c r="C1188" s="119" t="s">
        <v>192</v>
      </c>
      <c r="D1188" s="119" t="s">
        <v>154</v>
      </c>
      <c r="E1188" s="119">
        <v>25</v>
      </c>
      <c r="F1188" s="119" t="s">
        <v>129</v>
      </c>
      <c r="G1188" s="119">
        <v>138</v>
      </c>
      <c r="I1188" s="119" t="s">
        <v>120</v>
      </c>
    </row>
    <row r="1189" spans="1:9">
      <c r="A1189" s="119">
        <v>683</v>
      </c>
      <c r="B1189" s="119" t="s">
        <v>136</v>
      </c>
      <c r="C1189" s="119" t="s">
        <v>192</v>
      </c>
      <c r="D1189" s="119" t="s">
        <v>154</v>
      </c>
      <c r="E1189" s="119">
        <v>5</v>
      </c>
      <c r="F1189" s="119" t="s">
        <v>142</v>
      </c>
      <c r="G1189" s="119">
        <v>138</v>
      </c>
      <c r="I1189" s="119" t="s">
        <v>120</v>
      </c>
    </row>
    <row r="1190" spans="1:9">
      <c r="A1190" s="119">
        <v>675</v>
      </c>
      <c r="B1190" s="119" t="s">
        <v>137</v>
      </c>
      <c r="C1190" s="119" t="s">
        <v>192</v>
      </c>
      <c r="D1190" s="119" t="s">
        <v>154</v>
      </c>
      <c r="E1190" s="119">
        <v>50</v>
      </c>
      <c r="F1190" s="119" t="s">
        <v>127</v>
      </c>
      <c r="G1190" s="119">
        <v>138</v>
      </c>
      <c r="I1190" s="119" t="s">
        <v>120</v>
      </c>
    </row>
    <row r="1191" spans="1:9">
      <c r="A1191" s="119">
        <v>677</v>
      </c>
      <c r="B1191" s="119" t="s">
        <v>137</v>
      </c>
      <c r="C1191" s="119" t="s">
        <v>192</v>
      </c>
      <c r="D1191" s="119" t="s">
        <v>154</v>
      </c>
      <c r="E1191" s="119">
        <v>25</v>
      </c>
      <c r="F1191" s="119" t="s">
        <v>129</v>
      </c>
      <c r="G1191" s="119">
        <v>138</v>
      </c>
      <c r="I1191" s="119" t="s">
        <v>120</v>
      </c>
    </row>
    <row r="1192" spans="1:9">
      <c r="A1192" s="119">
        <v>683</v>
      </c>
      <c r="B1192" s="119" t="s">
        <v>137</v>
      </c>
      <c r="C1192" s="119" t="s">
        <v>192</v>
      </c>
      <c r="D1192" s="119" t="s">
        <v>154</v>
      </c>
      <c r="E1192" s="119">
        <v>5</v>
      </c>
      <c r="F1192" s="119" t="s">
        <v>142</v>
      </c>
      <c r="G1192" s="119">
        <v>138</v>
      </c>
      <c r="I1192" s="119" t="s">
        <v>120</v>
      </c>
    </row>
    <row r="1193" spans="1:9">
      <c r="A1193" s="119">
        <v>679</v>
      </c>
      <c r="B1193" s="119" t="s">
        <v>155</v>
      </c>
      <c r="C1193" s="119" t="s">
        <v>192</v>
      </c>
      <c r="D1193" s="119" t="s">
        <v>154</v>
      </c>
      <c r="E1193" s="119">
        <v>5</v>
      </c>
      <c r="F1193" s="119" t="s">
        <v>131</v>
      </c>
      <c r="G1193" s="119">
        <v>138</v>
      </c>
      <c r="I1193" s="119" t="s">
        <v>120</v>
      </c>
    </row>
    <row r="1194" spans="1:9">
      <c r="A1194" s="119">
        <v>683</v>
      </c>
      <c r="B1194" s="119" t="s">
        <v>156</v>
      </c>
      <c r="C1194" s="119" t="s">
        <v>192</v>
      </c>
      <c r="D1194" s="119" t="s">
        <v>154</v>
      </c>
      <c r="E1194" s="119">
        <v>5</v>
      </c>
      <c r="F1194" s="119" t="s">
        <v>142</v>
      </c>
      <c r="G1194" s="119">
        <v>138</v>
      </c>
      <c r="I1194" s="119" t="s">
        <v>120</v>
      </c>
    </row>
    <row r="1195" spans="1:9">
      <c r="A1195" s="119">
        <v>682</v>
      </c>
      <c r="B1195" s="119" t="s">
        <v>157</v>
      </c>
      <c r="C1195" s="119" t="s">
        <v>192</v>
      </c>
      <c r="D1195" s="119" t="s">
        <v>154</v>
      </c>
      <c r="E1195" s="119">
        <v>5</v>
      </c>
      <c r="F1195" s="119" t="s">
        <v>138</v>
      </c>
      <c r="G1195" s="119">
        <v>138</v>
      </c>
      <c r="I1195" s="119" t="s">
        <v>120</v>
      </c>
    </row>
    <row r="1196" spans="1:9">
      <c r="A1196" s="119">
        <v>681</v>
      </c>
      <c r="B1196" s="119" t="s">
        <v>158</v>
      </c>
      <c r="C1196" s="119" t="s">
        <v>192</v>
      </c>
      <c r="D1196" s="119" t="s">
        <v>154</v>
      </c>
      <c r="E1196" s="119">
        <v>5</v>
      </c>
      <c r="F1196" s="119" t="s">
        <v>135</v>
      </c>
      <c r="G1196" s="119">
        <v>138</v>
      </c>
    </row>
    <row r="1197" spans="1:9">
      <c r="A1197" s="119">
        <v>666</v>
      </c>
      <c r="B1197" s="119" t="s">
        <v>159</v>
      </c>
      <c r="C1197" s="119" t="s">
        <v>192</v>
      </c>
      <c r="D1197" s="119" t="s">
        <v>154</v>
      </c>
      <c r="E1197" s="119">
        <v>150</v>
      </c>
      <c r="F1197" s="119" t="s">
        <v>118</v>
      </c>
      <c r="G1197" s="119">
        <v>138</v>
      </c>
      <c r="I1197" s="119" t="s">
        <v>120</v>
      </c>
    </row>
    <row r="1198" spans="1:9">
      <c r="A1198" s="119">
        <v>670</v>
      </c>
      <c r="B1198" s="119" t="s">
        <v>159</v>
      </c>
      <c r="C1198" s="119" t="s">
        <v>192</v>
      </c>
      <c r="D1198" s="119" t="s">
        <v>154</v>
      </c>
      <c r="E1198" s="119">
        <v>100</v>
      </c>
      <c r="F1198" s="119" t="s">
        <v>123</v>
      </c>
      <c r="G1198" s="119">
        <v>138</v>
      </c>
      <c r="I1198" s="119" t="s">
        <v>120</v>
      </c>
    </row>
    <row r="1199" spans="1:9">
      <c r="A1199" s="119">
        <v>674</v>
      </c>
      <c r="B1199" s="119" t="s">
        <v>159</v>
      </c>
      <c r="C1199" s="119" t="s">
        <v>192</v>
      </c>
      <c r="D1199" s="119" t="s">
        <v>154</v>
      </c>
      <c r="E1199" s="119">
        <v>50</v>
      </c>
      <c r="F1199" s="119" t="s">
        <v>126</v>
      </c>
      <c r="G1199" s="119">
        <v>138</v>
      </c>
      <c r="I1199" s="119" t="s">
        <v>120</v>
      </c>
    </row>
    <row r="1200" spans="1:9">
      <c r="A1200" s="119">
        <v>676</v>
      </c>
      <c r="B1200" s="119" t="s">
        <v>159</v>
      </c>
      <c r="C1200" s="119" t="s">
        <v>192</v>
      </c>
      <c r="D1200" s="119" t="s">
        <v>154</v>
      </c>
      <c r="E1200" s="119">
        <v>25</v>
      </c>
      <c r="F1200" s="119" t="s">
        <v>128</v>
      </c>
      <c r="G1200" s="119">
        <v>138</v>
      </c>
      <c r="I1200" s="119" t="s">
        <v>120</v>
      </c>
    </row>
    <row r="1201" spans="1:9">
      <c r="A1201" s="119">
        <v>684</v>
      </c>
      <c r="B1201" s="119" t="s">
        <v>159</v>
      </c>
      <c r="C1201" s="119" t="s">
        <v>192</v>
      </c>
      <c r="D1201" s="119" t="s">
        <v>154</v>
      </c>
      <c r="E1201" s="119">
        <v>5</v>
      </c>
      <c r="F1201" s="119" t="s">
        <v>143</v>
      </c>
      <c r="G1201" s="119">
        <v>138</v>
      </c>
      <c r="I1201" s="119" t="s">
        <v>120</v>
      </c>
    </row>
    <row r="1202" spans="1:9">
      <c r="A1202" s="119">
        <v>669</v>
      </c>
      <c r="B1202" s="119" t="s">
        <v>160</v>
      </c>
      <c r="C1202" s="119" t="s">
        <v>192</v>
      </c>
      <c r="D1202" s="119" t="s">
        <v>154</v>
      </c>
      <c r="E1202" s="119">
        <v>100</v>
      </c>
      <c r="F1202" s="119" t="s">
        <v>122</v>
      </c>
      <c r="G1202" s="119">
        <v>138</v>
      </c>
      <c r="I1202" s="119" t="s">
        <v>120</v>
      </c>
    </row>
    <row r="1203" spans="1:9">
      <c r="A1203" s="119">
        <v>673</v>
      </c>
      <c r="B1203" s="119" t="s">
        <v>160</v>
      </c>
      <c r="C1203" s="119" t="s">
        <v>192</v>
      </c>
      <c r="D1203" s="119" t="s">
        <v>154</v>
      </c>
      <c r="E1203" s="119">
        <v>50</v>
      </c>
      <c r="F1203" s="119" t="s">
        <v>134</v>
      </c>
      <c r="G1203" s="119">
        <v>138</v>
      </c>
      <c r="I1203" s="119" t="s">
        <v>120</v>
      </c>
    </row>
    <row r="1204" spans="1:9">
      <c r="A1204" s="119">
        <v>678</v>
      </c>
      <c r="B1204" s="119" t="s">
        <v>160</v>
      </c>
      <c r="C1204" s="119" t="s">
        <v>192</v>
      </c>
      <c r="D1204" s="119" t="s">
        <v>154</v>
      </c>
      <c r="E1204" s="119">
        <v>25</v>
      </c>
      <c r="F1204" s="119" t="s">
        <v>130</v>
      </c>
      <c r="G1204" s="119">
        <v>138</v>
      </c>
      <c r="I1204" s="119" t="s">
        <v>120</v>
      </c>
    </row>
    <row r="1205" spans="1:9">
      <c r="A1205" s="119">
        <v>680</v>
      </c>
      <c r="B1205" s="119" t="s">
        <v>160</v>
      </c>
      <c r="C1205" s="119" t="s">
        <v>192</v>
      </c>
      <c r="D1205" s="119" t="s">
        <v>154</v>
      </c>
      <c r="E1205" s="119">
        <v>5</v>
      </c>
      <c r="F1205" s="119" t="s">
        <v>132</v>
      </c>
      <c r="G1205" s="119">
        <v>138</v>
      </c>
      <c r="I1205" s="119" t="s">
        <v>120</v>
      </c>
    </row>
    <row r="1206" spans="1:9">
      <c r="A1206" s="119">
        <v>685</v>
      </c>
      <c r="B1206" s="119" t="s">
        <v>116</v>
      </c>
      <c r="C1206" s="119" t="s">
        <v>193</v>
      </c>
      <c r="D1206" s="119" t="s">
        <v>154</v>
      </c>
      <c r="E1206" s="119">
        <v>2000</v>
      </c>
      <c r="F1206" s="119" t="s">
        <v>133</v>
      </c>
      <c r="G1206" s="119">
        <v>142</v>
      </c>
    </row>
    <row r="1207" spans="1:9">
      <c r="A1207" s="119">
        <v>686</v>
      </c>
      <c r="B1207" s="119" t="s">
        <v>116</v>
      </c>
      <c r="C1207" s="119" t="s">
        <v>193</v>
      </c>
      <c r="D1207" s="119" t="s">
        <v>154</v>
      </c>
      <c r="E1207" s="119">
        <v>1500</v>
      </c>
      <c r="F1207" s="119" t="s">
        <v>117</v>
      </c>
      <c r="G1207" s="119">
        <v>142</v>
      </c>
      <c r="I1207" s="119" t="s">
        <v>120</v>
      </c>
    </row>
    <row r="1208" spans="1:9">
      <c r="A1208" s="119">
        <v>687</v>
      </c>
      <c r="B1208" s="119" t="s">
        <v>116</v>
      </c>
      <c r="C1208" s="119" t="s">
        <v>193</v>
      </c>
      <c r="D1208" s="119" t="s">
        <v>154</v>
      </c>
      <c r="E1208" s="119">
        <v>1250</v>
      </c>
      <c r="F1208" s="119" t="s">
        <v>118</v>
      </c>
      <c r="G1208" s="119">
        <v>142</v>
      </c>
    </row>
    <row r="1209" spans="1:9">
      <c r="A1209" s="119">
        <v>688</v>
      </c>
      <c r="B1209" s="119" t="s">
        <v>116</v>
      </c>
      <c r="C1209" s="119" t="s">
        <v>193</v>
      </c>
      <c r="D1209" s="119" t="s">
        <v>154</v>
      </c>
      <c r="E1209" s="119">
        <v>1000</v>
      </c>
      <c r="F1209" s="119" t="s">
        <v>119</v>
      </c>
      <c r="G1209" s="119">
        <v>142</v>
      </c>
    </row>
    <row r="1210" spans="1:9">
      <c r="A1210" s="119">
        <v>689</v>
      </c>
      <c r="B1210" s="119" t="s">
        <v>116</v>
      </c>
      <c r="C1210" s="119" t="s">
        <v>193</v>
      </c>
      <c r="D1210" s="119" t="s">
        <v>154</v>
      </c>
      <c r="E1210" s="119">
        <v>800</v>
      </c>
      <c r="F1210" s="119" t="s">
        <v>121</v>
      </c>
      <c r="G1210" s="119">
        <v>142</v>
      </c>
    </row>
    <row r="1211" spans="1:9">
      <c r="A1211" s="119">
        <v>690</v>
      </c>
      <c r="B1211" s="119" t="s">
        <v>116</v>
      </c>
      <c r="C1211" s="119" t="s">
        <v>193</v>
      </c>
      <c r="D1211" s="119" t="s">
        <v>154</v>
      </c>
      <c r="E1211" s="119">
        <v>600</v>
      </c>
      <c r="F1211" s="119" t="s">
        <v>122</v>
      </c>
      <c r="G1211" s="119">
        <v>142</v>
      </c>
    </row>
    <row r="1212" spans="1:9">
      <c r="A1212" s="119">
        <v>691</v>
      </c>
      <c r="B1212" s="119" t="s">
        <v>116</v>
      </c>
      <c r="C1212" s="119" t="s">
        <v>193</v>
      </c>
      <c r="D1212" s="119" t="s">
        <v>154</v>
      </c>
      <c r="E1212" s="119">
        <v>400</v>
      </c>
      <c r="F1212" s="119" t="s">
        <v>123</v>
      </c>
      <c r="G1212" s="119">
        <v>142</v>
      </c>
    </row>
    <row r="1213" spans="1:9">
      <c r="A1213" s="119">
        <v>692</v>
      </c>
      <c r="B1213" s="119" t="s">
        <v>116</v>
      </c>
      <c r="C1213" s="119" t="s">
        <v>193</v>
      </c>
      <c r="D1213" s="119" t="s">
        <v>154</v>
      </c>
      <c r="E1213" s="119">
        <v>300</v>
      </c>
      <c r="F1213" s="119" t="s">
        <v>124</v>
      </c>
      <c r="G1213" s="119">
        <v>142</v>
      </c>
    </row>
    <row r="1214" spans="1:9">
      <c r="A1214" s="119">
        <v>693</v>
      </c>
      <c r="B1214" s="119" t="s">
        <v>116</v>
      </c>
      <c r="C1214" s="119" t="s">
        <v>193</v>
      </c>
      <c r="D1214" s="119" t="s">
        <v>154</v>
      </c>
      <c r="E1214" s="119">
        <v>250</v>
      </c>
      <c r="F1214" s="119" t="s">
        <v>125</v>
      </c>
      <c r="G1214" s="119">
        <v>142</v>
      </c>
      <c r="I1214" s="119" t="s">
        <v>120</v>
      </c>
    </row>
    <row r="1215" spans="1:9">
      <c r="A1215" s="119">
        <v>694</v>
      </c>
      <c r="B1215" s="119" t="s">
        <v>116</v>
      </c>
      <c r="C1215" s="119" t="s">
        <v>193</v>
      </c>
      <c r="D1215" s="119" t="s">
        <v>154</v>
      </c>
      <c r="E1215" s="119">
        <v>200</v>
      </c>
      <c r="F1215" s="119" t="s">
        <v>134</v>
      </c>
      <c r="G1215" s="119">
        <v>142</v>
      </c>
    </row>
    <row r="1216" spans="1:9">
      <c r="A1216" s="119">
        <v>695</v>
      </c>
      <c r="B1216" s="119" t="s">
        <v>116</v>
      </c>
      <c r="C1216" s="119" t="s">
        <v>193</v>
      </c>
      <c r="D1216" s="119" t="s">
        <v>154</v>
      </c>
      <c r="E1216" s="119">
        <v>175</v>
      </c>
      <c r="F1216" s="119" t="s">
        <v>126</v>
      </c>
      <c r="G1216" s="119">
        <v>142</v>
      </c>
    </row>
    <row r="1217" spans="1:9">
      <c r="A1217" s="119">
        <v>696</v>
      </c>
      <c r="B1217" s="119" t="s">
        <v>116</v>
      </c>
      <c r="C1217" s="119" t="s">
        <v>193</v>
      </c>
      <c r="D1217" s="119" t="s">
        <v>154</v>
      </c>
      <c r="E1217" s="119">
        <v>150</v>
      </c>
      <c r="F1217" s="119" t="s">
        <v>127</v>
      </c>
      <c r="G1217" s="119">
        <v>142</v>
      </c>
    </row>
    <row r="1218" spans="1:9">
      <c r="A1218" s="119">
        <v>697</v>
      </c>
      <c r="B1218" s="119" t="s">
        <v>116</v>
      </c>
      <c r="C1218" s="119" t="s">
        <v>193</v>
      </c>
      <c r="D1218" s="119" t="s">
        <v>154</v>
      </c>
      <c r="E1218" s="119">
        <v>125</v>
      </c>
      <c r="F1218" s="119" t="s">
        <v>128</v>
      </c>
      <c r="G1218" s="119">
        <v>142</v>
      </c>
    </row>
    <row r="1219" spans="1:9">
      <c r="A1219" s="119">
        <v>698</v>
      </c>
      <c r="B1219" s="119" t="s">
        <v>116</v>
      </c>
      <c r="C1219" s="119" t="s">
        <v>193</v>
      </c>
      <c r="D1219" s="119" t="s">
        <v>154</v>
      </c>
      <c r="E1219" s="119">
        <v>100</v>
      </c>
      <c r="F1219" s="119" t="s">
        <v>129</v>
      </c>
      <c r="G1219" s="119">
        <v>142</v>
      </c>
    </row>
    <row r="1220" spans="1:9">
      <c r="A1220" s="119">
        <v>699</v>
      </c>
      <c r="B1220" s="119" t="s">
        <v>116</v>
      </c>
      <c r="C1220" s="119" t="s">
        <v>193</v>
      </c>
      <c r="D1220" s="119" t="s">
        <v>154</v>
      </c>
      <c r="E1220" s="119">
        <v>75</v>
      </c>
      <c r="F1220" s="119" t="s">
        <v>130</v>
      </c>
      <c r="G1220" s="119">
        <v>142</v>
      </c>
    </row>
    <row r="1221" spans="1:9">
      <c r="A1221" s="119">
        <v>700</v>
      </c>
      <c r="B1221" s="119" t="s">
        <v>116</v>
      </c>
      <c r="C1221" s="119" t="s">
        <v>193</v>
      </c>
      <c r="D1221" s="119" t="s">
        <v>154</v>
      </c>
      <c r="E1221" s="119">
        <v>60</v>
      </c>
      <c r="F1221" s="119" t="s">
        <v>131</v>
      </c>
      <c r="G1221" s="119">
        <v>142</v>
      </c>
    </row>
    <row r="1222" spans="1:9">
      <c r="A1222" s="119">
        <v>701</v>
      </c>
      <c r="B1222" s="119" t="s">
        <v>116</v>
      </c>
      <c r="C1222" s="119" t="s">
        <v>193</v>
      </c>
      <c r="D1222" s="119" t="s">
        <v>154</v>
      </c>
      <c r="E1222" s="119">
        <v>50</v>
      </c>
      <c r="F1222" s="119" t="s">
        <v>132</v>
      </c>
      <c r="G1222" s="119">
        <v>142</v>
      </c>
    </row>
    <row r="1223" spans="1:9">
      <c r="A1223" s="119">
        <v>702</v>
      </c>
      <c r="B1223" s="119" t="s">
        <v>116</v>
      </c>
      <c r="C1223" s="119" t="s">
        <v>193</v>
      </c>
      <c r="D1223" s="119" t="s">
        <v>154</v>
      </c>
      <c r="E1223" s="119">
        <v>25</v>
      </c>
      <c r="F1223" s="119" t="s">
        <v>135</v>
      </c>
      <c r="G1223" s="119">
        <v>142</v>
      </c>
    </row>
    <row r="1224" spans="1:9">
      <c r="A1224" s="119">
        <v>703</v>
      </c>
      <c r="B1224" s="119" t="s">
        <v>116</v>
      </c>
      <c r="C1224" s="119" t="s">
        <v>193</v>
      </c>
      <c r="D1224" s="119" t="s">
        <v>154</v>
      </c>
      <c r="E1224" s="119">
        <v>10</v>
      </c>
      <c r="F1224" s="119" t="s">
        <v>138</v>
      </c>
      <c r="G1224" s="119">
        <v>142</v>
      </c>
    </row>
    <row r="1225" spans="1:9">
      <c r="A1225" s="119">
        <v>704</v>
      </c>
      <c r="B1225" s="119" t="s">
        <v>116</v>
      </c>
      <c r="C1225" s="119" t="s">
        <v>193</v>
      </c>
      <c r="D1225" s="119" t="s">
        <v>154</v>
      </c>
      <c r="E1225" s="119">
        <v>5</v>
      </c>
      <c r="F1225" s="119" t="s">
        <v>142</v>
      </c>
      <c r="G1225" s="119">
        <v>142</v>
      </c>
      <c r="I1225" s="119" t="s">
        <v>120</v>
      </c>
    </row>
    <row r="1226" spans="1:9">
      <c r="A1226" s="119">
        <v>708</v>
      </c>
      <c r="B1226" s="119" t="s">
        <v>116</v>
      </c>
      <c r="C1226" s="119" t="s">
        <v>193</v>
      </c>
      <c r="D1226" s="119" t="s">
        <v>154</v>
      </c>
      <c r="E1226" s="119">
        <v>0</v>
      </c>
      <c r="F1226" s="119" t="s">
        <v>146</v>
      </c>
      <c r="G1226" s="119">
        <v>142</v>
      </c>
    </row>
    <row r="1227" spans="1:9">
      <c r="A1227" s="119">
        <v>685</v>
      </c>
      <c r="B1227" s="119" t="s">
        <v>139</v>
      </c>
      <c r="C1227" s="119" t="s">
        <v>193</v>
      </c>
      <c r="D1227" s="119" t="s">
        <v>154</v>
      </c>
      <c r="E1227" s="119">
        <v>2000</v>
      </c>
      <c r="F1227" s="119" t="s">
        <v>133</v>
      </c>
      <c r="G1227" s="119">
        <v>142</v>
      </c>
    </row>
    <row r="1228" spans="1:9">
      <c r="A1228" s="119">
        <v>686</v>
      </c>
      <c r="B1228" s="119" t="s">
        <v>139</v>
      </c>
      <c r="C1228" s="119" t="s">
        <v>193</v>
      </c>
      <c r="D1228" s="119" t="s">
        <v>154</v>
      </c>
      <c r="E1228" s="119">
        <v>1500</v>
      </c>
      <c r="F1228" s="119" t="s">
        <v>117</v>
      </c>
      <c r="G1228" s="119">
        <v>142</v>
      </c>
    </row>
    <row r="1229" spans="1:9">
      <c r="A1229" s="119">
        <v>687</v>
      </c>
      <c r="B1229" s="119" t="s">
        <v>139</v>
      </c>
      <c r="C1229" s="119" t="s">
        <v>193</v>
      </c>
      <c r="D1229" s="119" t="s">
        <v>154</v>
      </c>
      <c r="E1229" s="119">
        <v>1250</v>
      </c>
      <c r="F1229" s="119" t="s">
        <v>118</v>
      </c>
      <c r="G1229" s="119">
        <v>142</v>
      </c>
    </row>
    <row r="1230" spans="1:9">
      <c r="A1230" s="119">
        <v>688</v>
      </c>
      <c r="B1230" s="119" t="s">
        <v>139</v>
      </c>
      <c r="C1230" s="119" t="s">
        <v>193</v>
      </c>
      <c r="D1230" s="119" t="s">
        <v>154</v>
      </c>
      <c r="E1230" s="119">
        <v>1000</v>
      </c>
      <c r="F1230" s="119" t="s">
        <v>119</v>
      </c>
      <c r="G1230" s="119">
        <v>142</v>
      </c>
      <c r="I1230" s="119" t="s">
        <v>120</v>
      </c>
    </row>
    <row r="1231" spans="1:9">
      <c r="A1231" s="119">
        <v>689</v>
      </c>
      <c r="B1231" s="119" t="s">
        <v>139</v>
      </c>
      <c r="C1231" s="119" t="s">
        <v>193</v>
      </c>
      <c r="D1231" s="119" t="s">
        <v>154</v>
      </c>
      <c r="E1231" s="119">
        <v>800</v>
      </c>
      <c r="F1231" s="119" t="s">
        <v>121</v>
      </c>
      <c r="G1231" s="119">
        <v>142</v>
      </c>
    </row>
    <row r="1232" spans="1:9">
      <c r="A1232" s="119">
        <v>690</v>
      </c>
      <c r="B1232" s="119" t="s">
        <v>139</v>
      </c>
      <c r="C1232" s="119" t="s">
        <v>193</v>
      </c>
      <c r="D1232" s="119" t="s">
        <v>154</v>
      </c>
      <c r="E1232" s="119">
        <v>600</v>
      </c>
      <c r="F1232" s="119" t="s">
        <v>122</v>
      </c>
      <c r="G1232" s="119">
        <v>142</v>
      </c>
    </row>
    <row r="1233" spans="1:9">
      <c r="A1233" s="119">
        <v>691</v>
      </c>
      <c r="B1233" s="119" t="s">
        <v>139</v>
      </c>
      <c r="C1233" s="119" t="s">
        <v>193</v>
      </c>
      <c r="D1233" s="119" t="s">
        <v>154</v>
      </c>
      <c r="E1233" s="119">
        <v>400</v>
      </c>
      <c r="F1233" s="119" t="s">
        <v>123</v>
      </c>
      <c r="G1233" s="119">
        <v>142</v>
      </c>
    </row>
    <row r="1234" spans="1:9">
      <c r="A1234" s="119">
        <v>692</v>
      </c>
      <c r="B1234" s="119" t="s">
        <v>139</v>
      </c>
      <c r="C1234" s="119" t="s">
        <v>193</v>
      </c>
      <c r="D1234" s="119" t="s">
        <v>154</v>
      </c>
      <c r="E1234" s="119">
        <v>300</v>
      </c>
      <c r="F1234" s="119" t="s">
        <v>124</v>
      </c>
      <c r="G1234" s="119">
        <v>142</v>
      </c>
    </row>
    <row r="1235" spans="1:9">
      <c r="A1235" s="119">
        <v>693</v>
      </c>
      <c r="B1235" s="119" t="s">
        <v>139</v>
      </c>
      <c r="C1235" s="119" t="s">
        <v>193</v>
      </c>
      <c r="D1235" s="119" t="s">
        <v>154</v>
      </c>
      <c r="E1235" s="119">
        <v>250</v>
      </c>
      <c r="F1235" s="119" t="s">
        <v>125</v>
      </c>
      <c r="G1235" s="119">
        <v>142</v>
      </c>
    </row>
    <row r="1236" spans="1:9">
      <c r="A1236" s="119">
        <v>694</v>
      </c>
      <c r="B1236" s="119" t="s">
        <v>139</v>
      </c>
      <c r="C1236" s="119" t="s">
        <v>193</v>
      </c>
      <c r="D1236" s="119" t="s">
        <v>154</v>
      </c>
      <c r="E1236" s="119">
        <v>200</v>
      </c>
      <c r="F1236" s="119" t="s">
        <v>134</v>
      </c>
      <c r="G1236" s="119">
        <v>142</v>
      </c>
    </row>
    <row r="1237" spans="1:9">
      <c r="A1237" s="119">
        <v>695</v>
      </c>
      <c r="B1237" s="119" t="s">
        <v>139</v>
      </c>
      <c r="C1237" s="119" t="s">
        <v>193</v>
      </c>
      <c r="D1237" s="119" t="s">
        <v>154</v>
      </c>
      <c r="E1237" s="119">
        <v>175</v>
      </c>
      <c r="F1237" s="119" t="s">
        <v>126</v>
      </c>
      <c r="G1237" s="119">
        <v>142</v>
      </c>
    </row>
    <row r="1238" spans="1:9">
      <c r="A1238" s="119">
        <v>696</v>
      </c>
      <c r="B1238" s="119" t="s">
        <v>139</v>
      </c>
      <c r="C1238" s="119" t="s">
        <v>193</v>
      </c>
      <c r="D1238" s="119" t="s">
        <v>154</v>
      </c>
      <c r="E1238" s="119">
        <v>150</v>
      </c>
      <c r="F1238" s="119" t="s">
        <v>127</v>
      </c>
      <c r="G1238" s="119">
        <v>142</v>
      </c>
    </row>
    <row r="1239" spans="1:9">
      <c r="A1239" s="119">
        <v>697</v>
      </c>
      <c r="B1239" s="119" t="s">
        <v>139</v>
      </c>
      <c r="C1239" s="119" t="s">
        <v>193</v>
      </c>
      <c r="D1239" s="119" t="s">
        <v>154</v>
      </c>
      <c r="E1239" s="119">
        <v>125</v>
      </c>
      <c r="F1239" s="119" t="s">
        <v>128</v>
      </c>
      <c r="G1239" s="119">
        <v>142</v>
      </c>
      <c r="I1239" s="119" t="s">
        <v>120</v>
      </c>
    </row>
    <row r="1240" spans="1:9">
      <c r="A1240" s="119">
        <v>698</v>
      </c>
      <c r="B1240" s="119" t="s">
        <v>139</v>
      </c>
      <c r="C1240" s="119" t="s">
        <v>193</v>
      </c>
      <c r="D1240" s="119" t="s">
        <v>154</v>
      </c>
      <c r="E1240" s="119">
        <v>100</v>
      </c>
      <c r="F1240" s="119" t="s">
        <v>129</v>
      </c>
      <c r="G1240" s="119">
        <v>142</v>
      </c>
    </row>
    <row r="1241" spans="1:9">
      <c r="A1241" s="119">
        <v>699</v>
      </c>
      <c r="B1241" s="119" t="s">
        <v>139</v>
      </c>
      <c r="C1241" s="119" t="s">
        <v>193</v>
      </c>
      <c r="D1241" s="119" t="s">
        <v>154</v>
      </c>
      <c r="E1241" s="119">
        <v>75</v>
      </c>
      <c r="F1241" s="119" t="s">
        <v>130</v>
      </c>
      <c r="G1241" s="119">
        <v>142</v>
      </c>
    </row>
    <row r="1242" spans="1:9">
      <c r="A1242" s="119">
        <v>700</v>
      </c>
      <c r="B1242" s="119" t="s">
        <v>139</v>
      </c>
      <c r="C1242" s="119" t="s">
        <v>193</v>
      </c>
      <c r="D1242" s="119" t="s">
        <v>154</v>
      </c>
      <c r="E1242" s="119">
        <v>60</v>
      </c>
      <c r="F1242" s="119" t="s">
        <v>131</v>
      </c>
      <c r="G1242" s="119">
        <v>142</v>
      </c>
    </row>
    <row r="1243" spans="1:9">
      <c r="A1243" s="119">
        <v>701</v>
      </c>
      <c r="B1243" s="119" t="s">
        <v>139</v>
      </c>
      <c r="C1243" s="119" t="s">
        <v>193</v>
      </c>
      <c r="D1243" s="119" t="s">
        <v>154</v>
      </c>
      <c r="E1243" s="119">
        <v>50</v>
      </c>
      <c r="F1243" s="119" t="s">
        <v>132</v>
      </c>
      <c r="G1243" s="119">
        <v>142</v>
      </c>
    </row>
    <row r="1244" spans="1:9">
      <c r="A1244" s="119">
        <v>702</v>
      </c>
      <c r="B1244" s="119" t="s">
        <v>139</v>
      </c>
      <c r="C1244" s="119" t="s">
        <v>193</v>
      </c>
      <c r="D1244" s="119" t="s">
        <v>154</v>
      </c>
      <c r="E1244" s="119">
        <v>25</v>
      </c>
      <c r="F1244" s="119" t="s">
        <v>135</v>
      </c>
      <c r="G1244" s="119">
        <v>142</v>
      </c>
    </row>
    <row r="1245" spans="1:9">
      <c r="A1245" s="119">
        <v>703</v>
      </c>
      <c r="B1245" s="119" t="s">
        <v>139</v>
      </c>
      <c r="C1245" s="119" t="s">
        <v>193</v>
      </c>
      <c r="D1245" s="119" t="s">
        <v>154</v>
      </c>
      <c r="E1245" s="119">
        <v>10</v>
      </c>
      <c r="F1245" s="119" t="s">
        <v>138</v>
      </c>
      <c r="G1245" s="119">
        <v>142</v>
      </c>
      <c r="I1245" s="119" t="s">
        <v>120</v>
      </c>
    </row>
    <row r="1246" spans="1:9">
      <c r="A1246" s="119">
        <v>704</v>
      </c>
      <c r="B1246" s="119" t="s">
        <v>139</v>
      </c>
      <c r="C1246" s="119" t="s">
        <v>193</v>
      </c>
      <c r="D1246" s="119" t="s">
        <v>154</v>
      </c>
      <c r="E1246" s="119">
        <v>5</v>
      </c>
      <c r="F1246" s="119" t="s">
        <v>142</v>
      </c>
      <c r="G1246" s="119">
        <v>142</v>
      </c>
    </row>
    <row r="1247" spans="1:9">
      <c r="A1247" s="119">
        <v>708</v>
      </c>
      <c r="B1247" s="119" t="s">
        <v>139</v>
      </c>
      <c r="C1247" s="119" t="s">
        <v>193</v>
      </c>
      <c r="D1247" s="119" t="s">
        <v>154</v>
      </c>
      <c r="E1247" s="119">
        <v>0</v>
      </c>
      <c r="F1247" s="119" t="s">
        <v>146</v>
      </c>
      <c r="G1247" s="119">
        <v>142</v>
      </c>
    </row>
    <row r="1248" spans="1:9">
      <c r="A1248" s="119">
        <v>685</v>
      </c>
      <c r="B1248" s="119" t="s">
        <v>140</v>
      </c>
      <c r="C1248" s="119" t="s">
        <v>193</v>
      </c>
      <c r="D1248" s="119" t="s">
        <v>154</v>
      </c>
      <c r="E1248" s="119">
        <v>2000</v>
      </c>
      <c r="F1248" s="119" t="s">
        <v>133</v>
      </c>
      <c r="G1248" s="119">
        <v>142</v>
      </c>
    </row>
    <row r="1249" spans="1:9">
      <c r="A1249" s="119">
        <v>686</v>
      </c>
      <c r="B1249" s="119" t="s">
        <v>140</v>
      </c>
      <c r="C1249" s="119" t="s">
        <v>193</v>
      </c>
      <c r="D1249" s="119" t="s">
        <v>154</v>
      </c>
      <c r="E1249" s="119">
        <v>1500</v>
      </c>
      <c r="F1249" s="119" t="s">
        <v>117</v>
      </c>
      <c r="G1249" s="119">
        <v>142</v>
      </c>
      <c r="I1249" s="119" t="s">
        <v>120</v>
      </c>
    </row>
    <row r="1250" spans="1:9">
      <c r="A1250" s="119">
        <v>687</v>
      </c>
      <c r="B1250" s="119" t="s">
        <v>140</v>
      </c>
      <c r="C1250" s="119" t="s">
        <v>193</v>
      </c>
      <c r="D1250" s="119" t="s">
        <v>154</v>
      </c>
      <c r="E1250" s="119">
        <v>1250</v>
      </c>
      <c r="F1250" s="119" t="s">
        <v>118</v>
      </c>
      <c r="G1250" s="119">
        <v>142</v>
      </c>
    </row>
    <row r="1251" spans="1:9">
      <c r="A1251" s="119">
        <v>688</v>
      </c>
      <c r="B1251" s="119" t="s">
        <v>140</v>
      </c>
      <c r="C1251" s="119" t="s">
        <v>193</v>
      </c>
      <c r="D1251" s="119" t="s">
        <v>154</v>
      </c>
      <c r="E1251" s="119">
        <v>1000</v>
      </c>
      <c r="F1251" s="119" t="s">
        <v>119</v>
      </c>
      <c r="G1251" s="119">
        <v>142</v>
      </c>
    </row>
    <row r="1252" spans="1:9">
      <c r="A1252" s="119">
        <v>689</v>
      </c>
      <c r="B1252" s="119" t="s">
        <v>140</v>
      </c>
      <c r="C1252" s="119" t="s">
        <v>193</v>
      </c>
      <c r="D1252" s="119" t="s">
        <v>154</v>
      </c>
      <c r="E1252" s="119">
        <v>800</v>
      </c>
      <c r="F1252" s="119" t="s">
        <v>121</v>
      </c>
      <c r="G1252" s="119">
        <v>142</v>
      </c>
    </row>
    <row r="1253" spans="1:9">
      <c r="A1253" s="119">
        <v>690</v>
      </c>
      <c r="B1253" s="119" t="s">
        <v>140</v>
      </c>
      <c r="C1253" s="119" t="s">
        <v>193</v>
      </c>
      <c r="D1253" s="119" t="s">
        <v>154</v>
      </c>
      <c r="E1253" s="119">
        <v>600</v>
      </c>
      <c r="F1253" s="119" t="s">
        <v>122</v>
      </c>
      <c r="G1253" s="119">
        <v>142</v>
      </c>
    </row>
    <row r="1254" spans="1:9">
      <c r="A1254" s="119">
        <v>691</v>
      </c>
      <c r="B1254" s="119" t="s">
        <v>140</v>
      </c>
      <c r="C1254" s="119" t="s">
        <v>193</v>
      </c>
      <c r="D1254" s="119" t="s">
        <v>154</v>
      </c>
      <c r="E1254" s="119">
        <v>400</v>
      </c>
      <c r="F1254" s="119" t="s">
        <v>123</v>
      </c>
      <c r="G1254" s="119">
        <v>142</v>
      </c>
    </row>
    <row r="1255" spans="1:9">
      <c r="A1255" s="119">
        <v>696</v>
      </c>
      <c r="B1255" s="119" t="s">
        <v>136</v>
      </c>
      <c r="C1255" s="119" t="s">
        <v>193</v>
      </c>
      <c r="D1255" s="119" t="s">
        <v>154</v>
      </c>
      <c r="E1255" s="119">
        <v>150</v>
      </c>
      <c r="F1255" s="119" t="s">
        <v>127</v>
      </c>
      <c r="G1255" s="119">
        <v>142</v>
      </c>
      <c r="I1255" s="119" t="s">
        <v>120</v>
      </c>
    </row>
    <row r="1256" spans="1:9">
      <c r="A1256" s="119">
        <v>698</v>
      </c>
      <c r="B1256" s="119" t="s">
        <v>136</v>
      </c>
      <c r="C1256" s="119" t="s">
        <v>193</v>
      </c>
      <c r="D1256" s="119" t="s">
        <v>154</v>
      </c>
      <c r="E1256" s="119">
        <v>100</v>
      </c>
      <c r="F1256" s="119" t="s">
        <v>129</v>
      </c>
      <c r="G1256" s="119">
        <v>142</v>
      </c>
      <c r="I1256" s="119" t="s">
        <v>120</v>
      </c>
    </row>
    <row r="1257" spans="1:9">
      <c r="A1257" s="119">
        <v>699</v>
      </c>
      <c r="B1257" s="119" t="s">
        <v>136</v>
      </c>
      <c r="C1257" s="119" t="s">
        <v>193</v>
      </c>
      <c r="D1257" s="119" t="s">
        <v>154</v>
      </c>
      <c r="E1257" s="119">
        <v>75</v>
      </c>
      <c r="F1257" s="119" t="s">
        <v>130</v>
      </c>
      <c r="G1257" s="119">
        <v>142</v>
      </c>
      <c r="I1257" s="119" t="s">
        <v>120</v>
      </c>
    </row>
    <row r="1258" spans="1:9">
      <c r="A1258" s="119">
        <v>701</v>
      </c>
      <c r="B1258" s="119" t="s">
        <v>136</v>
      </c>
      <c r="C1258" s="119" t="s">
        <v>193</v>
      </c>
      <c r="D1258" s="119" t="s">
        <v>154</v>
      </c>
      <c r="E1258" s="119">
        <v>50</v>
      </c>
      <c r="F1258" s="119" t="s">
        <v>132</v>
      </c>
      <c r="G1258" s="119">
        <v>142</v>
      </c>
      <c r="I1258" s="119" t="s">
        <v>120</v>
      </c>
    </row>
    <row r="1259" spans="1:9">
      <c r="A1259" s="119">
        <v>702</v>
      </c>
      <c r="B1259" s="119" t="s">
        <v>136</v>
      </c>
      <c r="C1259" s="119" t="s">
        <v>193</v>
      </c>
      <c r="D1259" s="119" t="s">
        <v>154</v>
      </c>
      <c r="E1259" s="119">
        <v>25</v>
      </c>
      <c r="F1259" s="119" t="s">
        <v>135</v>
      </c>
      <c r="G1259" s="119">
        <v>142</v>
      </c>
      <c r="I1259" s="119" t="s">
        <v>120</v>
      </c>
    </row>
    <row r="1260" spans="1:9">
      <c r="A1260" s="119">
        <v>705</v>
      </c>
      <c r="B1260" s="119" t="s">
        <v>136</v>
      </c>
      <c r="C1260" s="119" t="s">
        <v>193</v>
      </c>
      <c r="D1260" s="119" t="s">
        <v>154</v>
      </c>
      <c r="E1260" s="119">
        <v>5</v>
      </c>
      <c r="F1260" s="119" t="s">
        <v>143</v>
      </c>
      <c r="G1260" s="119">
        <v>142</v>
      </c>
      <c r="I1260" s="119" t="s">
        <v>120</v>
      </c>
    </row>
    <row r="1261" spans="1:9">
      <c r="A1261" s="119">
        <v>701</v>
      </c>
      <c r="B1261" s="119" t="s">
        <v>137</v>
      </c>
      <c r="C1261" s="119" t="s">
        <v>193</v>
      </c>
      <c r="D1261" s="119" t="s">
        <v>154</v>
      </c>
      <c r="E1261" s="119">
        <v>50</v>
      </c>
      <c r="F1261" s="119" t="s">
        <v>132</v>
      </c>
      <c r="G1261" s="119">
        <v>142</v>
      </c>
      <c r="I1261" s="119" t="s">
        <v>120</v>
      </c>
    </row>
    <row r="1262" spans="1:9">
      <c r="A1262" s="119">
        <v>702</v>
      </c>
      <c r="B1262" s="119" t="s">
        <v>137</v>
      </c>
      <c r="C1262" s="119" t="s">
        <v>193</v>
      </c>
      <c r="D1262" s="119" t="s">
        <v>154</v>
      </c>
      <c r="E1262" s="119">
        <v>25</v>
      </c>
      <c r="F1262" s="119" t="s">
        <v>135</v>
      </c>
      <c r="G1262" s="119">
        <v>142</v>
      </c>
      <c r="I1262" s="119" t="s">
        <v>120</v>
      </c>
    </row>
    <row r="1263" spans="1:9">
      <c r="A1263" s="119">
        <v>705</v>
      </c>
      <c r="B1263" s="119" t="s">
        <v>137</v>
      </c>
      <c r="C1263" s="119" t="s">
        <v>193</v>
      </c>
      <c r="D1263" s="119" t="s">
        <v>154</v>
      </c>
      <c r="E1263" s="119">
        <v>5</v>
      </c>
      <c r="F1263" s="119" t="s">
        <v>143</v>
      </c>
      <c r="G1263" s="119">
        <v>142</v>
      </c>
      <c r="I1263" s="119" t="s">
        <v>120</v>
      </c>
    </row>
    <row r="1264" spans="1:9">
      <c r="A1264" s="119">
        <v>707</v>
      </c>
      <c r="B1264" s="119" t="s">
        <v>155</v>
      </c>
      <c r="C1264" s="119" t="s">
        <v>193</v>
      </c>
      <c r="D1264" s="119" t="s">
        <v>154</v>
      </c>
      <c r="E1264" s="119">
        <v>5</v>
      </c>
      <c r="F1264" s="119" t="s">
        <v>145</v>
      </c>
      <c r="G1264" s="119">
        <v>142</v>
      </c>
      <c r="I1264" s="119" t="s">
        <v>120</v>
      </c>
    </row>
    <row r="1265" spans="1:9">
      <c r="A1265" s="119">
        <v>705</v>
      </c>
      <c r="B1265" s="119" t="s">
        <v>156</v>
      </c>
      <c r="C1265" s="119" t="s">
        <v>193</v>
      </c>
      <c r="D1265" s="119" t="s">
        <v>154</v>
      </c>
      <c r="E1265" s="119">
        <v>5</v>
      </c>
      <c r="F1265" s="119" t="s">
        <v>143</v>
      </c>
      <c r="G1265" s="119">
        <v>142</v>
      </c>
    </row>
    <row r="1266" spans="1:9">
      <c r="A1266" s="119">
        <v>704</v>
      </c>
      <c r="B1266" s="119" t="s">
        <v>157</v>
      </c>
      <c r="C1266" s="119" t="s">
        <v>193</v>
      </c>
      <c r="D1266" s="119" t="s">
        <v>154</v>
      </c>
      <c r="E1266" s="119">
        <v>5</v>
      </c>
      <c r="F1266" s="119" t="s">
        <v>142</v>
      </c>
      <c r="G1266" s="119">
        <v>142</v>
      </c>
      <c r="I1266" s="119" t="s">
        <v>120</v>
      </c>
    </row>
    <row r="1267" spans="1:9">
      <c r="A1267" s="119">
        <v>706</v>
      </c>
      <c r="B1267" s="119" t="s">
        <v>158</v>
      </c>
      <c r="C1267" s="119" t="s">
        <v>193</v>
      </c>
      <c r="D1267" s="119" t="s">
        <v>154</v>
      </c>
      <c r="E1267" s="119">
        <v>5</v>
      </c>
      <c r="F1267" s="119" t="s">
        <v>144</v>
      </c>
      <c r="G1267" s="119">
        <v>142</v>
      </c>
    </row>
    <row r="1268" spans="1:9">
      <c r="A1268" s="119">
        <v>685</v>
      </c>
      <c r="B1268" s="119" t="s">
        <v>141</v>
      </c>
      <c r="C1268" s="119" t="s">
        <v>193</v>
      </c>
      <c r="D1268" s="119" t="s">
        <v>154</v>
      </c>
      <c r="E1268" s="119">
        <v>2000</v>
      </c>
      <c r="F1268" s="119" t="s">
        <v>133</v>
      </c>
      <c r="G1268" s="119">
        <v>142</v>
      </c>
    </row>
    <row r="1269" spans="1:9">
      <c r="A1269" s="119">
        <v>686</v>
      </c>
      <c r="B1269" s="119" t="s">
        <v>141</v>
      </c>
      <c r="C1269" s="119" t="s">
        <v>193</v>
      </c>
      <c r="D1269" s="119" t="s">
        <v>154</v>
      </c>
      <c r="E1269" s="119">
        <v>1500</v>
      </c>
      <c r="F1269" s="119" t="s">
        <v>117</v>
      </c>
      <c r="G1269" s="119">
        <v>142</v>
      </c>
    </row>
    <row r="1270" spans="1:9">
      <c r="A1270" s="119">
        <v>687</v>
      </c>
      <c r="B1270" s="119" t="s">
        <v>141</v>
      </c>
      <c r="C1270" s="119" t="s">
        <v>193</v>
      </c>
      <c r="D1270" s="119" t="s">
        <v>154</v>
      </c>
      <c r="E1270" s="119">
        <v>1250</v>
      </c>
      <c r="F1270" s="119" t="s">
        <v>118</v>
      </c>
      <c r="G1270" s="119">
        <v>142</v>
      </c>
    </row>
    <row r="1271" spans="1:9">
      <c r="A1271" s="119">
        <v>688</v>
      </c>
      <c r="B1271" s="119" t="s">
        <v>141</v>
      </c>
      <c r="C1271" s="119" t="s">
        <v>193</v>
      </c>
      <c r="D1271" s="119" t="s">
        <v>154</v>
      </c>
      <c r="E1271" s="119">
        <v>1000</v>
      </c>
      <c r="F1271" s="119" t="s">
        <v>119</v>
      </c>
      <c r="G1271" s="119">
        <v>142</v>
      </c>
    </row>
    <row r="1272" spans="1:9">
      <c r="A1272" s="119">
        <v>709</v>
      </c>
      <c r="B1272" s="119" t="s">
        <v>139</v>
      </c>
      <c r="C1272" s="119" t="s">
        <v>194</v>
      </c>
      <c r="D1272" s="119" t="s">
        <v>154</v>
      </c>
      <c r="E1272" s="119">
        <v>300</v>
      </c>
      <c r="F1272" s="119" t="s">
        <v>133</v>
      </c>
      <c r="G1272" s="119">
        <v>147</v>
      </c>
    </row>
    <row r="1273" spans="1:9">
      <c r="A1273" s="119">
        <v>710</v>
      </c>
      <c r="B1273" s="119" t="s">
        <v>139</v>
      </c>
      <c r="C1273" s="119" t="s">
        <v>194</v>
      </c>
      <c r="D1273" s="119" t="s">
        <v>154</v>
      </c>
      <c r="E1273" s="119">
        <v>200</v>
      </c>
      <c r="F1273" s="119" t="s">
        <v>117</v>
      </c>
      <c r="G1273" s="119">
        <v>147</v>
      </c>
    </row>
    <row r="1274" spans="1:9">
      <c r="A1274" s="119">
        <v>712</v>
      </c>
      <c r="B1274" s="119" t="s">
        <v>139</v>
      </c>
      <c r="C1274" s="119" t="s">
        <v>194</v>
      </c>
      <c r="D1274" s="119" t="s">
        <v>154</v>
      </c>
      <c r="E1274" s="119">
        <v>150</v>
      </c>
      <c r="F1274" s="119" t="s">
        <v>119</v>
      </c>
      <c r="G1274" s="119">
        <v>147</v>
      </c>
    </row>
    <row r="1275" spans="1:9">
      <c r="A1275" s="119">
        <v>713</v>
      </c>
      <c r="B1275" s="119" t="s">
        <v>139</v>
      </c>
      <c r="C1275" s="119" t="s">
        <v>194</v>
      </c>
      <c r="D1275" s="119" t="s">
        <v>154</v>
      </c>
      <c r="E1275" s="119">
        <v>125</v>
      </c>
      <c r="F1275" s="119" t="s">
        <v>121</v>
      </c>
      <c r="G1275" s="119">
        <v>147</v>
      </c>
      <c r="I1275" s="119" t="s">
        <v>120</v>
      </c>
    </row>
    <row r="1276" spans="1:9">
      <c r="A1276" s="119">
        <v>716</v>
      </c>
      <c r="B1276" s="119" t="s">
        <v>139</v>
      </c>
      <c r="C1276" s="119" t="s">
        <v>194</v>
      </c>
      <c r="D1276" s="119" t="s">
        <v>154</v>
      </c>
      <c r="E1276" s="119">
        <v>100</v>
      </c>
      <c r="F1276" s="119" t="s">
        <v>124</v>
      </c>
      <c r="G1276" s="119">
        <v>147</v>
      </c>
    </row>
    <row r="1277" spans="1:9">
      <c r="A1277" s="119">
        <v>717</v>
      </c>
      <c r="B1277" s="119" t="s">
        <v>139</v>
      </c>
      <c r="C1277" s="119" t="s">
        <v>194</v>
      </c>
      <c r="D1277" s="119" t="s">
        <v>154</v>
      </c>
      <c r="E1277" s="119">
        <v>75</v>
      </c>
      <c r="F1277" s="119" t="s">
        <v>125</v>
      </c>
      <c r="G1277" s="119">
        <v>147</v>
      </c>
    </row>
    <row r="1278" spans="1:9">
      <c r="A1278" s="119">
        <v>720</v>
      </c>
      <c r="B1278" s="119" t="s">
        <v>139</v>
      </c>
      <c r="C1278" s="119" t="s">
        <v>194</v>
      </c>
      <c r="D1278" s="119" t="s">
        <v>154</v>
      </c>
      <c r="E1278" s="119">
        <v>50</v>
      </c>
      <c r="F1278" s="119" t="s">
        <v>127</v>
      </c>
      <c r="G1278" s="119">
        <v>147</v>
      </c>
    </row>
    <row r="1279" spans="1:9">
      <c r="A1279" s="119">
        <v>722</v>
      </c>
      <c r="B1279" s="119" t="s">
        <v>139</v>
      </c>
      <c r="C1279" s="119" t="s">
        <v>194</v>
      </c>
      <c r="D1279" s="119" t="s">
        <v>154</v>
      </c>
      <c r="E1279" s="119">
        <v>25</v>
      </c>
      <c r="F1279" s="119" t="s">
        <v>129</v>
      </c>
      <c r="G1279" s="119">
        <v>147</v>
      </c>
    </row>
    <row r="1280" spans="1:9">
      <c r="A1280" s="119">
        <v>728</v>
      </c>
      <c r="B1280" s="119" t="s">
        <v>139</v>
      </c>
      <c r="C1280" s="119" t="s">
        <v>194</v>
      </c>
      <c r="D1280" s="119" t="s">
        <v>154</v>
      </c>
      <c r="E1280" s="119">
        <v>5</v>
      </c>
      <c r="F1280" s="119" t="s">
        <v>142</v>
      </c>
      <c r="G1280" s="119">
        <v>147</v>
      </c>
    </row>
    <row r="1281" spans="1:9">
      <c r="A1281" s="119">
        <v>712</v>
      </c>
      <c r="B1281" s="119" t="s">
        <v>136</v>
      </c>
      <c r="C1281" s="119" t="s">
        <v>194</v>
      </c>
      <c r="D1281" s="119" t="s">
        <v>154</v>
      </c>
      <c r="E1281" s="119">
        <v>150</v>
      </c>
      <c r="F1281" s="119" t="s">
        <v>119</v>
      </c>
      <c r="G1281" s="119">
        <v>147</v>
      </c>
      <c r="I1281" s="119" t="s">
        <v>120</v>
      </c>
    </row>
    <row r="1282" spans="1:9">
      <c r="A1282" s="119">
        <v>716</v>
      </c>
      <c r="B1282" s="119" t="s">
        <v>136</v>
      </c>
      <c r="C1282" s="119" t="s">
        <v>194</v>
      </c>
      <c r="D1282" s="119" t="s">
        <v>154</v>
      </c>
      <c r="E1282" s="119">
        <v>100</v>
      </c>
      <c r="F1282" s="119" t="s">
        <v>124</v>
      </c>
      <c r="G1282" s="119">
        <v>147</v>
      </c>
      <c r="I1282" s="119" t="s">
        <v>120</v>
      </c>
    </row>
    <row r="1283" spans="1:9">
      <c r="A1283" s="119">
        <v>717</v>
      </c>
      <c r="B1283" s="119" t="s">
        <v>136</v>
      </c>
      <c r="C1283" s="119" t="s">
        <v>194</v>
      </c>
      <c r="D1283" s="119" t="s">
        <v>154</v>
      </c>
      <c r="E1283" s="119">
        <v>75</v>
      </c>
      <c r="F1283" s="119" t="s">
        <v>125</v>
      </c>
      <c r="G1283" s="119">
        <v>147</v>
      </c>
      <c r="I1283" s="119" t="s">
        <v>120</v>
      </c>
    </row>
    <row r="1284" spans="1:9">
      <c r="A1284" s="119">
        <v>720</v>
      </c>
      <c r="B1284" s="119" t="s">
        <v>136</v>
      </c>
      <c r="C1284" s="119" t="s">
        <v>194</v>
      </c>
      <c r="D1284" s="119" t="s">
        <v>154</v>
      </c>
      <c r="E1284" s="119">
        <v>50</v>
      </c>
      <c r="F1284" s="119" t="s">
        <v>127</v>
      </c>
      <c r="G1284" s="119">
        <v>147</v>
      </c>
      <c r="I1284" s="119" t="s">
        <v>120</v>
      </c>
    </row>
    <row r="1285" spans="1:9">
      <c r="A1285" s="119">
        <v>722</v>
      </c>
      <c r="B1285" s="119" t="s">
        <v>136</v>
      </c>
      <c r="C1285" s="119" t="s">
        <v>194</v>
      </c>
      <c r="D1285" s="119" t="s">
        <v>154</v>
      </c>
      <c r="E1285" s="119">
        <v>25</v>
      </c>
      <c r="F1285" s="119" t="s">
        <v>129</v>
      </c>
      <c r="G1285" s="119">
        <v>147</v>
      </c>
      <c r="I1285" s="119" t="s">
        <v>120</v>
      </c>
    </row>
    <row r="1286" spans="1:9">
      <c r="A1286" s="119">
        <v>728</v>
      </c>
      <c r="B1286" s="119" t="s">
        <v>136</v>
      </c>
      <c r="C1286" s="119" t="s">
        <v>194</v>
      </c>
      <c r="D1286" s="119" t="s">
        <v>154</v>
      </c>
      <c r="E1286" s="119">
        <v>5</v>
      </c>
      <c r="F1286" s="119" t="s">
        <v>142</v>
      </c>
      <c r="G1286" s="119">
        <v>147</v>
      </c>
      <c r="I1286" s="119" t="s">
        <v>120</v>
      </c>
    </row>
    <row r="1287" spans="1:9">
      <c r="A1287" s="119">
        <v>720</v>
      </c>
      <c r="B1287" s="119" t="s">
        <v>137</v>
      </c>
      <c r="C1287" s="119" t="s">
        <v>194</v>
      </c>
      <c r="D1287" s="119" t="s">
        <v>154</v>
      </c>
      <c r="E1287" s="119">
        <v>50</v>
      </c>
      <c r="F1287" s="119" t="s">
        <v>127</v>
      </c>
      <c r="G1287" s="119">
        <v>147</v>
      </c>
      <c r="I1287" s="119" t="s">
        <v>120</v>
      </c>
    </row>
    <row r="1288" spans="1:9">
      <c r="A1288" s="119">
        <v>722</v>
      </c>
      <c r="B1288" s="119" t="s">
        <v>137</v>
      </c>
      <c r="C1288" s="119" t="s">
        <v>194</v>
      </c>
      <c r="D1288" s="119" t="s">
        <v>154</v>
      </c>
      <c r="E1288" s="119">
        <v>25</v>
      </c>
      <c r="F1288" s="119" t="s">
        <v>129</v>
      </c>
      <c r="G1288" s="119">
        <v>147</v>
      </c>
      <c r="I1288" s="119" t="s">
        <v>120</v>
      </c>
    </row>
    <row r="1289" spans="1:9">
      <c r="A1289" s="119">
        <v>728</v>
      </c>
      <c r="B1289" s="119" t="s">
        <v>137</v>
      </c>
      <c r="C1289" s="119" t="s">
        <v>194</v>
      </c>
      <c r="D1289" s="119" t="s">
        <v>154</v>
      </c>
      <c r="E1289" s="119">
        <v>5</v>
      </c>
      <c r="F1289" s="119" t="s">
        <v>142</v>
      </c>
      <c r="G1289" s="119">
        <v>147</v>
      </c>
      <c r="I1289" s="119" t="s">
        <v>120</v>
      </c>
    </row>
    <row r="1290" spans="1:9">
      <c r="A1290" s="119">
        <v>724</v>
      </c>
      <c r="B1290" s="119" t="s">
        <v>155</v>
      </c>
      <c r="C1290" s="119" t="s">
        <v>194</v>
      </c>
      <c r="D1290" s="119" t="s">
        <v>154</v>
      </c>
      <c r="E1290" s="119">
        <v>5</v>
      </c>
      <c r="F1290" s="119" t="s">
        <v>131</v>
      </c>
      <c r="G1290" s="119">
        <v>147</v>
      </c>
      <c r="I1290" s="119" t="s">
        <v>120</v>
      </c>
    </row>
    <row r="1291" spans="1:9">
      <c r="A1291" s="119">
        <v>728</v>
      </c>
      <c r="B1291" s="119" t="s">
        <v>156</v>
      </c>
      <c r="C1291" s="119" t="s">
        <v>194</v>
      </c>
      <c r="D1291" s="119" t="s">
        <v>154</v>
      </c>
      <c r="E1291" s="119">
        <v>5</v>
      </c>
      <c r="F1291" s="119" t="s">
        <v>142</v>
      </c>
      <c r="G1291" s="119">
        <v>147</v>
      </c>
      <c r="I1291" s="119" t="s">
        <v>120</v>
      </c>
    </row>
    <row r="1292" spans="1:9">
      <c r="A1292" s="119">
        <v>727</v>
      </c>
      <c r="B1292" s="119" t="s">
        <v>157</v>
      </c>
      <c r="C1292" s="119" t="s">
        <v>194</v>
      </c>
      <c r="D1292" s="119" t="s">
        <v>154</v>
      </c>
      <c r="E1292" s="119">
        <v>5</v>
      </c>
      <c r="F1292" s="119" t="s">
        <v>138</v>
      </c>
      <c r="G1292" s="119">
        <v>147</v>
      </c>
      <c r="I1292" s="119" t="s">
        <v>120</v>
      </c>
    </row>
    <row r="1293" spans="1:9">
      <c r="A1293" s="119">
        <v>726</v>
      </c>
      <c r="B1293" s="119" t="s">
        <v>158</v>
      </c>
      <c r="C1293" s="119" t="s">
        <v>194</v>
      </c>
      <c r="D1293" s="119" t="s">
        <v>154</v>
      </c>
      <c r="E1293" s="119">
        <v>5</v>
      </c>
      <c r="F1293" s="119" t="s">
        <v>135</v>
      </c>
      <c r="G1293" s="119">
        <v>147</v>
      </c>
    </row>
    <row r="1294" spans="1:9">
      <c r="A1294" s="119">
        <v>711</v>
      </c>
      <c r="B1294" s="119" t="s">
        <v>159</v>
      </c>
      <c r="C1294" s="119" t="s">
        <v>194</v>
      </c>
      <c r="D1294" s="119" t="s">
        <v>154</v>
      </c>
      <c r="E1294" s="119">
        <v>150</v>
      </c>
      <c r="F1294" s="119" t="s">
        <v>118</v>
      </c>
      <c r="G1294" s="119">
        <v>147</v>
      </c>
      <c r="I1294" s="119" t="s">
        <v>120</v>
      </c>
    </row>
    <row r="1295" spans="1:9">
      <c r="A1295" s="119">
        <v>715</v>
      </c>
      <c r="B1295" s="119" t="s">
        <v>159</v>
      </c>
      <c r="C1295" s="119" t="s">
        <v>194</v>
      </c>
      <c r="D1295" s="119" t="s">
        <v>154</v>
      </c>
      <c r="E1295" s="119">
        <v>100</v>
      </c>
      <c r="F1295" s="119" t="s">
        <v>123</v>
      </c>
      <c r="G1295" s="119">
        <v>147</v>
      </c>
      <c r="I1295" s="119" t="s">
        <v>120</v>
      </c>
    </row>
    <row r="1296" spans="1:9">
      <c r="A1296" s="119">
        <v>719</v>
      </c>
      <c r="B1296" s="119" t="s">
        <v>159</v>
      </c>
      <c r="C1296" s="119" t="s">
        <v>194</v>
      </c>
      <c r="D1296" s="119" t="s">
        <v>154</v>
      </c>
      <c r="E1296" s="119">
        <v>50</v>
      </c>
      <c r="F1296" s="119" t="s">
        <v>126</v>
      </c>
      <c r="G1296" s="119">
        <v>147</v>
      </c>
      <c r="I1296" s="119" t="s">
        <v>120</v>
      </c>
    </row>
    <row r="1297" spans="1:9">
      <c r="A1297" s="119">
        <v>721</v>
      </c>
      <c r="B1297" s="119" t="s">
        <v>159</v>
      </c>
      <c r="C1297" s="119" t="s">
        <v>194</v>
      </c>
      <c r="D1297" s="119" t="s">
        <v>154</v>
      </c>
      <c r="E1297" s="119">
        <v>25</v>
      </c>
      <c r="F1297" s="119" t="s">
        <v>128</v>
      </c>
      <c r="G1297" s="119">
        <v>147</v>
      </c>
      <c r="I1297" s="119" t="s">
        <v>120</v>
      </c>
    </row>
    <row r="1298" spans="1:9">
      <c r="A1298" s="119">
        <v>729</v>
      </c>
      <c r="B1298" s="119" t="s">
        <v>159</v>
      </c>
      <c r="C1298" s="119" t="s">
        <v>194</v>
      </c>
      <c r="D1298" s="119" t="s">
        <v>154</v>
      </c>
      <c r="E1298" s="119">
        <v>5</v>
      </c>
      <c r="F1298" s="119" t="s">
        <v>143</v>
      </c>
      <c r="G1298" s="119">
        <v>147</v>
      </c>
      <c r="I1298" s="119" t="s">
        <v>120</v>
      </c>
    </row>
    <row r="1299" spans="1:9">
      <c r="A1299" s="119">
        <v>714</v>
      </c>
      <c r="B1299" s="119" t="s">
        <v>160</v>
      </c>
      <c r="C1299" s="119" t="s">
        <v>194</v>
      </c>
      <c r="D1299" s="119" t="s">
        <v>154</v>
      </c>
      <c r="E1299" s="119">
        <v>100</v>
      </c>
      <c r="F1299" s="119" t="s">
        <v>122</v>
      </c>
      <c r="G1299" s="119">
        <v>147</v>
      </c>
      <c r="I1299" s="119" t="s">
        <v>120</v>
      </c>
    </row>
    <row r="1300" spans="1:9">
      <c r="A1300" s="119">
        <v>718</v>
      </c>
      <c r="B1300" s="119" t="s">
        <v>160</v>
      </c>
      <c r="C1300" s="119" t="s">
        <v>194</v>
      </c>
      <c r="D1300" s="119" t="s">
        <v>154</v>
      </c>
      <c r="E1300" s="119">
        <v>50</v>
      </c>
      <c r="F1300" s="119" t="s">
        <v>134</v>
      </c>
      <c r="G1300" s="119">
        <v>147</v>
      </c>
      <c r="I1300" s="119" t="s">
        <v>120</v>
      </c>
    </row>
    <row r="1301" spans="1:9">
      <c r="A1301" s="119">
        <v>723</v>
      </c>
      <c r="B1301" s="119" t="s">
        <v>160</v>
      </c>
      <c r="C1301" s="119" t="s">
        <v>194</v>
      </c>
      <c r="D1301" s="119" t="s">
        <v>154</v>
      </c>
      <c r="E1301" s="119">
        <v>25</v>
      </c>
      <c r="F1301" s="119" t="s">
        <v>130</v>
      </c>
      <c r="G1301" s="119">
        <v>147</v>
      </c>
      <c r="I1301" s="119" t="s">
        <v>120</v>
      </c>
    </row>
    <row r="1302" spans="1:9">
      <c r="A1302" s="119">
        <v>725</v>
      </c>
      <c r="B1302" s="119" t="s">
        <v>160</v>
      </c>
      <c r="C1302" s="119" t="s">
        <v>194</v>
      </c>
      <c r="D1302" s="119" t="s">
        <v>154</v>
      </c>
      <c r="E1302" s="119">
        <v>5</v>
      </c>
      <c r="F1302" s="119" t="s">
        <v>132</v>
      </c>
      <c r="G1302" s="119">
        <v>147</v>
      </c>
      <c r="I1302" s="119" t="s">
        <v>120</v>
      </c>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FE7F4-782E-4447-B9ED-29D5E66B5F64}">
  <dimension ref="A1:AB983"/>
  <sheetViews>
    <sheetView topLeftCell="A241" zoomScale="110" zoomScaleNormal="110" workbookViewId="0">
      <selection activeCell="L230" sqref="L230"/>
    </sheetView>
  </sheetViews>
  <sheetFormatPr defaultColWidth="9.1796875" defaultRowHeight="12.5"/>
  <cols>
    <col min="1" max="1" width="5.54296875" style="192" customWidth="1"/>
    <col min="2" max="2" width="5.1796875" style="192" customWidth="1"/>
    <col min="3" max="3" width="10.26953125" style="192" customWidth="1"/>
    <col min="4" max="4" width="8.7265625" style="182" customWidth="1"/>
    <col min="5" max="5" width="8.54296875" style="182" customWidth="1"/>
    <col min="6" max="6" width="9" style="182" customWidth="1"/>
    <col min="7" max="7" width="8.1796875" style="182" customWidth="1"/>
    <col min="8" max="8" width="6.1796875" style="182" customWidth="1"/>
    <col min="9" max="9" width="6" style="182" customWidth="1"/>
    <col min="10" max="10" width="7" style="177" customWidth="1"/>
    <col min="11" max="11" width="8.7265625" style="182" customWidth="1"/>
    <col min="12" max="12" width="7.7265625" style="163" customWidth="1"/>
    <col min="13" max="13" width="2.7265625" style="182" customWidth="1"/>
    <col min="14" max="14" width="6.26953125" style="177" customWidth="1"/>
    <col min="15" max="15" width="3" style="182" customWidth="1"/>
    <col min="16" max="16" width="6" style="182" customWidth="1"/>
    <col min="17" max="17" width="2.7265625" style="182" customWidth="1"/>
    <col min="18" max="18" width="6" style="182" customWidth="1"/>
    <col min="19" max="19" width="2.7265625" style="182" customWidth="1"/>
    <col min="20" max="20" width="6" style="182" customWidth="1"/>
    <col min="21" max="21" width="2.7265625" style="182" customWidth="1"/>
    <col min="22" max="22" width="6" style="182" customWidth="1"/>
    <col min="23" max="23" width="2.7265625" style="181" customWidth="1"/>
    <col min="24" max="24" width="3.26953125" style="182" customWidth="1"/>
    <col min="25" max="16384" width="9.1796875" style="182"/>
  </cols>
  <sheetData>
    <row r="1" spans="1:28" s="159" customFormat="1" ht="13">
      <c r="A1" s="149"/>
      <c r="B1" s="150"/>
      <c r="C1" s="149"/>
      <c r="D1" s="151"/>
      <c r="E1" s="152"/>
      <c r="F1" s="152"/>
      <c r="G1" s="152"/>
      <c r="H1" s="153"/>
      <c r="I1" s="154"/>
      <c r="J1" s="152"/>
      <c r="K1" s="151"/>
      <c r="L1" s="155"/>
      <c r="M1" s="156"/>
      <c r="N1" s="156"/>
      <c r="O1" s="157"/>
      <c r="P1" s="157"/>
      <c r="Q1" s="151"/>
      <c r="R1" s="151"/>
      <c r="S1" s="151"/>
      <c r="T1" s="151"/>
      <c r="U1" s="155"/>
      <c r="V1" s="155"/>
      <c r="W1" s="158"/>
      <c r="X1" s="152"/>
      <c r="Y1" s="151"/>
      <c r="Z1" s="151"/>
      <c r="AA1" s="151"/>
    </row>
    <row r="2" spans="1:28" s="159" customFormat="1" ht="14.5">
      <c r="A2" s="119" t="s">
        <v>114</v>
      </c>
      <c r="B2" s="119" t="s">
        <v>16</v>
      </c>
      <c r="C2" s="119" t="s">
        <v>195</v>
      </c>
      <c r="D2" s="119" t="s">
        <v>196</v>
      </c>
      <c r="E2" s="119" t="s">
        <v>4</v>
      </c>
      <c r="F2" s="119" t="s">
        <v>197</v>
      </c>
      <c r="G2" s="119" t="s">
        <v>198</v>
      </c>
      <c r="H2" s="119" t="s">
        <v>199</v>
      </c>
      <c r="I2" s="119" t="s">
        <v>200</v>
      </c>
      <c r="J2" s="119" t="s">
        <v>201</v>
      </c>
      <c r="K2" s="119" t="s">
        <v>202</v>
      </c>
      <c r="L2" s="119" t="s">
        <v>203</v>
      </c>
      <c r="M2" s="119" t="s">
        <v>204</v>
      </c>
      <c r="N2" s="119" t="s">
        <v>205</v>
      </c>
      <c r="O2" s="157"/>
      <c r="P2" s="157"/>
      <c r="Q2" s="151"/>
      <c r="R2" s="151"/>
      <c r="S2" s="151"/>
      <c r="T2" s="151"/>
      <c r="U2" s="155"/>
      <c r="V2" s="155"/>
      <c r="W2" s="158"/>
      <c r="X2" s="152"/>
      <c r="Y2" s="151"/>
      <c r="Z2" s="151"/>
      <c r="AA2" s="151"/>
    </row>
    <row r="3" spans="1:28" s="159" customFormat="1" ht="14.5">
      <c r="A3" s="119">
        <v>8</v>
      </c>
      <c r="B3" s="119" t="s">
        <v>153</v>
      </c>
      <c r="C3" s="119">
        <v>1</v>
      </c>
      <c r="D3" s="119">
        <v>1</v>
      </c>
      <c r="E3" s="119">
        <v>1</v>
      </c>
      <c r="F3" s="119">
        <v>1.524</v>
      </c>
      <c r="G3" s="119">
        <v>301</v>
      </c>
      <c r="H3" s="119">
        <v>297.60000000000002</v>
      </c>
      <c r="I3" s="119">
        <v>4.8090000000000002</v>
      </c>
      <c r="J3" s="119">
        <v>3.2469000000000001</v>
      </c>
      <c r="K3" s="119">
        <v>66</v>
      </c>
      <c r="L3" s="119">
        <v>0.09</v>
      </c>
      <c r="M3" s="119">
        <v>33.896599999999999</v>
      </c>
      <c r="N3" s="119">
        <v>7.07</v>
      </c>
      <c r="O3" s="157"/>
      <c r="P3" s="157"/>
      <c r="Q3" s="151"/>
      <c r="R3" s="151"/>
      <c r="S3" s="151"/>
      <c r="T3" s="151"/>
      <c r="U3" s="155"/>
      <c r="V3" s="155"/>
      <c r="W3" s="158"/>
      <c r="X3" s="152"/>
      <c r="Y3" s="151"/>
      <c r="Z3" s="151"/>
      <c r="AA3" s="151"/>
    </row>
    <row r="4" spans="1:28" s="159" customFormat="1" ht="14.5">
      <c r="A4" s="119">
        <v>8</v>
      </c>
      <c r="B4" s="119" t="s">
        <v>153</v>
      </c>
      <c r="C4" s="119">
        <v>2</v>
      </c>
      <c r="D4" s="119">
        <v>2</v>
      </c>
      <c r="E4" s="119">
        <v>2</v>
      </c>
      <c r="F4" s="119">
        <v>2.6469999999999998</v>
      </c>
      <c r="G4" s="119">
        <v>201.6</v>
      </c>
      <c r="H4" s="119">
        <v>199.2</v>
      </c>
      <c r="I4" s="119">
        <v>5.4337999999999997</v>
      </c>
      <c r="J4" s="119">
        <v>3.2873000000000001</v>
      </c>
      <c r="K4" s="119">
        <v>65.900000000000006</v>
      </c>
      <c r="L4" s="119">
        <v>0.09</v>
      </c>
      <c r="M4" s="119">
        <v>33.778500000000001</v>
      </c>
      <c r="N4" s="119">
        <v>7.17</v>
      </c>
      <c r="O4" s="157"/>
      <c r="P4" s="157"/>
      <c r="Q4" s="151"/>
      <c r="R4" s="151"/>
      <c r="S4" s="151"/>
      <c r="T4" s="151"/>
      <c r="U4" s="155"/>
      <c r="V4" s="155"/>
      <c r="W4" s="158"/>
      <c r="X4" s="152"/>
      <c r="Y4" s="151"/>
      <c r="Z4" s="151"/>
      <c r="AA4" s="151"/>
    </row>
    <row r="5" spans="1:28" s="159" customFormat="1" ht="14.5">
      <c r="A5" s="119">
        <v>8</v>
      </c>
      <c r="B5" s="119" t="s">
        <v>153</v>
      </c>
      <c r="C5" s="119">
        <v>3</v>
      </c>
      <c r="D5" s="119">
        <v>3</v>
      </c>
      <c r="E5" s="119">
        <v>3</v>
      </c>
      <c r="F5" s="119">
        <v>3.6110000000000002</v>
      </c>
      <c r="G5" s="119">
        <v>152.30000000000001</v>
      </c>
      <c r="H5" s="119">
        <v>150.4</v>
      </c>
      <c r="I5" s="119">
        <v>5.9318</v>
      </c>
      <c r="J5" s="119">
        <v>3.3129</v>
      </c>
      <c r="K5" s="119">
        <v>65.900000000000006</v>
      </c>
      <c r="L5" s="119">
        <v>0.09</v>
      </c>
      <c r="M5" s="119">
        <v>33.596499999999999</v>
      </c>
      <c r="N5" s="119">
        <v>7.26</v>
      </c>
      <c r="O5" s="157"/>
      <c r="P5" s="157"/>
      <c r="Q5" s="151"/>
      <c r="R5" s="151"/>
      <c r="S5" s="151"/>
      <c r="T5" s="151"/>
      <c r="U5" s="155"/>
      <c r="V5" s="155"/>
      <c r="W5" s="158"/>
      <c r="X5" s="152"/>
      <c r="Y5" s="151"/>
      <c r="Z5" s="151"/>
      <c r="AA5" s="151"/>
    </row>
    <row r="6" spans="1:28" s="159" customFormat="1" ht="14.5">
      <c r="A6" s="119">
        <v>8</v>
      </c>
      <c r="B6" s="119" t="s">
        <v>153</v>
      </c>
      <c r="C6" s="119">
        <v>4</v>
      </c>
      <c r="D6" s="119">
        <v>4</v>
      </c>
      <c r="E6" s="119">
        <v>4</v>
      </c>
      <c r="F6" s="119">
        <v>3.613</v>
      </c>
      <c r="G6" s="119">
        <v>152.1</v>
      </c>
      <c r="H6" s="119">
        <v>150.19999999999999</v>
      </c>
      <c r="I6" s="119">
        <v>5.9297000000000004</v>
      </c>
      <c r="J6" s="119">
        <v>3.3130000000000002</v>
      </c>
      <c r="K6" s="119">
        <v>65.900000000000006</v>
      </c>
      <c r="L6" s="119">
        <v>0.09</v>
      </c>
      <c r="M6" s="119">
        <v>33.5989</v>
      </c>
      <c r="N6" s="119">
        <v>7.26</v>
      </c>
      <c r="O6" s="157"/>
      <c r="P6" s="157"/>
      <c r="Q6" s="151"/>
      <c r="R6" s="151"/>
      <c r="S6" s="151"/>
      <c r="T6" s="151"/>
      <c r="U6" s="155"/>
      <c r="V6" s="155"/>
      <c r="W6" s="158"/>
      <c r="X6" s="152"/>
      <c r="Y6" s="151"/>
      <c r="Z6" s="151"/>
      <c r="AA6" s="151"/>
    </row>
    <row r="7" spans="1:28" s="159" customFormat="1" ht="14.5">
      <c r="A7" s="119">
        <v>8</v>
      </c>
      <c r="B7" s="119" t="s">
        <v>153</v>
      </c>
      <c r="C7" s="119">
        <v>5</v>
      </c>
      <c r="D7" s="119">
        <v>5</v>
      </c>
      <c r="E7" s="119">
        <v>5</v>
      </c>
      <c r="F7" s="119">
        <v>4.8769999999999998</v>
      </c>
      <c r="G7" s="119">
        <v>125.6</v>
      </c>
      <c r="H7" s="119">
        <v>123.9</v>
      </c>
      <c r="I7" s="119">
        <v>6.0693999999999999</v>
      </c>
      <c r="J7" s="119">
        <v>3.2831000000000001</v>
      </c>
      <c r="K7" s="119">
        <v>65.900000000000006</v>
      </c>
      <c r="L7" s="119">
        <v>0.09</v>
      </c>
      <c r="M7" s="119">
        <v>33.139099999999999</v>
      </c>
      <c r="N7" s="119">
        <v>7.37</v>
      </c>
      <c r="O7" s="157"/>
      <c r="P7" s="157"/>
      <c r="Q7" s="162"/>
      <c r="R7" s="162"/>
      <c r="S7" s="162"/>
      <c r="T7" s="162"/>
      <c r="U7" s="163"/>
      <c r="V7" s="163"/>
      <c r="W7" s="158"/>
      <c r="X7" s="152"/>
      <c r="Y7" s="151"/>
    </row>
    <row r="8" spans="1:28" s="159" customFormat="1" ht="14.5">
      <c r="A8" s="119">
        <v>8</v>
      </c>
      <c r="B8" s="119" t="s">
        <v>153</v>
      </c>
      <c r="C8" s="119">
        <v>6</v>
      </c>
      <c r="D8" s="119">
        <v>6</v>
      </c>
      <c r="E8" s="119">
        <v>6</v>
      </c>
      <c r="F8" s="119">
        <v>6.8280000000000003</v>
      </c>
      <c r="G8" s="119">
        <v>101.3</v>
      </c>
      <c r="H8" s="119">
        <v>99.8</v>
      </c>
      <c r="I8" s="119">
        <v>6.6844000000000001</v>
      </c>
      <c r="J8" s="119">
        <v>3.2618999999999998</v>
      </c>
      <c r="K8" s="119">
        <v>62.9</v>
      </c>
      <c r="L8" s="119">
        <v>0.18</v>
      </c>
      <c r="M8" s="119">
        <v>32.325899999999997</v>
      </c>
      <c r="N8" s="119">
        <v>7.55</v>
      </c>
      <c r="O8" s="157"/>
      <c r="P8" s="157"/>
      <c r="Q8" s="162"/>
      <c r="R8" s="162"/>
      <c r="S8" s="162"/>
      <c r="T8" s="162"/>
      <c r="U8" s="163"/>
      <c r="V8" s="163"/>
      <c r="W8" s="158"/>
      <c r="X8" s="152"/>
      <c r="Y8" s="151"/>
    </row>
    <row r="9" spans="1:28" s="159" customFormat="1" ht="14.5">
      <c r="A9" s="119">
        <v>8</v>
      </c>
      <c r="B9" s="119" t="s">
        <v>153</v>
      </c>
      <c r="C9" s="119">
        <v>7</v>
      </c>
      <c r="D9" s="119">
        <v>7</v>
      </c>
      <c r="E9" s="119">
        <v>7</v>
      </c>
      <c r="F9" s="119">
        <v>6.8239999999999998</v>
      </c>
      <c r="G9" s="119">
        <v>101.5</v>
      </c>
      <c r="H9" s="119">
        <v>100</v>
      </c>
      <c r="I9" s="119">
        <v>6.6845999999999997</v>
      </c>
      <c r="J9" s="119">
        <v>3.2618999999999998</v>
      </c>
      <c r="K9" s="119">
        <v>62.9</v>
      </c>
      <c r="L9" s="119">
        <v>0.18</v>
      </c>
      <c r="M9" s="119">
        <v>32.325699999999998</v>
      </c>
      <c r="N9" s="119">
        <v>7.55</v>
      </c>
      <c r="O9" s="157"/>
      <c r="P9" s="157"/>
      <c r="Q9" s="162"/>
      <c r="R9" s="162"/>
      <c r="S9" s="162"/>
      <c r="T9" s="162"/>
      <c r="U9" s="163"/>
      <c r="V9" s="163"/>
      <c r="W9" s="158"/>
      <c r="X9" s="152"/>
      <c r="Y9" s="151"/>
    </row>
    <row r="10" spans="1:28" s="159" customFormat="1" ht="14.5">
      <c r="A10" s="119">
        <v>8</v>
      </c>
      <c r="B10" s="119" t="s">
        <v>153</v>
      </c>
      <c r="C10" s="119">
        <v>8</v>
      </c>
      <c r="D10" s="119">
        <v>8</v>
      </c>
      <c r="E10" s="119">
        <v>8</v>
      </c>
      <c r="F10" s="119">
        <v>6.8330000000000002</v>
      </c>
      <c r="G10" s="119">
        <v>101.2</v>
      </c>
      <c r="H10" s="119">
        <v>99.7</v>
      </c>
      <c r="I10" s="119">
        <v>6.6848000000000001</v>
      </c>
      <c r="J10" s="119">
        <v>3.2618999999999998</v>
      </c>
      <c r="K10" s="119">
        <v>62.9</v>
      </c>
      <c r="L10" s="119">
        <v>0.19</v>
      </c>
      <c r="M10" s="119">
        <v>32.325600000000001</v>
      </c>
      <c r="N10" s="119">
        <v>7.55</v>
      </c>
      <c r="O10" s="165"/>
      <c r="P10" s="165"/>
      <c r="Q10" s="167"/>
      <c r="R10" s="167"/>
      <c r="S10" s="167"/>
      <c r="T10" s="167"/>
      <c r="U10" s="170"/>
      <c r="V10" s="170"/>
      <c r="W10" s="172"/>
      <c r="X10" s="168"/>
      <c r="Y10" s="167"/>
    </row>
    <row r="11" spans="1:28" s="159" customFormat="1" ht="14.5">
      <c r="A11" s="119">
        <v>8</v>
      </c>
      <c r="B11" s="119" t="s">
        <v>153</v>
      </c>
      <c r="C11" s="119">
        <v>9</v>
      </c>
      <c r="D11" s="119">
        <v>9</v>
      </c>
      <c r="E11" s="119">
        <v>9</v>
      </c>
      <c r="F11" s="119">
        <v>6.8479999999999999</v>
      </c>
      <c r="G11" s="119">
        <v>76</v>
      </c>
      <c r="H11" s="119">
        <v>74.7</v>
      </c>
      <c r="I11" s="119">
        <v>6.6867999999999999</v>
      </c>
      <c r="J11" s="119">
        <v>3.2606999999999999</v>
      </c>
      <c r="K11" s="119">
        <v>62.6</v>
      </c>
      <c r="L11" s="119">
        <v>0.19</v>
      </c>
      <c r="M11" s="119">
        <v>32.322800000000001</v>
      </c>
      <c r="N11" s="119">
        <v>7.55</v>
      </c>
      <c r="O11" s="165"/>
      <c r="P11" s="165"/>
      <c r="Q11" s="167"/>
      <c r="R11" s="167"/>
      <c r="S11" s="167"/>
      <c r="T11" s="167"/>
      <c r="U11" s="170"/>
      <c r="V11" s="170"/>
      <c r="W11" s="172"/>
      <c r="X11" s="168"/>
      <c r="Y11" s="167"/>
    </row>
    <row r="12" spans="1:28" s="159" customFormat="1" ht="14.5">
      <c r="A12" s="119">
        <v>8</v>
      </c>
      <c r="B12" s="119" t="s">
        <v>153</v>
      </c>
      <c r="C12" s="119">
        <v>10</v>
      </c>
      <c r="D12" s="119">
        <v>10</v>
      </c>
      <c r="E12" s="119">
        <v>10</v>
      </c>
      <c r="F12" s="119">
        <v>6.8620000000000001</v>
      </c>
      <c r="G12" s="119">
        <v>50.8</v>
      </c>
      <c r="H12" s="119">
        <v>49.8</v>
      </c>
      <c r="I12" s="119">
        <v>6.6848000000000001</v>
      </c>
      <c r="J12" s="119">
        <v>3.2593999999999999</v>
      </c>
      <c r="K12" s="119">
        <v>62.3</v>
      </c>
      <c r="L12" s="119">
        <v>0.21</v>
      </c>
      <c r="M12" s="119">
        <v>32.322299999999998</v>
      </c>
      <c r="N12" s="119">
        <v>7.56</v>
      </c>
      <c r="O12" s="157"/>
      <c r="P12" s="157"/>
      <c r="Q12" s="151"/>
      <c r="R12" s="151"/>
      <c r="S12" s="151"/>
      <c r="T12" s="151"/>
      <c r="U12" s="155"/>
      <c r="V12" s="155"/>
      <c r="W12" s="158"/>
      <c r="X12" s="152"/>
      <c r="Y12" s="151"/>
    </row>
    <row r="13" spans="1:28" s="159" customFormat="1" ht="14.5">
      <c r="A13" s="119">
        <v>8</v>
      </c>
      <c r="B13" s="119" t="s">
        <v>153</v>
      </c>
      <c r="C13" s="119">
        <v>11</v>
      </c>
      <c r="D13" s="119">
        <v>11</v>
      </c>
      <c r="E13" s="119">
        <v>11</v>
      </c>
      <c r="F13" s="119">
        <v>6.8630000000000004</v>
      </c>
      <c r="G13" s="119">
        <v>50.4</v>
      </c>
      <c r="H13" s="119">
        <v>49.4</v>
      </c>
      <c r="I13" s="119">
        <v>6.6848999999999998</v>
      </c>
      <c r="J13" s="119">
        <v>3.2593999999999999</v>
      </c>
      <c r="K13" s="119">
        <v>62.4</v>
      </c>
      <c r="L13" s="119">
        <v>0.21</v>
      </c>
      <c r="M13" s="119">
        <v>32.322299999999998</v>
      </c>
      <c r="N13" s="119">
        <v>7.56</v>
      </c>
      <c r="O13" s="157"/>
      <c r="P13" s="151"/>
      <c r="Q13" s="151"/>
      <c r="R13" s="175"/>
      <c r="S13" s="175"/>
      <c r="T13" s="175"/>
      <c r="U13" s="173"/>
      <c r="V13" s="158"/>
      <c r="W13" s="173"/>
      <c r="X13" s="173"/>
      <c r="Y13" s="175"/>
      <c r="Z13" s="177"/>
      <c r="AA13" s="177"/>
      <c r="AB13" s="152"/>
    </row>
    <row r="14" spans="1:28" s="159" customFormat="1" ht="14.5">
      <c r="A14" s="119">
        <v>8</v>
      </c>
      <c r="B14" s="119" t="s">
        <v>153</v>
      </c>
      <c r="C14" s="119">
        <v>12</v>
      </c>
      <c r="D14" s="119">
        <v>12</v>
      </c>
      <c r="E14" s="119">
        <v>12</v>
      </c>
      <c r="F14" s="119">
        <v>6.8620000000000001</v>
      </c>
      <c r="G14" s="119">
        <v>50.7</v>
      </c>
      <c r="H14" s="119">
        <v>49.6</v>
      </c>
      <c r="I14" s="119">
        <v>6.6849999999999996</v>
      </c>
      <c r="J14" s="119">
        <v>3.2593999999999999</v>
      </c>
      <c r="K14" s="119">
        <v>62.4</v>
      </c>
      <c r="L14" s="119">
        <v>0.21</v>
      </c>
      <c r="M14" s="119">
        <v>32.322200000000002</v>
      </c>
      <c r="N14" s="119">
        <v>7.56</v>
      </c>
      <c r="O14" s="248"/>
      <c r="P14" s="173"/>
      <c r="Q14" s="247"/>
      <c r="R14" s="173"/>
      <c r="S14" s="247"/>
      <c r="T14" s="175"/>
      <c r="U14" s="247"/>
      <c r="V14" s="158"/>
      <c r="W14" s="247"/>
      <c r="Y14" s="179"/>
      <c r="AA14" s="180"/>
    </row>
    <row r="15" spans="1:28" s="159" customFormat="1" ht="14.5">
      <c r="A15" s="119">
        <v>8</v>
      </c>
      <c r="B15" s="119" t="s">
        <v>153</v>
      </c>
      <c r="C15" s="119">
        <v>13</v>
      </c>
      <c r="D15" s="119">
        <v>13</v>
      </c>
      <c r="E15" s="119">
        <v>13</v>
      </c>
      <c r="F15" s="119">
        <v>6.8639999999999999</v>
      </c>
      <c r="G15" s="119">
        <v>25.2</v>
      </c>
      <c r="H15" s="119">
        <v>24.4</v>
      </c>
      <c r="I15" s="119">
        <v>6.6851000000000003</v>
      </c>
      <c r="J15" s="119">
        <v>3.2583000000000002</v>
      </c>
      <c r="K15" s="119">
        <v>62.3</v>
      </c>
      <c r="L15" s="119">
        <v>0.19</v>
      </c>
      <c r="M15" s="119">
        <v>32.322000000000003</v>
      </c>
      <c r="N15" s="119">
        <v>7.56</v>
      </c>
      <c r="O15" s="248"/>
      <c r="P15" s="173"/>
      <c r="Q15" s="247"/>
      <c r="R15" s="173"/>
      <c r="S15" s="247"/>
      <c r="T15" s="175"/>
      <c r="U15" s="247"/>
      <c r="V15" s="181"/>
      <c r="W15" s="247"/>
      <c r="X15" s="182"/>
      <c r="Y15" s="183"/>
      <c r="AA15" s="180"/>
    </row>
    <row r="16" spans="1:28" s="190" customFormat="1" ht="14.5">
      <c r="A16" s="119">
        <v>8</v>
      </c>
      <c r="B16" s="119" t="s">
        <v>153</v>
      </c>
      <c r="C16" s="119">
        <v>14</v>
      </c>
      <c r="D16" s="119">
        <v>14</v>
      </c>
      <c r="E16" s="119">
        <v>14</v>
      </c>
      <c r="F16" s="119">
        <v>6.8639999999999999</v>
      </c>
      <c r="G16" s="119">
        <v>25.9</v>
      </c>
      <c r="H16" s="119">
        <v>25</v>
      </c>
      <c r="I16" s="119">
        <v>6.6848999999999998</v>
      </c>
      <c r="J16" s="119">
        <v>3.2583000000000002</v>
      </c>
      <c r="K16" s="119">
        <v>62.3</v>
      </c>
      <c r="L16" s="119">
        <v>0.19</v>
      </c>
      <c r="M16" s="119">
        <v>32.322099999999999</v>
      </c>
      <c r="N16" s="119">
        <v>7.56</v>
      </c>
      <c r="O16" s="184"/>
      <c r="P16" s="185"/>
      <c r="Q16" s="185"/>
      <c r="R16" s="185"/>
      <c r="S16" s="185"/>
      <c r="T16" s="187"/>
      <c r="U16" s="187"/>
      <c r="V16" s="185"/>
      <c r="W16" s="189"/>
      <c r="Y16" s="191"/>
      <c r="AA16" s="189"/>
      <c r="AB16" s="186"/>
    </row>
    <row r="17" spans="1:14" ht="14.5">
      <c r="A17" s="119">
        <v>8</v>
      </c>
      <c r="B17" s="119" t="s">
        <v>153</v>
      </c>
      <c r="C17" s="119">
        <v>15</v>
      </c>
      <c r="D17" s="119">
        <v>15</v>
      </c>
      <c r="E17" s="119">
        <v>15</v>
      </c>
      <c r="F17" s="119">
        <v>6.8620000000000001</v>
      </c>
      <c r="G17" s="119">
        <v>25.6</v>
      </c>
      <c r="H17" s="119">
        <v>24.8</v>
      </c>
      <c r="I17" s="119">
        <v>6.6852999999999998</v>
      </c>
      <c r="J17" s="119">
        <v>3.2584</v>
      </c>
      <c r="K17" s="119">
        <v>62.3</v>
      </c>
      <c r="L17" s="119">
        <v>0.19</v>
      </c>
      <c r="M17" s="119">
        <v>32.322099999999999</v>
      </c>
      <c r="N17" s="119">
        <v>7.56</v>
      </c>
    </row>
    <row r="18" spans="1:14" ht="14.5">
      <c r="A18" s="119">
        <v>8</v>
      </c>
      <c r="B18" s="119" t="s">
        <v>153</v>
      </c>
      <c r="C18" s="119">
        <v>16</v>
      </c>
      <c r="D18" s="119">
        <v>16</v>
      </c>
      <c r="E18" s="119">
        <v>16</v>
      </c>
      <c r="F18" s="119">
        <v>6.8520000000000003</v>
      </c>
      <c r="G18" s="119">
        <v>5.7</v>
      </c>
      <c r="H18" s="119">
        <v>5</v>
      </c>
      <c r="I18" s="119">
        <v>6.6962999999999999</v>
      </c>
      <c r="J18" s="119">
        <v>3.2585000000000002</v>
      </c>
      <c r="K18" s="119">
        <v>62.4</v>
      </c>
      <c r="L18" s="119">
        <v>0.13</v>
      </c>
      <c r="M18" s="119">
        <v>32.322400000000002</v>
      </c>
      <c r="N18" s="119">
        <v>7.55</v>
      </c>
    </row>
    <row r="19" spans="1:14" ht="14.5">
      <c r="A19" s="119">
        <v>8</v>
      </c>
      <c r="B19" s="119" t="s">
        <v>153</v>
      </c>
      <c r="C19" s="119">
        <v>17</v>
      </c>
      <c r="D19" s="119">
        <v>17</v>
      </c>
      <c r="E19" s="119">
        <v>17</v>
      </c>
      <c r="F19" s="119">
        <v>6.8689999999999998</v>
      </c>
      <c r="G19" s="119">
        <v>5.7</v>
      </c>
      <c r="H19" s="119">
        <v>5.0999999999999996</v>
      </c>
      <c r="I19" s="119">
        <v>6.6985000000000001</v>
      </c>
      <c r="J19" s="119">
        <v>3.2585999999999999</v>
      </c>
      <c r="K19" s="119">
        <v>62.4</v>
      </c>
      <c r="L19" s="119">
        <v>0.13</v>
      </c>
      <c r="M19" s="119">
        <v>32.322099999999999</v>
      </c>
      <c r="N19" s="119">
        <v>7.55</v>
      </c>
    </row>
    <row r="20" spans="1:14" ht="14.5">
      <c r="A20" s="119">
        <v>8</v>
      </c>
      <c r="B20" s="119" t="s">
        <v>153</v>
      </c>
      <c r="C20" s="119">
        <v>18</v>
      </c>
      <c r="D20" s="119">
        <v>18</v>
      </c>
      <c r="E20" s="119">
        <v>18</v>
      </c>
      <c r="F20" s="119">
        <v>6.8710000000000004</v>
      </c>
      <c r="G20" s="119">
        <v>5.8</v>
      </c>
      <c r="H20" s="119">
        <v>5.0999999999999996</v>
      </c>
      <c r="I20" s="119">
        <v>6.6966999999999999</v>
      </c>
      <c r="J20" s="119">
        <v>3.2585000000000002</v>
      </c>
      <c r="K20" s="119">
        <v>62.4</v>
      </c>
      <c r="L20" s="119">
        <v>0.13</v>
      </c>
      <c r="M20" s="119">
        <v>32.321899999999999</v>
      </c>
      <c r="N20" s="119">
        <v>7.55</v>
      </c>
    </row>
    <row r="21" spans="1:14" ht="14.5">
      <c r="A21" s="119">
        <v>8</v>
      </c>
      <c r="B21" s="119" t="s">
        <v>153</v>
      </c>
      <c r="C21" s="119">
        <v>19</v>
      </c>
      <c r="D21" s="119">
        <v>19</v>
      </c>
      <c r="E21" s="119">
        <v>19</v>
      </c>
      <c r="F21" s="119">
        <v>6.87</v>
      </c>
      <c r="G21" s="119">
        <v>6</v>
      </c>
      <c r="H21" s="119">
        <v>5.3</v>
      </c>
      <c r="I21" s="119">
        <v>6.6966999999999999</v>
      </c>
      <c r="J21" s="119">
        <v>3.2585000000000002</v>
      </c>
      <c r="K21" s="119">
        <v>62.4</v>
      </c>
      <c r="L21" s="119">
        <v>0.13</v>
      </c>
      <c r="M21" s="119">
        <v>32.322200000000002</v>
      </c>
      <c r="N21" s="119">
        <v>7.55</v>
      </c>
    </row>
    <row r="22" spans="1:14" ht="14.5">
      <c r="A22" s="119">
        <v>8</v>
      </c>
      <c r="B22" s="119" t="s">
        <v>153</v>
      </c>
      <c r="C22" s="119">
        <v>20</v>
      </c>
      <c r="D22" s="119">
        <v>20</v>
      </c>
      <c r="E22" s="119">
        <v>20</v>
      </c>
      <c r="F22" s="119">
        <v>6.8639999999999999</v>
      </c>
      <c r="G22" s="119">
        <v>5.6</v>
      </c>
      <c r="H22" s="119">
        <v>4.9000000000000004</v>
      </c>
      <c r="I22" s="119">
        <v>6.6970999999999998</v>
      </c>
      <c r="J22" s="119">
        <v>3.2585000000000002</v>
      </c>
      <c r="K22" s="119">
        <v>62.4</v>
      </c>
      <c r="L22" s="119">
        <v>0.13</v>
      </c>
      <c r="M22" s="119">
        <v>32.322200000000002</v>
      </c>
      <c r="N22" s="119">
        <v>7.55</v>
      </c>
    </row>
    <row r="23" spans="1:14" ht="14.5">
      <c r="A23" s="119">
        <v>12</v>
      </c>
      <c r="B23" s="119" t="s">
        <v>161</v>
      </c>
      <c r="C23" s="119">
        <v>1</v>
      </c>
      <c r="D23" s="119">
        <v>1</v>
      </c>
      <c r="E23" s="119">
        <v>21</v>
      </c>
      <c r="F23" s="119">
        <v>1.8759999999999999</v>
      </c>
      <c r="G23" s="119">
        <v>300.89999999999998</v>
      </c>
      <c r="H23" s="119">
        <v>297.5</v>
      </c>
      <c r="I23" s="119">
        <v>4.5532000000000004</v>
      </c>
      <c r="J23" s="119">
        <v>3.2193000000000001</v>
      </c>
      <c r="K23" s="119">
        <v>65.7</v>
      </c>
      <c r="L23" s="119">
        <v>7.0000000000000007E-2</v>
      </c>
      <c r="M23" s="119">
        <v>33.836300000000001</v>
      </c>
      <c r="N23" s="119">
        <v>7.1</v>
      </c>
    </row>
    <row r="24" spans="1:14" ht="14.5">
      <c r="A24" s="119">
        <v>12</v>
      </c>
      <c r="B24" s="119" t="s">
        <v>161</v>
      </c>
      <c r="C24" s="119">
        <v>2</v>
      </c>
      <c r="D24" s="119">
        <v>2</v>
      </c>
      <c r="E24" s="119">
        <v>22</v>
      </c>
      <c r="F24" s="119">
        <v>3.21</v>
      </c>
      <c r="G24" s="119">
        <v>201.6</v>
      </c>
      <c r="H24" s="119">
        <v>199.2</v>
      </c>
      <c r="I24" s="119">
        <v>5.5133000000000001</v>
      </c>
      <c r="J24" s="119">
        <v>3.2907000000000002</v>
      </c>
      <c r="K24" s="119">
        <v>65.599999999999994</v>
      </c>
      <c r="L24" s="119">
        <v>7.0000000000000007E-2</v>
      </c>
      <c r="M24" s="119">
        <v>33.737299999999998</v>
      </c>
      <c r="N24" s="119">
        <v>7.23</v>
      </c>
    </row>
    <row r="25" spans="1:14" ht="14.5">
      <c r="A25" s="119">
        <v>12</v>
      </c>
      <c r="B25" s="119" t="s">
        <v>161</v>
      </c>
      <c r="C25" s="119">
        <v>3</v>
      </c>
      <c r="D25" s="119">
        <v>3</v>
      </c>
      <c r="E25" s="119">
        <v>23</v>
      </c>
      <c r="F25" s="119">
        <v>4.1189999999999998</v>
      </c>
      <c r="G25" s="119">
        <v>152.9</v>
      </c>
      <c r="H25" s="119">
        <v>150.9</v>
      </c>
      <c r="I25" s="119">
        <v>6.1715999999999998</v>
      </c>
      <c r="J25" s="119">
        <v>3.3325</v>
      </c>
      <c r="K25" s="119">
        <v>65.7</v>
      </c>
      <c r="L25" s="119">
        <v>0.08</v>
      </c>
      <c r="M25" s="119">
        <v>33.578099999999999</v>
      </c>
      <c r="N25" s="119">
        <v>7.32</v>
      </c>
    </row>
    <row r="26" spans="1:14" ht="14.5">
      <c r="A26" s="119">
        <v>12</v>
      </c>
      <c r="B26" s="119" t="s">
        <v>161</v>
      </c>
      <c r="C26" s="119">
        <v>4</v>
      </c>
      <c r="D26" s="119">
        <v>4</v>
      </c>
      <c r="E26" s="119">
        <v>24</v>
      </c>
      <c r="F26" s="119">
        <v>4.1260000000000003</v>
      </c>
      <c r="G26" s="119">
        <v>151.4</v>
      </c>
      <c r="H26" s="119">
        <v>149.5</v>
      </c>
      <c r="I26" s="119">
        <v>6.1798000000000002</v>
      </c>
      <c r="J26" s="119">
        <v>3.3321000000000001</v>
      </c>
      <c r="K26" s="119">
        <v>65.7</v>
      </c>
      <c r="L26" s="119">
        <v>0.08</v>
      </c>
      <c r="M26" s="119">
        <v>33.566299999999998</v>
      </c>
      <c r="N26" s="119">
        <v>7.33</v>
      </c>
    </row>
    <row r="27" spans="1:14" ht="14.5">
      <c r="A27" s="119">
        <v>12</v>
      </c>
      <c r="B27" s="119" t="s">
        <v>161</v>
      </c>
      <c r="C27" s="119">
        <v>5</v>
      </c>
      <c r="D27" s="119">
        <v>5</v>
      </c>
      <c r="E27" s="119">
        <v>25</v>
      </c>
      <c r="F27" s="119">
        <v>5.508</v>
      </c>
      <c r="G27" s="119">
        <v>126.1</v>
      </c>
      <c r="H27" s="119">
        <v>124.4</v>
      </c>
      <c r="I27" s="119">
        <v>6.2840999999999996</v>
      </c>
      <c r="J27" s="119">
        <v>3.2909000000000002</v>
      </c>
      <c r="K27" s="119">
        <v>65.8</v>
      </c>
      <c r="L27" s="119">
        <v>0.08</v>
      </c>
      <c r="M27" s="119">
        <v>33.017099999999999</v>
      </c>
      <c r="N27" s="119">
        <v>7.44</v>
      </c>
    </row>
    <row r="28" spans="1:14" ht="14.5">
      <c r="A28" s="119">
        <v>12</v>
      </c>
      <c r="B28" s="119" t="s">
        <v>161</v>
      </c>
      <c r="C28" s="119">
        <v>6</v>
      </c>
      <c r="D28" s="119">
        <v>6</v>
      </c>
      <c r="E28" s="119">
        <v>26</v>
      </c>
      <c r="F28" s="119">
        <v>6.6909999999999998</v>
      </c>
      <c r="G28" s="119">
        <v>100.4</v>
      </c>
      <c r="H28" s="119">
        <v>99</v>
      </c>
      <c r="I28" s="119">
        <v>6.7792000000000003</v>
      </c>
      <c r="J28" s="119">
        <v>3.2751999999999999</v>
      </c>
      <c r="K28" s="119">
        <v>64.400000000000006</v>
      </c>
      <c r="L28" s="119">
        <v>0.12</v>
      </c>
      <c r="M28" s="119">
        <v>32.382399999999997</v>
      </c>
      <c r="N28" s="119">
        <v>7.55</v>
      </c>
    </row>
    <row r="29" spans="1:14" ht="14.5">
      <c r="A29" s="119">
        <v>12</v>
      </c>
      <c r="B29" s="119" t="s">
        <v>161</v>
      </c>
      <c r="C29" s="119">
        <v>7</v>
      </c>
      <c r="D29" s="119">
        <v>7</v>
      </c>
      <c r="E29" s="119">
        <v>27</v>
      </c>
      <c r="F29" s="119">
        <v>6.6909999999999998</v>
      </c>
      <c r="G29" s="119">
        <v>100.5</v>
      </c>
      <c r="H29" s="119">
        <v>99.1</v>
      </c>
      <c r="I29" s="119">
        <v>6.7704000000000004</v>
      </c>
      <c r="J29" s="119">
        <v>3.2745000000000002</v>
      </c>
      <c r="K29" s="119">
        <v>64.599999999999994</v>
      </c>
      <c r="L29" s="119">
        <v>0.11</v>
      </c>
      <c r="M29" s="119">
        <v>32.383299999999998</v>
      </c>
      <c r="N29" s="119">
        <v>7.55</v>
      </c>
    </row>
    <row r="30" spans="1:14" ht="14.5">
      <c r="A30" s="119">
        <v>12</v>
      </c>
      <c r="B30" s="119" t="s">
        <v>161</v>
      </c>
      <c r="C30" s="119">
        <v>8</v>
      </c>
      <c r="D30" s="119">
        <v>8</v>
      </c>
      <c r="E30" s="119">
        <v>28</v>
      </c>
      <c r="F30" s="119">
        <v>6.6950000000000003</v>
      </c>
      <c r="G30" s="119">
        <v>100.3</v>
      </c>
      <c r="H30" s="119">
        <v>98.9</v>
      </c>
      <c r="I30" s="119">
        <v>6.7705000000000002</v>
      </c>
      <c r="J30" s="119">
        <v>3.2745000000000002</v>
      </c>
      <c r="K30" s="119">
        <v>64.5</v>
      </c>
      <c r="L30" s="119">
        <v>0.12</v>
      </c>
      <c r="M30" s="119">
        <v>32.383800000000001</v>
      </c>
      <c r="N30" s="119">
        <v>7.56</v>
      </c>
    </row>
    <row r="31" spans="1:14" ht="14.5">
      <c r="A31" s="119">
        <v>12</v>
      </c>
      <c r="B31" s="119" t="s">
        <v>161</v>
      </c>
      <c r="C31" s="119">
        <v>9</v>
      </c>
      <c r="D31" s="119">
        <v>9</v>
      </c>
      <c r="E31" s="119">
        <v>29</v>
      </c>
      <c r="F31" s="119">
        <v>6.8360000000000003</v>
      </c>
      <c r="G31" s="119">
        <v>75.099999999999994</v>
      </c>
      <c r="H31" s="119">
        <v>73.8</v>
      </c>
      <c r="I31" s="119">
        <v>6.9123000000000001</v>
      </c>
      <c r="J31" s="119">
        <v>3.2820999999999998</v>
      </c>
      <c r="K31" s="119">
        <v>62.2</v>
      </c>
      <c r="L31" s="119">
        <v>0.19</v>
      </c>
      <c r="M31" s="119">
        <v>32.3444</v>
      </c>
      <c r="N31" s="119">
        <v>7.57</v>
      </c>
    </row>
    <row r="32" spans="1:14" ht="14.5">
      <c r="A32" s="119">
        <v>12</v>
      </c>
      <c r="B32" s="119" t="s">
        <v>161</v>
      </c>
      <c r="C32" s="119">
        <v>10</v>
      </c>
      <c r="D32" s="119">
        <v>10</v>
      </c>
      <c r="E32" s="119">
        <v>30</v>
      </c>
      <c r="F32" s="119">
        <v>6.8330000000000002</v>
      </c>
      <c r="G32" s="119">
        <v>50</v>
      </c>
      <c r="H32" s="119">
        <v>49</v>
      </c>
      <c r="I32" s="119">
        <v>6.9114000000000004</v>
      </c>
      <c r="J32" s="119">
        <v>3.2808999999999999</v>
      </c>
      <c r="K32" s="119">
        <v>62</v>
      </c>
      <c r="L32" s="119">
        <v>0.21</v>
      </c>
      <c r="M32" s="119">
        <v>32.344299999999997</v>
      </c>
      <c r="N32" s="119">
        <v>7.58</v>
      </c>
    </row>
    <row r="33" spans="1:28" ht="14.5">
      <c r="A33" s="119">
        <v>12</v>
      </c>
      <c r="B33" s="119" t="s">
        <v>161</v>
      </c>
      <c r="C33" s="119">
        <v>11</v>
      </c>
      <c r="D33" s="119">
        <v>11</v>
      </c>
      <c r="E33" s="119">
        <v>31</v>
      </c>
      <c r="F33" s="119">
        <v>6.8479999999999999</v>
      </c>
      <c r="G33" s="119">
        <v>50.1</v>
      </c>
      <c r="H33" s="119">
        <v>49.1</v>
      </c>
      <c r="I33" s="119">
        <v>6.9115000000000002</v>
      </c>
      <c r="J33" s="119">
        <v>3.2808999999999999</v>
      </c>
      <c r="K33" s="119">
        <v>62</v>
      </c>
      <c r="L33" s="119">
        <v>0.21</v>
      </c>
      <c r="M33" s="119">
        <v>32.344299999999997</v>
      </c>
      <c r="N33" s="119">
        <v>7.58</v>
      </c>
    </row>
    <row r="34" spans="1:28" s="159" customFormat="1" ht="14.5">
      <c r="A34" s="119">
        <v>12</v>
      </c>
      <c r="B34" s="119" t="s">
        <v>161</v>
      </c>
      <c r="C34" s="119">
        <v>12</v>
      </c>
      <c r="D34" s="119">
        <v>12</v>
      </c>
      <c r="E34" s="119">
        <v>32</v>
      </c>
      <c r="F34" s="119">
        <v>6.85</v>
      </c>
      <c r="G34" s="119">
        <v>49.8</v>
      </c>
      <c r="H34" s="119">
        <v>48.8</v>
      </c>
      <c r="I34" s="119">
        <v>6.9115000000000002</v>
      </c>
      <c r="J34" s="119">
        <v>3.2808999999999999</v>
      </c>
      <c r="K34" s="119">
        <v>62</v>
      </c>
      <c r="L34" s="119">
        <v>0.21</v>
      </c>
      <c r="M34" s="119">
        <v>32.344299999999997</v>
      </c>
      <c r="N34" s="119">
        <v>7.58</v>
      </c>
      <c r="O34" s="165"/>
      <c r="P34" s="165"/>
      <c r="Q34" s="167"/>
      <c r="R34" s="167"/>
      <c r="S34" s="167"/>
      <c r="T34" s="167"/>
      <c r="U34" s="170"/>
      <c r="V34" s="170"/>
      <c r="W34" s="172"/>
      <c r="X34" s="168"/>
      <c r="Y34" s="167"/>
    </row>
    <row r="35" spans="1:28" s="159" customFormat="1" ht="14.5">
      <c r="A35" s="119">
        <v>12</v>
      </c>
      <c r="B35" s="119" t="s">
        <v>161</v>
      </c>
      <c r="C35" s="119">
        <v>13</v>
      </c>
      <c r="D35" s="119">
        <v>13</v>
      </c>
      <c r="E35" s="119">
        <v>33</v>
      </c>
      <c r="F35" s="119">
        <v>6.8540000000000001</v>
      </c>
      <c r="G35" s="119">
        <v>25.1</v>
      </c>
      <c r="H35" s="119">
        <v>24.3</v>
      </c>
      <c r="I35" s="119">
        <v>6.9271000000000003</v>
      </c>
      <c r="J35" s="119">
        <v>3.2812000000000001</v>
      </c>
      <c r="K35" s="119">
        <v>61.7</v>
      </c>
      <c r="L35" s="119">
        <v>0.22</v>
      </c>
      <c r="M35" s="119">
        <v>32.344799999999999</v>
      </c>
      <c r="N35" s="119">
        <v>7.58</v>
      </c>
      <c r="O35" s="165"/>
      <c r="P35" s="165"/>
      <c r="Q35" s="167"/>
      <c r="R35" s="167"/>
      <c r="S35" s="167"/>
      <c r="T35" s="167"/>
      <c r="U35" s="170"/>
      <c r="V35" s="170"/>
      <c r="W35" s="172"/>
      <c r="X35" s="168"/>
      <c r="Y35" s="167"/>
    </row>
    <row r="36" spans="1:28" s="159" customFormat="1" ht="14.5">
      <c r="A36" s="119">
        <v>12</v>
      </c>
      <c r="B36" s="119" t="s">
        <v>161</v>
      </c>
      <c r="C36" s="119">
        <v>14</v>
      </c>
      <c r="D36" s="119">
        <v>14</v>
      </c>
      <c r="E36" s="119">
        <v>34</v>
      </c>
      <c r="F36" s="119">
        <v>6.8579999999999997</v>
      </c>
      <c r="G36" s="119">
        <v>25.8</v>
      </c>
      <c r="H36" s="119">
        <v>24.9</v>
      </c>
      <c r="I36" s="119">
        <v>6.9279999999999999</v>
      </c>
      <c r="J36" s="119">
        <v>3.2812999999999999</v>
      </c>
      <c r="K36" s="119">
        <v>61.7</v>
      </c>
      <c r="L36" s="119">
        <v>0.22</v>
      </c>
      <c r="M36" s="119">
        <v>32.344999999999999</v>
      </c>
      <c r="N36" s="119">
        <v>7.58</v>
      </c>
      <c r="O36" s="157"/>
      <c r="P36" s="157"/>
      <c r="Q36" s="151"/>
      <c r="R36" s="151"/>
      <c r="S36" s="151"/>
      <c r="T36" s="151"/>
      <c r="U36" s="155"/>
      <c r="V36" s="155"/>
      <c r="W36" s="158"/>
      <c r="X36" s="152"/>
      <c r="Y36" s="151"/>
    </row>
    <row r="37" spans="1:28" s="159" customFormat="1" ht="14.5">
      <c r="A37" s="119">
        <v>12</v>
      </c>
      <c r="B37" s="119" t="s">
        <v>161</v>
      </c>
      <c r="C37" s="119">
        <v>15</v>
      </c>
      <c r="D37" s="119">
        <v>15</v>
      </c>
      <c r="E37" s="119">
        <v>35</v>
      </c>
      <c r="F37" s="119">
        <v>6.8559999999999999</v>
      </c>
      <c r="G37" s="119">
        <v>25.1</v>
      </c>
      <c r="H37" s="119">
        <v>24.3</v>
      </c>
      <c r="I37" s="119">
        <v>6.9273999999999996</v>
      </c>
      <c r="J37" s="119">
        <v>3.2812000000000001</v>
      </c>
      <c r="K37" s="119">
        <v>61.7</v>
      </c>
      <c r="L37" s="119">
        <v>0.21</v>
      </c>
      <c r="M37" s="119">
        <v>32.344900000000003</v>
      </c>
      <c r="N37" s="119">
        <v>7.58</v>
      </c>
      <c r="O37" s="157"/>
      <c r="P37" s="151"/>
      <c r="Q37" s="151"/>
      <c r="R37" s="175"/>
      <c r="S37" s="175"/>
      <c r="T37" s="175"/>
      <c r="U37" s="173"/>
      <c r="V37" s="158"/>
      <c r="W37" s="173"/>
      <c r="X37" s="173"/>
      <c r="Y37" s="175"/>
      <c r="Z37" s="177"/>
      <c r="AA37" s="177"/>
      <c r="AB37" s="152"/>
    </row>
    <row r="38" spans="1:28" s="159" customFormat="1" ht="14.5">
      <c r="A38" s="119">
        <v>12</v>
      </c>
      <c r="B38" s="119" t="s">
        <v>161</v>
      </c>
      <c r="C38" s="119">
        <v>16</v>
      </c>
      <c r="D38" s="119">
        <v>16</v>
      </c>
      <c r="E38" s="119">
        <v>36</v>
      </c>
      <c r="F38" s="119">
        <v>6.8609999999999998</v>
      </c>
      <c r="G38" s="119">
        <v>6.2</v>
      </c>
      <c r="H38" s="119">
        <v>5.6</v>
      </c>
      <c r="I38" s="119">
        <v>6.9291</v>
      </c>
      <c r="J38" s="119">
        <v>3.2806000000000002</v>
      </c>
      <c r="K38" s="119">
        <v>61.7</v>
      </c>
      <c r="L38" s="119">
        <v>0.22</v>
      </c>
      <c r="M38" s="119">
        <v>32.345100000000002</v>
      </c>
      <c r="N38" s="119">
        <v>7.58</v>
      </c>
      <c r="O38" s="248"/>
      <c r="P38" s="173"/>
      <c r="Q38" s="247"/>
      <c r="R38" s="173"/>
      <c r="S38" s="247"/>
      <c r="T38" s="175"/>
      <c r="U38" s="247"/>
      <c r="V38" s="158"/>
      <c r="W38" s="247"/>
      <c r="Y38" s="179"/>
      <c r="AA38" s="180"/>
    </row>
    <row r="39" spans="1:28" s="159" customFormat="1" ht="14.5">
      <c r="A39" s="119">
        <v>12</v>
      </c>
      <c r="B39" s="119" t="s">
        <v>161</v>
      </c>
      <c r="C39" s="119">
        <v>17</v>
      </c>
      <c r="D39" s="119">
        <v>17</v>
      </c>
      <c r="E39" s="119">
        <v>37</v>
      </c>
      <c r="F39" s="119">
        <v>6.8659999999999997</v>
      </c>
      <c r="G39" s="119">
        <v>6.4</v>
      </c>
      <c r="H39" s="119">
        <v>5.8</v>
      </c>
      <c r="I39" s="119">
        <v>6.9291999999999998</v>
      </c>
      <c r="J39" s="119">
        <v>3.2806000000000002</v>
      </c>
      <c r="K39" s="119">
        <v>61.8</v>
      </c>
      <c r="L39" s="119">
        <v>0.22</v>
      </c>
      <c r="M39" s="119">
        <v>32.345300000000002</v>
      </c>
      <c r="N39" s="119">
        <v>7.58</v>
      </c>
      <c r="O39" s="248"/>
      <c r="P39" s="173"/>
      <c r="Q39" s="247"/>
      <c r="R39" s="173"/>
      <c r="S39" s="247"/>
      <c r="T39" s="175"/>
      <c r="U39" s="247"/>
      <c r="V39" s="181"/>
      <c r="W39" s="247"/>
      <c r="X39" s="182"/>
      <c r="Y39" s="183"/>
      <c r="AA39" s="180"/>
    </row>
    <row r="40" spans="1:28" s="190" customFormat="1" ht="14.5">
      <c r="A40" s="119">
        <v>12</v>
      </c>
      <c r="B40" s="119" t="s">
        <v>161</v>
      </c>
      <c r="C40" s="119">
        <v>18</v>
      </c>
      <c r="D40" s="119">
        <v>18</v>
      </c>
      <c r="E40" s="119">
        <v>38</v>
      </c>
      <c r="F40" s="119">
        <v>6.8550000000000004</v>
      </c>
      <c r="G40" s="119">
        <v>6.2</v>
      </c>
      <c r="H40" s="119">
        <v>5.6</v>
      </c>
      <c r="I40" s="119">
        <v>6.9294000000000002</v>
      </c>
      <c r="J40" s="119">
        <v>3.2806000000000002</v>
      </c>
      <c r="K40" s="119">
        <v>61.6</v>
      </c>
      <c r="L40" s="119">
        <v>0.23</v>
      </c>
      <c r="M40" s="119">
        <v>32.345100000000002</v>
      </c>
      <c r="N40" s="119">
        <v>7.58</v>
      </c>
      <c r="O40" s="184"/>
      <c r="P40" s="185"/>
      <c r="Q40" s="185"/>
      <c r="R40" s="185"/>
      <c r="S40" s="185"/>
      <c r="T40" s="187"/>
      <c r="U40" s="187"/>
      <c r="V40" s="185"/>
      <c r="W40" s="189"/>
      <c r="Y40" s="191"/>
      <c r="AA40" s="189"/>
      <c r="AB40" s="186"/>
    </row>
    <row r="41" spans="1:28" ht="14.5">
      <c r="A41" s="119">
        <v>12</v>
      </c>
      <c r="B41" s="119" t="s">
        <v>161</v>
      </c>
      <c r="C41" s="119">
        <v>19</v>
      </c>
      <c r="D41" s="119">
        <v>19</v>
      </c>
      <c r="E41" s="119">
        <v>39</v>
      </c>
      <c r="F41" s="119">
        <v>6.8529999999999998</v>
      </c>
      <c r="G41" s="119">
        <v>5.7</v>
      </c>
      <c r="H41" s="119">
        <v>5</v>
      </c>
      <c r="I41" s="119">
        <v>6.9292999999999996</v>
      </c>
      <c r="J41" s="119">
        <v>3.2806000000000002</v>
      </c>
      <c r="K41" s="119">
        <v>61.7</v>
      </c>
      <c r="L41" s="119">
        <v>0.23</v>
      </c>
      <c r="M41" s="119">
        <v>32.345100000000002</v>
      </c>
      <c r="N41" s="119">
        <v>7.58</v>
      </c>
    </row>
    <row r="42" spans="1:28" ht="14.5">
      <c r="A42" s="119">
        <v>12</v>
      </c>
      <c r="B42" s="119" t="s">
        <v>161</v>
      </c>
      <c r="C42" s="119">
        <v>20</v>
      </c>
      <c r="D42" s="119">
        <v>20</v>
      </c>
      <c r="E42" s="119">
        <v>40</v>
      </c>
      <c r="F42" s="119">
        <v>6.859</v>
      </c>
      <c r="G42" s="119">
        <v>6.2</v>
      </c>
      <c r="H42" s="119">
        <v>5.5</v>
      </c>
      <c r="I42" s="119">
        <v>6.9297000000000004</v>
      </c>
      <c r="J42" s="119">
        <v>3.2806000000000002</v>
      </c>
      <c r="K42" s="119">
        <v>61.7</v>
      </c>
      <c r="L42" s="119">
        <v>0.23</v>
      </c>
      <c r="M42" s="119">
        <v>32.345100000000002</v>
      </c>
      <c r="N42" s="119">
        <v>7.58</v>
      </c>
    </row>
    <row r="43" spans="1:28" ht="14.5">
      <c r="A43" s="119">
        <v>16</v>
      </c>
      <c r="B43" s="119" t="s">
        <v>162</v>
      </c>
      <c r="C43" s="119">
        <v>1</v>
      </c>
      <c r="D43" s="119">
        <v>1</v>
      </c>
      <c r="E43" s="119">
        <v>41</v>
      </c>
      <c r="F43" s="119">
        <v>2.5059999999999998</v>
      </c>
      <c r="G43" s="119">
        <v>300.8</v>
      </c>
      <c r="H43" s="119">
        <v>297.5</v>
      </c>
      <c r="I43" s="119">
        <v>4.9577999999999998</v>
      </c>
      <c r="J43" s="119">
        <v>3.2517999999999998</v>
      </c>
      <c r="K43" s="119">
        <v>66.099999999999994</v>
      </c>
      <c r="L43" s="119">
        <v>7.0000000000000007E-2</v>
      </c>
      <c r="M43" s="119">
        <v>33.802</v>
      </c>
      <c r="N43" s="119">
        <v>7.17</v>
      </c>
    </row>
    <row r="44" spans="1:28" ht="14.5">
      <c r="A44" s="119">
        <v>16</v>
      </c>
      <c r="B44" s="119" t="s">
        <v>162</v>
      </c>
      <c r="C44" s="119">
        <v>2</v>
      </c>
      <c r="D44" s="119">
        <v>2</v>
      </c>
      <c r="E44" s="119">
        <v>42</v>
      </c>
      <c r="F44" s="119">
        <v>4.0309999999999997</v>
      </c>
      <c r="G44" s="119">
        <v>200.4</v>
      </c>
      <c r="H44" s="119">
        <v>198</v>
      </c>
      <c r="I44" s="119">
        <v>6.2106000000000003</v>
      </c>
      <c r="J44" s="119">
        <v>3.3538000000000001</v>
      </c>
      <c r="K44" s="119">
        <v>66</v>
      </c>
      <c r="L44" s="119">
        <v>0.06</v>
      </c>
      <c r="M44" s="119">
        <v>33.7545</v>
      </c>
      <c r="N44" s="119">
        <v>7.34</v>
      </c>
    </row>
    <row r="45" spans="1:28" ht="14.5">
      <c r="A45" s="119">
        <v>16</v>
      </c>
      <c r="B45" s="119" t="s">
        <v>162</v>
      </c>
      <c r="C45" s="119">
        <v>3</v>
      </c>
      <c r="D45" s="119">
        <v>3</v>
      </c>
      <c r="E45" s="119">
        <v>43</v>
      </c>
      <c r="F45" s="119">
        <v>4.6760000000000002</v>
      </c>
      <c r="G45" s="119">
        <v>150.5</v>
      </c>
      <c r="H45" s="119">
        <v>148.6</v>
      </c>
      <c r="I45" s="119">
        <v>6.7131999999999996</v>
      </c>
      <c r="J45" s="119">
        <v>3.3841999999999999</v>
      </c>
      <c r="K45" s="119">
        <v>66.099999999999994</v>
      </c>
      <c r="L45" s="119">
        <v>7.0000000000000007E-2</v>
      </c>
      <c r="M45" s="119">
        <v>33.620699999999999</v>
      </c>
      <c r="N45" s="119">
        <v>7.4</v>
      </c>
    </row>
    <row r="46" spans="1:28" ht="14.5">
      <c r="A46" s="119">
        <v>16</v>
      </c>
      <c r="B46" s="119" t="s">
        <v>162</v>
      </c>
      <c r="C46" s="119">
        <v>4</v>
      </c>
      <c r="D46" s="119">
        <v>4</v>
      </c>
      <c r="E46" s="119">
        <v>44</v>
      </c>
      <c r="F46" s="119">
        <v>4.673</v>
      </c>
      <c r="G46" s="119">
        <v>150.5</v>
      </c>
      <c r="H46" s="119">
        <v>148.5</v>
      </c>
      <c r="I46" s="119">
        <v>6.7138999999999998</v>
      </c>
      <c r="J46" s="119">
        <v>3.3841999999999999</v>
      </c>
      <c r="K46" s="119">
        <v>66.099999999999994</v>
      </c>
      <c r="L46" s="119">
        <v>7.0000000000000007E-2</v>
      </c>
      <c r="M46" s="119">
        <v>33.6205</v>
      </c>
      <c r="N46" s="119">
        <v>7.4</v>
      </c>
    </row>
    <row r="47" spans="1:28" ht="14.5">
      <c r="A47" s="119">
        <v>16</v>
      </c>
      <c r="B47" s="119" t="s">
        <v>162</v>
      </c>
      <c r="C47" s="119">
        <v>5</v>
      </c>
      <c r="D47" s="119">
        <v>5</v>
      </c>
      <c r="E47" s="119">
        <v>45</v>
      </c>
      <c r="F47" s="119">
        <v>5.3869999999999996</v>
      </c>
      <c r="G47" s="119">
        <v>125.1</v>
      </c>
      <c r="H47" s="119">
        <v>123.4</v>
      </c>
      <c r="I47" s="119">
        <v>6.6311999999999998</v>
      </c>
      <c r="J47" s="119">
        <v>3.3359999999999999</v>
      </c>
      <c r="K47" s="119">
        <v>66</v>
      </c>
      <c r="L47" s="119">
        <v>7.0000000000000007E-2</v>
      </c>
      <c r="M47" s="119">
        <v>33.1815</v>
      </c>
      <c r="N47" s="119">
        <v>7.45</v>
      </c>
    </row>
    <row r="48" spans="1:28" ht="14.5">
      <c r="A48" s="119">
        <v>16</v>
      </c>
      <c r="B48" s="119" t="s">
        <v>162</v>
      </c>
      <c r="C48" s="119">
        <v>6</v>
      </c>
      <c r="D48" s="119">
        <v>6</v>
      </c>
      <c r="E48" s="119">
        <v>46</v>
      </c>
      <c r="F48" s="119">
        <v>6.7380000000000004</v>
      </c>
      <c r="G48" s="119">
        <v>100.8</v>
      </c>
      <c r="H48" s="119">
        <v>99.3</v>
      </c>
      <c r="I48" s="119">
        <v>7.4104000000000001</v>
      </c>
      <c r="J48" s="119">
        <v>3.3264999999999998</v>
      </c>
      <c r="K48" s="119">
        <v>62.7</v>
      </c>
      <c r="L48" s="119">
        <v>0.16</v>
      </c>
      <c r="M48" s="119">
        <v>32.347999999999999</v>
      </c>
      <c r="N48" s="119">
        <v>7.58</v>
      </c>
    </row>
    <row r="49" spans="1:28" ht="14.5">
      <c r="A49" s="119">
        <v>16</v>
      </c>
      <c r="B49" s="119" t="s">
        <v>162</v>
      </c>
      <c r="C49" s="119">
        <v>7</v>
      </c>
      <c r="D49" s="119">
        <v>7</v>
      </c>
      <c r="E49" s="119">
        <v>47</v>
      </c>
      <c r="F49" s="119">
        <v>6.7220000000000004</v>
      </c>
      <c r="G49" s="119">
        <v>99.4</v>
      </c>
      <c r="H49" s="119">
        <v>98</v>
      </c>
      <c r="I49" s="119">
        <v>7.3891</v>
      </c>
      <c r="J49" s="119">
        <v>3.3256000000000001</v>
      </c>
      <c r="K49" s="119">
        <v>62.5</v>
      </c>
      <c r="L49" s="119">
        <v>0.17</v>
      </c>
      <c r="M49" s="119">
        <v>32.358899999999998</v>
      </c>
      <c r="N49" s="119">
        <v>7.58</v>
      </c>
    </row>
    <row r="50" spans="1:28" ht="14.5">
      <c r="A50" s="119">
        <v>16</v>
      </c>
      <c r="B50" s="119" t="s">
        <v>162</v>
      </c>
      <c r="C50" s="119">
        <v>8</v>
      </c>
      <c r="D50" s="119">
        <v>8</v>
      </c>
      <c r="E50" s="119">
        <v>48</v>
      </c>
      <c r="F50" s="119">
        <v>6.7140000000000004</v>
      </c>
      <c r="G50" s="119">
        <v>100.3</v>
      </c>
      <c r="H50" s="119">
        <v>98.8</v>
      </c>
      <c r="I50" s="119">
        <v>7.3996000000000004</v>
      </c>
      <c r="J50" s="119">
        <v>3.3260000000000001</v>
      </c>
      <c r="K50" s="119">
        <v>62.5</v>
      </c>
      <c r="L50" s="119">
        <v>0.17</v>
      </c>
      <c r="M50" s="119">
        <v>32.3536</v>
      </c>
      <c r="N50" s="119">
        <v>7.58</v>
      </c>
    </row>
    <row r="51" spans="1:28" ht="14.5">
      <c r="A51" s="119">
        <v>16</v>
      </c>
      <c r="B51" s="119" t="s">
        <v>162</v>
      </c>
      <c r="C51" s="119">
        <v>9</v>
      </c>
      <c r="D51" s="119">
        <v>9</v>
      </c>
      <c r="E51" s="119">
        <v>49</v>
      </c>
      <c r="F51" s="119">
        <v>6.7779999999999996</v>
      </c>
      <c r="G51" s="119">
        <v>75.599999999999994</v>
      </c>
      <c r="H51" s="119">
        <v>74.3</v>
      </c>
      <c r="I51" s="119">
        <v>7.4485999999999999</v>
      </c>
      <c r="J51" s="119">
        <v>3.3273999999999999</v>
      </c>
      <c r="K51" s="119">
        <v>61.3</v>
      </c>
      <c r="L51" s="119">
        <v>0.21</v>
      </c>
      <c r="M51" s="119">
        <v>32.334400000000002</v>
      </c>
      <c r="N51" s="119">
        <v>7.59</v>
      </c>
    </row>
    <row r="52" spans="1:28" ht="14.5">
      <c r="A52" s="119">
        <v>16</v>
      </c>
      <c r="B52" s="119" t="s">
        <v>162</v>
      </c>
      <c r="C52" s="119">
        <v>10</v>
      </c>
      <c r="D52" s="119">
        <v>10</v>
      </c>
      <c r="E52" s="119">
        <v>50</v>
      </c>
      <c r="F52" s="119">
        <v>6.7709999999999999</v>
      </c>
      <c r="G52" s="119">
        <v>51.8</v>
      </c>
      <c r="H52" s="119">
        <v>50.7</v>
      </c>
      <c r="I52" s="119">
        <v>7.4442000000000004</v>
      </c>
      <c r="J52" s="119">
        <v>3.3260000000000001</v>
      </c>
      <c r="K52" s="119">
        <v>61.1</v>
      </c>
      <c r="L52" s="119">
        <v>0.22</v>
      </c>
      <c r="M52" s="119">
        <v>32.334200000000003</v>
      </c>
      <c r="N52" s="119">
        <v>7.59</v>
      </c>
    </row>
    <row r="53" spans="1:28" ht="14.5">
      <c r="A53" s="119">
        <v>16</v>
      </c>
      <c r="B53" s="119" t="s">
        <v>162</v>
      </c>
      <c r="C53" s="119">
        <v>11</v>
      </c>
      <c r="D53" s="119">
        <v>11</v>
      </c>
      <c r="E53" s="119">
        <v>51</v>
      </c>
      <c r="F53" s="119">
        <v>6.7709999999999999</v>
      </c>
      <c r="G53" s="119">
        <v>51.2</v>
      </c>
      <c r="H53" s="119">
        <v>50.1</v>
      </c>
      <c r="I53" s="119">
        <v>7.4442000000000004</v>
      </c>
      <c r="J53" s="119">
        <v>3.3260000000000001</v>
      </c>
      <c r="K53" s="119">
        <v>61.2</v>
      </c>
      <c r="L53" s="119">
        <v>0.22</v>
      </c>
      <c r="M53" s="119">
        <v>32.334200000000003</v>
      </c>
      <c r="N53" s="119">
        <v>7.59</v>
      </c>
    </row>
    <row r="54" spans="1:28" ht="14.5">
      <c r="A54" s="119">
        <v>16</v>
      </c>
      <c r="B54" s="119" t="s">
        <v>162</v>
      </c>
      <c r="C54" s="119">
        <v>12</v>
      </c>
      <c r="D54" s="119">
        <v>12</v>
      </c>
      <c r="E54" s="119">
        <v>52</v>
      </c>
      <c r="F54" s="119">
        <v>6.7779999999999996</v>
      </c>
      <c r="G54" s="119">
        <v>51.5</v>
      </c>
      <c r="H54" s="119">
        <v>50.5</v>
      </c>
      <c r="I54" s="119">
        <v>7.4443999999999999</v>
      </c>
      <c r="J54" s="119">
        <v>3.3260000000000001</v>
      </c>
      <c r="K54" s="119">
        <v>61.2</v>
      </c>
      <c r="L54" s="119">
        <v>0.22</v>
      </c>
      <c r="M54" s="119">
        <v>32.334200000000003</v>
      </c>
      <c r="N54" s="119">
        <v>7.59</v>
      </c>
    </row>
    <row r="55" spans="1:28" ht="14.5">
      <c r="A55" s="119">
        <v>16</v>
      </c>
      <c r="B55" s="119" t="s">
        <v>162</v>
      </c>
      <c r="C55" s="119">
        <v>13</v>
      </c>
      <c r="D55" s="119">
        <v>13</v>
      </c>
      <c r="E55" s="119">
        <v>53</v>
      </c>
      <c r="F55" s="119">
        <v>6.7839999999999998</v>
      </c>
      <c r="G55" s="119">
        <v>25.6</v>
      </c>
      <c r="H55" s="119">
        <v>24.8</v>
      </c>
      <c r="I55" s="119">
        <v>7.4448999999999996</v>
      </c>
      <c r="J55" s="119">
        <v>3.3249</v>
      </c>
      <c r="K55" s="119">
        <v>61.2</v>
      </c>
      <c r="L55" s="119">
        <v>0.23</v>
      </c>
      <c r="M55" s="119">
        <v>32.334400000000002</v>
      </c>
      <c r="N55" s="119">
        <v>7.59</v>
      </c>
    </row>
    <row r="56" spans="1:28" s="159" customFormat="1" ht="14.5">
      <c r="A56" s="119">
        <v>16</v>
      </c>
      <c r="B56" s="119" t="s">
        <v>162</v>
      </c>
      <c r="C56" s="119">
        <v>14</v>
      </c>
      <c r="D56" s="119">
        <v>14</v>
      </c>
      <c r="E56" s="119">
        <v>54</v>
      </c>
      <c r="F56" s="119">
        <v>6.7910000000000004</v>
      </c>
      <c r="G56" s="119">
        <v>25.5</v>
      </c>
      <c r="H56" s="119">
        <v>24.7</v>
      </c>
      <c r="I56" s="119">
        <v>7.4448999999999996</v>
      </c>
      <c r="J56" s="119">
        <v>3.3250000000000002</v>
      </c>
      <c r="K56" s="119">
        <v>61.1</v>
      </c>
      <c r="L56" s="119">
        <v>0.23</v>
      </c>
      <c r="M56" s="119">
        <v>32.334499999999998</v>
      </c>
      <c r="N56" s="119">
        <v>7.59</v>
      </c>
      <c r="O56" s="165"/>
      <c r="P56" s="165"/>
      <c r="Q56" s="167"/>
      <c r="R56" s="167"/>
      <c r="S56" s="167"/>
      <c r="T56" s="167"/>
      <c r="U56" s="170"/>
      <c r="V56" s="170"/>
      <c r="W56" s="172"/>
      <c r="X56" s="168"/>
      <c r="Y56" s="167"/>
    </row>
    <row r="57" spans="1:28" s="159" customFormat="1" ht="14.5">
      <c r="A57" s="119">
        <v>16</v>
      </c>
      <c r="B57" s="119" t="s">
        <v>162</v>
      </c>
      <c r="C57" s="119">
        <v>15</v>
      </c>
      <c r="D57" s="119">
        <v>15</v>
      </c>
      <c r="E57" s="119">
        <v>55</v>
      </c>
      <c r="F57" s="119">
        <v>6.7809999999999997</v>
      </c>
      <c r="G57" s="119">
        <v>25.7</v>
      </c>
      <c r="H57" s="119">
        <v>24.9</v>
      </c>
      <c r="I57" s="119">
        <v>7.4448999999999996</v>
      </c>
      <c r="J57" s="119">
        <v>3.3250000000000002</v>
      </c>
      <c r="K57" s="119">
        <v>61.2</v>
      </c>
      <c r="L57" s="119">
        <v>0.23</v>
      </c>
      <c r="M57" s="119">
        <v>32.334400000000002</v>
      </c>
      <c r="N57" s="119">
        <v>7.59</v>
      </c>
      <c r="O57" s="165"/>
      <c r="P57" s="165"/>
      <c r="Q57" s="167"/>
      <c r="R57" s="167"/>
      <c r="S57" s="167"/>
      <c r="T57" s="167"/>
      <c r="U57" s="170"/>
      <c r="V57" s="170"/>
      <c r="W57" s="172"/>
      <c r="X57" s="168"/>
      <c r="Y57" s="167"/>
    </row>
    <row r="58" spans="1:28" s="159" customFormat="1" ht="14.5">
      <c r="A58" s="119">
        <v>16</v>
      </c>
      <c r="B58" s="119" t="s">
        <v>162</v>
      </c>
      <c r="C58" s="119">
        <v>16</v>
      </c>
      <c r="D58" s="119">
        <v>16</v>
      </c>
      <c r="E58" s="119">
        <v>56</v>
      </c>
      <c r="F58" s="119">
        <v>6.7889999999999997</v>
      </c>
      <c r="G58" s="119">
        <v>6.1</v>
      </c>
      <c r="H58" s="119">
        <v>5.4</v>
      </c>
      <c r="I58" s="119">
        <v>7.4313000000000002</v>
      </c>
      <c r="J58" s="119">
        <v>3.3229000000000002</v>
      </c>
      <c r="K58" s="119">
        <v>61.2</v>
      </c>
      <c r="L58" s="119">
        <v>0.24</v>
      </c>
      <c r="M58" s="119">
        <v>32.334600000000002</v>
      </c>
      <c r="N58" s="119">
        <v>7.59</v>
      </c>
      <c r="O58" s="157"/>
      <c r="P58" s="157"/>
      <c r="Q58" s="151"/>
      <c r="R58" s="151"/>
      <c r="S58" s="151"/>
      <c r="T58" s="151"/>
      <c r="U58" s="155"/>
      <c r="V58" s="155"/>
      <c r="W58" s="158"/>
      <c r="X58" s="152"/>
      <c r="Y58" s="151"/>
    </row>
    <row r="59" spans="1:28" s="159" customFormat="1" ht="14.5">
      <c r="A59" s="119">
        <v>16</v>
      </c>
      <c r="B59" s="119" t="s">
        <v>162</v>
      </c>
      <c r="C59" s="119">
        <v>17</v>
      </c>
      <c r="D59" s="119">
        <v>17</v>
      </c>
      <c r="E59" s="119">
        <v>57</v>
      </c>
      <c r="F59" s="119">
        <v>6.7990000000000004</v>
      </c>
      <c r="G59" s="119">
        <v>6.2</v>
      </c>
      <c r="H59" s="119">
        <v>5.5</v>
      </c>
      <c r="I59" s="119">
        <v>7.4313000000000002</v>
      </c>
      <c r="J59" s="119">
        <v>3.3229000000000002</v>
      </c>
      <c r="K59" s="119">
        <v>61.1</v>
      </c>
      <c r="L59" s="119">
        <v>0.23</v>
      </c>
      <c r="M59" s="119">
        <v>32.334499999999998</v>
      </c>
      <c r="N59" s="119">
        <v>7.59</v>
      </c>
      <c r="O59" s="157"/>
      <c r="P59" s="151"/>
      <c r="Q59" s="151"/>
      <c r="R59" s="175"/>
      <c r="S59" s="175"/>
      <c r="T59" s="175"/>
      <c r="U59" s="173"/>
      <c r="V59" s="158"/>
      <c r="W59" s="173"/>
      <c r="X59" s="173"/>
      <c r="Y59" s="175"/>
      <c r="Z59" s="177"/>
      <c r="AA59" s="177"/>
      <c r="AB59" s="152"/>
    </row>
    <row r="60" spans="1:28" s="159" customFormat="1" ht="14.5">
      <c r="A60" s="119">
        <v>16</v>
      </c>
      <c r="B60" s="119" t="s">
        <v>162</v>
      </c>
      <c r="C60" s="119">
        <v>18</v>
      </c>
      <c r="D60" s="119">
        <v>18</v>
      </c>
      <c r="E60" s="119">
        <v>58</v>
      </c>
      <c r="F60" s="119">
        <v>6.7969999999999997</v>
      </c>
      <c r="G60" s="119">
        <v>6.7</v>
      </c>
      <c r="H60" s="119">
        <v>6</v>
      </c>
      <c r="I60" s="119">
        <v>7.4311999999999996</v>
      </c>
      <c r="J60" s="119">
        <v>3.323</v>
      </c>
      <c r="K60" s="119">
        <v>61.2</v>
      </c>
      <c r="L60" s="119">
        <v>0.23</v>
      </c>
      <c r="M60" s="119">
        <v>32.334499999999998</v>
      </c>
      <c r="N60" s="119">
        <v>7.59</v>
      </c>
      <c r="O60" s="248"/>
      <c r="P60" s="173"/>
      <c r="Q60" s="247"/>
      <c r="R60" s="173"/>
      <c r="S60" s="247"/>
      <c r="T60" s="175"/>
      <c r="U60" s="247"/>
      <c r="V60" s="158"/>
      <c r="W60" s="247"/>
      <c r="Y60" s="179"/>
      <c r="AA60" s="180"/>
    </row>
    <row r="61" spans="1:28" s="159" customFormat="1" ht="14.5">
      <c r="A61" s="119">
        <v>16</v>
      </c>
      <c r="B61" s="119" t="s">
        <v>162</v>
      </c>
      <c r="C61" s="119">
        <v>19</v>
      </c>
      <c r="D61" s="119">
        <v>19</v>
      </c>
      <c r="E61" s="119">
        <v>59</v>
      </c>
      <c r="F61" s="119">
        <v>6.7889999999999997</v>
      </c>
      <c r="G61" s="119">
        <v>6.3</v>
      </c>
      <c r="H61" s="119">
        <v>5.7</v>
      </c>
      <c r="I61" s="119">
        <v>7.431</v>
      </c>
      <c r="J61" s="119">
        <v>3.3229000000000002</v>
      </c>
      <c r="K61" s="119">
        <v>61.1</v>
      </c>
      <c r="L61" s="119">
        <v>0.23</v>
      </c>
      <c r="M61" s="119">
        <v>32.334400000000002</v>
      </c>
      <c r="N61" s="119">
        <v>7.59</v>
      </c>
      <c r="O61" s="248"/>
      <c r="P61" s="173"/>
      <c r="Q61" s="247"/>
      <c r="R61" s="173"/>
      <c r="S61" s="247"/>
      <c r="T61" s="175"/>
      <c r="U61" s="247"/>
      <c r="V61" s="181"/>
      <c r="W61" s="247"/>
      <c r="X61" s="182"/>
      <c r="Y61" s="183"/>
      <c r="AA61" s="180"/>
    </row>
    <row r="62" spans="1:28" s="190" customFormat="1" ht="14.5">
      <c r="A62" s="119">
        <v>16</v>
      </c>
      <c r="B62" s="119" t="s">
        <v>162</v>
      </c>
      <c r="C62" s="119">
        <v>20</v>
      </c>
      <c r="D62" s="119">
        <v>20</v>
      </c>
      <c r="E62" s="119">
        <v>60</v>
      </c>
      <c r="F62" s="119">
        <v>6.7859999999999996</v>
      </c>
      <c r="G62" s="119">
        <v>6.1</v>
      </c>
      <c r="H62" s="119">
        <v>5.5</v>
      </c>
      <c r="I62" s="119">
        <v>7.431</v>
      </c>
      <c r="J62" s="119">
        <v>3.3229000000000002</v>
      </c>
      <c r="K62" s="119">
        <v>61.2</v>
      </c>
      <c r="L62" s="119">
        <v>0.24</v>
      </c>
      <c r="M62" s="119">
        <v>32.334499999999998</v>
      </c>
      <c r="N62" s="119">
        <v>7.59</v>
      </c>
      <c r="O62" s="184"/>
      <c r="P62" s="185"/>
      <c r="Q62" s="185"/>
      <c r="R62" s="185"/>
      <c r="S62" s="185"/>
      <c r="T62" s="187"/>
      <c r="U62" s="187"/>
      <c r="V62" s="185"/>
      <c r="W62" s="189"/>
      <c r="Y62" s="191"/>
      <c r="AA62" s="189"/>
      <c r="AB62" s="186"/>
    </row>
    <row r="63" spans="1:28" ht="14.5">
      <c r="A63" s="119">
        <v>20</v>
      </c>
      <c r="B63" s="119" t="s">
        <v>163</v>
      </c>
      <c r="C63" s="119">
        <v>1</v>
      </c>
      <c r="D63" s="119">
        <v>1</v>
      </c>
      <c r="E63" s="119">
        <v>61</v>
      </c>
      <c r="F63" s="119">
        <v>2.706</v>
      </c>
      <c r="G63" s="119">
        <v>300.10000000000002</v>
      </c>
      <c r="H63" s="119">
        <v>296.8</v>
      </c>
      <c r="I63" s="119">
        <v>5.3455000000000004</v>
      </c>
      <c r="J63" s="119">
        <v>3.2886000000000002</v>
      </c>
      <c r="K63" s="119">
        <v>66.400000000000006</v>
      </c>
      <c r="L63" s="119">
        <v>7.0000000000000007E-2</v>
      </c>
      <c r="M63" s="119">
        <v>33.832999999999998</v>
      </c>
      <c r="N63" s="119">
        <v>7.21</v>
      </c>
    </row>
    <row r="64" spans="1:28" ht="14.5">
      <c r="A64" s="119">
        <v>20</v>
      </c>
      <c r="B64" s="119" t="s">
        <v>163</v>
      </c>
      <c r="C64" s="119">
        <v>2</v>
      </c>
      <c r="D64" s="119">
        <v>2</v>
      </c>
      <c r="E64" s="119">
        <v>62</v>
      </c>
      <c r="F64" s="119">
        <v>4.0510000000000002</v>
      </c>
      <c r="G64" s="119">
        <v>201.3</v>
      </c>
      <c r="H64" s="119">
        <v>198.9</v>
      </c>
      <c r="I64" s="119">
        <v>6.6797000000000004</v>
      </c>
      <c r="J64" s="119">
        <v>3.3974000000000002</v>
      </c>
      <c r="K64" s="119">
        <v>66.099999999999994</v>
      </c>
      <c r="L64" s="119">
        <v>7.0000000000000007E-2</v>
      </c>
      <c r="M64" s="119">
        <v>33.774299999999997</v>
      </c>
      <c r="N64" s="119">
        <v>7.35</v>
      </c>
    </row>
    <row r="65" spans="1:28" ht="14.5">
      <c r="A65" s="119">
        <v>20</v>
      </c>
      <c r="B65" s="119" t="s">
        <v>163</v>
      </c>
      <c r="C65" s="119">
        <v>3</v>
      </c>
      <c r="D65" s="119">
        <v>3</v>
      </c>
      <c r="E65" s="119">
        <v>63</v>
      </c>
      <c r="F65" s="119">
        <v>4.7569999999999997</v>
      </c>
      <c r="G65" s="119">
        <v>152.1</v>
      </c>
      <c r="H65" s="119">
        <v>150.19999999999999</v>
      </c>
      <c r="I65" s="119">
        <v>7.3159999999999998</v>
      </c>
      <c r="J65" s="119">
        <v>3.4308000000000001</v>
      </c>
      <c r="K65" s="119">
        <v>66</v>
      </c>
      <c r="L65" s="119">
        <v>7.0000000000000007E-2</v>
      </c>
      <c r="M65" s="119">
        <v>33.5426</v>
      </c>
      <c r="N65" s="119">
        <v>7.42</v>
      </c>
    </row>
    <row r="66" spans="1:28" ht="14.5">
      <c r="A66" s="119">
        <v>20</v>
      </c>
      <c r="B66" s="119" t="s">
        <v>163</v>
      </c>
      <c r="C66" s="119">
        <v>4</v>
      </c>
      <c r="D66" s="119">
        <v>4</v>
      </c>
      <c r="E66" s="119">
        <v>64</v>
      </c>
      <c r="F66" s="119">
        <v>4.766</v>
      </c>
      <c r="G66" s="119">
        <v>152.5</v>
      </c>
      <c r="H66" s="119">
        <v>150.5</v>
      </c>
      <c r="I66" s="119">
        <v>7.3250999999999999</v>
      </c>
      <c r="J66" s="119">
        <v>3.4318</v>
      </c>
      <c r="K66" s="119">
        <v>66</v>
      </c>
      <c r="L66" s="119">
        <v>7.0000000000000007E-2</v>
      </c>
      <c r="M66" s="119">
        <v>33.545000000000002</v>
      </c>
      <c r="N66" s="119">
        <v>7.43</v>
      </c>
    </row>
    <row r="67" spans="1:28" ht="14.5">
      <c r="A67" s="119">
        <v>20</v>
      </c>
      <c r="B67" s="119" t="s">
        <v>163</v>
      </c>
      <c r="C67" s="119">
        <v>5</v>
      </c>
      <c r="D67" s="119">
        <v>5</v>
      </c>
      <c r="E67" s="119">
        <v>65</v>
      </c>
      <c r="F67" s="119">
        <v>5.673</v>
      </c>
      <c r="G67" s="119">
        <v>125.1</v>
      </c>
      <c r="H67" s="119">
        <v>123.4</v>
      </c>
      <c r="I67" s="119">
        <v>7.1738</v>
      </c>
      <c r="J67" s="119">
        <v>3.3641999999999999</v>
      </c>
      <c r="K67" s="119">
        <v>65.900000000000006</v>
      </c>
      <c r="L67" s="119">
        <v>7.0000000000000007E-2</v>
      </c>
      <c r="M67" s="119">
        <v>32.968800000000002</v>
      </c>
      <c r="N67" s="119">
        <v>7.49</v>
      </c>
    </row>
    <row r="68" spans="1:28" s="159" customFormat="1" ht="14.5">
      <c r="A68" s="119">
        <v>20</v>
      </c>
      <c r="B68" s="119" t="s">
        <v>163</v>
      </c>
      <c r="C68" s="119">
        <v>6</v>
      </c>
      <c r="D68" s="119">
        <v>6</v>
      </c>
      <c r="E68" s="119">
        <v>66</v>
      </c>
      <c r="F68" s="119">
        <v>6.5060000000000002</v>
      </c>
      <c r="G68" s="119">
        <v>102.4</v>
      </c>
      <c r="H68" s="119">
        <v>100.9</v>
      </c>
      <c r="I68" s="119">
        <v>7.6749999999999998</v>
      </c>
      <c r="J68" s="119">
        <v>3.3574999999999999</v>
      </c>
      <c r="K68" s="119">
        <v>64.2</v>
      </c>
      <c r="L68" s="119">
        <v>0.12</v>
      </c>
      <c r="M68" s="119">
        <v>32.434100000000001</v>
      </c>
      <c r="N68" s="119">
        <v>7.58</v>
      </c>
      <c r="O68" s="165"/>
      <c r="P68" s="165"/>
      <c r="Q68" s="167"/>
      <c r="R68" s="167"/>
      <c r="S68" s="167"/>
      <c r="T68" s="167"/>
      <c r="U68" s="170"/>
      <c r="V68" s="170"/>
      <c r="W68" s="172"/>
      <c r="X68" s="168"/>
      <c r="Y68" s="167"/>
    </row>
    <row r="69" spans="1:28" s="159" customFormat="1" ht="14.5">
      <c r="A69" s="119">
        <v>20</v>
      </c>
      <c r="B69" s="119" t="s">
        <v>163</v>
      </c>
      <c r="C69" s="119">
        <v>7</v>
      </c>
      <c r="D69" s="119">
        <v>7</v>
      </c>
      <c r="E69" s="119">
        <v>67</v>
      </c>
      <c r="F69" s="119">
        <v>6.4710000000000001</v>
      </c>
      <c r="G69" s="119">
        <v>101.3</v>
      </c>
      <c r="H69" s="119">
        <v>99.9</v>
      </c>
      <c r="I69" s="119">
        <v>7.6925999999999997</v>
      </c>
      <c r="J69" s="119">
        <v>3.3580999999999999</v>
      </c>
      <c r="K69" s="119">
        <v>63.5</v>
      </c>
      <c r="L69" s="119">
        <v>0.12</v>
      </c>
      <c r="M69" s="119">
        <v>32.424500000000002</v>
      </c>
      <c r="N69" s="119">
        <v>7.58</v>
      </c>
      <c r="O69" s="165"/>
      <c r="P69" s="165"/>
      <c r="Q69" s="167"/>
      <c r="R69" s="167"/>
      <c r="S69" s="167"/>
      <c r="T69" s="167"/>
      <c r="U69" s="170"/>
      <c r="V69" s="170"/>
      <c r="W69" s="172"/>
      <c r="X69" s="168"/>
      <c r="Y69" s="167"/>
    </row>
    <row r="70" spans="1:28" s="159" customFormat="1" ht="14.5">
      <c r="A70" s="119">
        <v>20</v>
      </c>
      <c r="B70" s="119" t="s">
        <v>163</v>
      </c>
      <c r="C70" s="119">
        <v>8</v>
      </c>
      <c r="D70" s="119">
        <v>8</v>
      </c>
      <c r="E70" s="119">
        <v>68</v>
      </c>
      <c r="F70" s="119">
        <v>6.5579999999999998</v>
      </c>
      <c r="G70" s="119">
        <v>101.3</v>
      </c>
      <c r="H70" s="119">
        <v>99.8</v>
      </c>
      <c r="I70" s="119">
        <v>7.7035999999999998</v>
      </c>
      <c r="J70" s="119">
        <v>3.3584999999999998</v>
      </c>
      <c r="K70" s="119">
        <v>63.7</v>
      </c>
      <c r="L70" s="119">
        <v>0.13</v>
      </c>
      <c r="M70" s="119">
        <v>32.418599999999998</v>
      </c>
      <c r="N70" s="119">
        <v>7.58</v>
      </c>
      <c r="O70" s="157"/>
      <c r="P70" s="157"/>
      <c r="Q70" s="151"/>
      <c r="R70" s="151"/>
      <c r="S70" s="151"/>
      <c r="T70" s="151"/>
      <c r="U70" s="155"/>
      <c r="V70" s="155"/>
      <c r="W70" s="158"/>
      <c r="X70" s="152"/>
      <c r="Y70" s="151"/>
    </row>
    <row r="71" spans="1:28" s="159" customFormat="1" ht="14.5">
      <c r="A71" s="119">
        <v>20</v>
      </c>
      <c r="B71" s="119" t="s">
        <v>163</v>
      </c>
      <c r="C71" s="119">
        <v>9</v>
      </c>
      <c r="D71" s="119">
        <v>9</v>
      </c>
      <c r="E71" s="119">
        <v>69</v>
      </c>
      <c r="F71" s="119">
        <v>6.7149999999999999</v>
      </c>
      <c r="G71" s="119">
        <v>76</v>
      </c>
      <c r="H71" s="119">
        <v>74.8</v>
      </c>
      <c r="I71" s="119">
        <v>7.7651000000000003</v>
      </c>
      <c r="J71" s="119">
        <v>3.3593000000000002</v>
      </c>
      <c r="K71" s="119">
        <v>61.3</v>
      </c>
      <c r="L71" s="119">
        <v>0.21</v>
      </c>
      <c r="M71" s="119">
        <v>32.382100000000001</v>
      </c>
      <c r="N71" s="119">
        <v>7.6</v>
      </c>
      <c r="O71" s="157"/>
      <c r="P71" s="151"/>
      <c r="Q71" s="151"/>
      <c r="R71" s="175"/>
      <c r="S71" s="175"/>
      <c r="T71" s="175"/>
      <c r="U71" s="173"/>
      <c r="V71" s="158"/>
      <c r="W71" s="173"/>
      <c r="X71" s="173"/>
      <c r="Y71" s="175"/>
      <c r="Z71" s="177"/>
      <c r="AA71" s="177"/>
      <c r="AB71" s="152"/>
    </row>
    <row r="72" spans="1:28" s="159" customFormat="1" ht="14.5">
      <c r="A72" s="119">
        <v>20</v>
      </c>
      <c r="B72" s="119" t="s">
        <v>163</v>
      </c>
      <c r="C72" s="119">
        <v>10</v>
      </c>
      <c r="D72" s="119">
        <v>10</v>
      </c>
      <c r="E72" s="119">
        <v>70</v>
      </c>
      <c r="F72" s="119">
        <v>6.7210000000000001</v>
      </c>
      <c r="G72" s="119">
        <v>51</v>
      </c>
      <c r="H72" s="119">
        <v>50</v>
      </c>
      <c r="I72" s="119">
        <v>7.7643000000000004</v>
      </c>
      <c r="J72" s="119">
        <v>3.3582000000000001</v>
      </c>
      <c r="K72" s="119">
        <v>61</v>
      </c>
      <c r="L72" s="119">
        <v>0.22</v>
      </c>
      <c r="M72" s="119">
        <v>32.382100000000001</v>
      </c>
      <c r="N72" s="119">
        <v>7.6</v>
      </c>
      <c r="O72" s="248"/>
      <c r="P72" s="173"/>
      <c r="Q72" s="247"/>
      <c r="R72" s="173"/>
      <c r="S72" s="247"/>
      <c r="T72" s="175"/>
      <c r="U72" s="247"/>
      <c r="V72" s="158"/>
      <c r="W72" s="247"/>
      <c r="Y72" s="179"/>
      <c r="AA72" s="180"/>
    </row>
    <row r="73" spans="1:28" s="159" customFormat="1" ht="14.5">
      <c r="A73" s="119">
        <v>20</v>
      </c>
      <c r="B73" s="119" t="s">
        <v>163</v>
      </c>
      <c r="C73" s="119">
        <v>11</v>
      </c>
      <c r="D73" s="119">
        <v>11</v>
      </c>
      <c r="E73" s="119">
        <v>71</v>
      </c>
      <c r="F73" s="119">
        <v>6.7240000000000002</v>
      </c>
      <c r="G73" s="119">
        <v>51.1</v>
      </c>
      <c r="H73" s="119">
        <v>50.1</v>
      </c>
      <c r="I73" s="119">
        <v>7.7643000000000004</v>
      </c>
      <c r="J73" s="119">
        <v>3.3582000000000001</v>
      </c>
      <c r="K73" s="119">
        <v>61.1</v>
      </c>
      <c r="L73" s="119">
        <v>0.22</v>
      </c>
      <c r="M73" s="119">
        <v>32.382199999999997</v>
      </c>
      <c r="N73" s="119">
        <v>7.6</v>
      </c>
      <c r="O73" s="248"/>
      <c r="P73" s="173"/>
      <c r="Q73" s="247"/>
      <c r="R73" s="173"/>
      <c r="S73" s="247"/>
      <c r="T73" s="175"/>
      <c r="U73" s="247"/>
      <c r="V73" s="181"/>
      <c r="W73" s="247"/>
      <c r="X73" s="182"/>
      <c r="Y73" s="183"/>
      <c r="AA73" s="180"/>
    </row>
    <row r="74" spans="1:28" s="190" customFormat="1" ht="14.5">
      <c r="A74" s="119">
        <v>20</v>
      </c>
      <c r="B74" s="119" t="s">
        <v>163</v>
      </c>
      <c r="C74" s="119">
        <v>12</v>
      </c>
      <c r="D74" s="119">
        <v>12</v>
      </c>
      <c r="E74" s="119">
        <v>72</v>
      </c>
      <c r="F74" s="119">
        <v>6.7169999999999996</v>
      </c>
      <c r="G74" s="119">
        <v>50.6</v>
      </c>
      <c r="H74" s="119">
        <v>49.5</v>
      </c>
      <c r="I74" s="119">
        <v>7.7641</v>
      </c>
      <c r="J74" s="119">
        <v>3.3580999999999999</v>
      </c>
      <c r="K74" s="119">
        <v>61</v>
      </c>
      <c r="L74" s="119">
        <v>0.22</v>
      </c>
      <c r="M74" s="119">
        <v>32.382100000000001</v>
      </c>
      <c r="N74" s="119">
        <v>7.6</v>
      </c>
      <c r="O74" s="184"/>
      <c r="P74" s="185"/>
      <c r="Q74" s="185"/>
      <c r="R74" s="185"/>
      <c r="S74" s="185"/>
      <c r="T74" s="187"/>
      <c r="U74" s="187"/>
      <c r="V74" s="185"/>
      <c r="W74" s="189"/>
      <c r="Y74" s="191"/>
      <c r="AA74" s="189"/>
      <c r="AB74" s="186"/>
    </row>
    <row r="75" spans="1:28" ht="14.5">
      <c r="A75" s="119">
        <v>20</v>
      </c>
      <c r="B75" s="119" t="s">
        <v>163</v>
      </c>
      <c r="C75" s="119">
        <v>13</v>
      </c>
      <c r="D75" s="119">
        <v>13</v>
      </c>
      <c r="E75" s="119">
        <v>73</v>
      </c>
      <c r="F75" s="119">
        <v>6.7350000000000003</v>
      </c>
      <c r="G75" s="119">
        <v>25.8</v>
      </c>
      <c r="H75" s="119">
        <v>25</v>
      </c>
      <c r="I75" s="119">
        <v>7.7656000000000001</v>
      </c>
      <c r="J75" s="119">
        <v>3.3571</v>
      </c>
      <c r="K75" s="119">
        <v>60.5</v>
      </c>
      <c r="L75" s="119">
        <v>0.21</v>
      </c>
      <c r="M75" s="119">
        <v>32.381500000000003</v>
      </c>
      <c r="N75" s="119">
        <v>7.6</v>
      </c>
    </row>
    <row r="76" spans="1:28" ht="14.5">
      <c r="A76" s="119">
        <v>20</v>
      </c>
      <c r="B76" s="119" t="s">
        <v>163</v>
      </c>
      <c r="C76" s="119">
        <v>14</v>
      </c>
      <c r="D76" s="119">
        <v>14</v>
      </c>
      <c r="E76" s="119">
        <v>74</v>
      </c>
      <c r="F76" s="119">
        <v>6.7439999999999998</v>
      </c>
      <c r="G76" s="119">
        <v>25.7</v>
      </c>
      <c r="H76" s="119">
        <v>24.9</v>
      </c>
      <c r="I76" s="119">
        <v>7.7656999999999998</v>
      </c>
      <c r="J76" s="119">
        <v>3.3571</v>
      </c>
      <c r="K76" s="119">
        <v>60.5</v>
      </c>
      <c r="L76" s="119">
        <v>0.21</v>
      </c>
      <c r="M76" s="119">
        <v>32.381599999999999</v>
      </c>
      <c r="N76" s="119">
        <v>7.6</v>
      </c>
    </row>
    <row r="77" spans="1:28" ht="14.5">
      <c r="A77" s="119">
        <v>20</v>
      </c>
      <c r="B77" s="119" t="s">
        <v>163</v>
      </c>
      <c r="C77" s="119">
        <v>15</v>
      </c>
      <c r="D77" s="119">
        <v>15</v>
      </c>
      <c r="E77" s="119">
        <v>75</v>
      </c>
      <c r="F77" s="119">
        <v>6.7350000000000003</v>
      </c>
      <c r="G77" s="119">
        <v>26</v>
      </c>
      <c r="H77" s="119">
        <v>25.2</v>
      </c>
      <c r="I77" s="119">
        <v>7.7656000000000001</v>
      </c>
      <c r="J77" s="119">
        <v>3.3571</v>
      </c>
      <c r="K77" s="119">
        <v>60.4</v>
      </c>
      <c r="L77" s="119">
        <v>0.21</v>
      </c>
      <c r="M77" s="119">
        <v>32.381500000000003</v>
      </c>
      <c r="N77" s="119">
        <v>7.6</v>
      </c>
    </row>
    <row r="78" spans="1:28" ht="14.5">
      <c r="A78" s="119">
        <v>20</v>
      </c>
      <c r="B78" s="119" t="s">
        <v>163</v>
      </c>
      <c r="C78" s="119">
        <v>16</v>
      </c>
      <c r="D78" s="119">
        <v>16</v>
      </c>
      <c r="E78" s="119">
        <v>76</v>
      </c>
      <c r="F78" s="119">
        <v>6.74</v>
      </c>
      <c r="G78" s="119">
        <v>5.5</v>
      </c>
      <c r="H78" s="119">
        <v>4.8</v>
      </c>
      <c r="I78" s="119">
        <v>7.8834</v>
      </c>
      <c r="J78" s="119">
        <v>3.3664999999999998</v>
      </c>
      <c r="K78" s="119">
        <v>60.9</v>
      </c>
      <c r="L78" s="119">
        <v>0.11</v>
      </c>
      <c r="M78" s="119">
        <v>32.381100000000004</v>
      </c>
      <c r="N78" s="119">
        <v>7.58</v>
      </c>
    </row>
    <row r="79" spans="1:28" ht="14.5">
      <c r="A79" s="119">
        <v>20</v>
      </c>
      <c r="B79" s="119" t="s">
        <v>163</v>
      </c>
      <c r="C79" s="119">
        <v>17</v>
      </c>
      <c r="D79" s="119">
        <v>17</v>
      </c>
      <c r="E79" s="119">
        <v>77</v>
      </c>
      <c r="F79" s="119">
        <v>6.7370000000000001</v>
      </c>
      <c r="G79" s="119">
        <v>5.6</v>
      </c>
      <c r="H79" s="119">
        <v>5</v>
      </c>
      <c r="I79" s="119">
        <v>7.8869999999999996</v>
      </c>
      <c r="J79" s="119">
        <v>3.3668</v>
      </c>
      <c r="K79" s="119">
        <v>60.9</v>
      </c>
      <c r="L79" s="119">
        <v>0.11</v>
      </c>
      <c r="M79" s="119">
        <v>32.381100000000004</v>
      </c>
      <c r="N79" s="119">
        <v>7.58</v>
      </c>
    </row>
    <row r="80" spans="1:28" ht="14.5">
      <c r="A80" s="119">
        <v>20</v>
      </c>
      <c r="B80" s="119" t="s">
        <v>163</v>
      </c>
      <c r="C80" s="119">
        <v>18</v>
      </c>
      <c r="D80" s="119">
        <v>18</v>
      </c>
      <c r="E80" s="119">
        <v>78</v>
      </c>
      <c r="F80" s="119">
        <v>6.7389999999999999</v>
      </c>
      <c r="G80" s="119">
        <v>5.6</v>
      </c>
      <c r="H80" s="119">
        <v>5</v>
      </c>
      <c r="I80" s="119">
        <v>7.8859000000000004</v>
      </c>
      <c r="J80" s="119">
        <v>3.3666999999999998</v>
      </c>
      <c r="K80" s="119">
        <v>60.9</v>
      </c>
      <c r="L80" s="119">
        <v>0.11</v>
      </c>
      <c r="M80" s="119">
        <v>32.380899999999997</v>
      </c>
      <c r="N80" s="119">
        <v>7.58</v>
      </c>
    </row>
    <row r="81" spans="1:25" ht="14.5">
      <c r="A81" s="119">
        <v>20</v>
      </c>
      <c r="B81" s="119" t="s">
        <v>163</v>
      </c>
      <c r="C81" s="119">
        <v>19</v>
      </c>
      <c r="D81" s="119">
        <v>19</v>
      </c>
      <c r="E81" s="119">
        <v>79</v>
      </c>
      <c r="F81" s="119">
        <v>6.7439999999999998</v>
      </c>
      <c r="G81" s="119">
        <v>5.5</v>
      </c>
      <c r="H81" s="119">
        <v>4.9000000000000004</v>
      </c>
      <c r="I81" s="119">
        <v>7.8833000000000002</v>
      </c>
      <c r="J81" s="119">
        <v>3.3664000000000001</v>
      </c>
      <c r="K81" s="119">
        <v>60.9</v>
      </c>
      <c r="L81" s="119">
        <v>0.11</v>
      </c>
      <c r="M81" s="119">
        <v>32.381100000000004</v>
      </c>
      <c r="N81" s="119">
        <v>7.58</v>
      </c>
    </row>
    <row r="82" spans="1:25" ht="14.5">
      <c r="A82" s="119">
        <v>20</v>
      </c>
      <c r="B82" s="119" t="s">
        <v>163</v>
      </c>
      <c r="C82" s="119">
        <v>20</v>
      </c>
      <c r="D82" s="119">
        <v>20</v>
      </c>
      <c r="E82" s="119">
        <v>80</v>
      </c>
      <c r="F82" s="119">
        <v>6.7359999999999998</v>
      </c>
      <c r="G82" s="119">
        <v>5.7</v>
      </c>
      <c r="H82" s="119">
        <v>5</v>
      </c>
      <c r="I82" s="119">
        <v>7.8851000000000004</v>
      </c>
      <c r="J82" s="119">
        <v>3.3666</v>
      </c>
      <c r="K82" s="119">
        <v>60.9</v>
      </c>
      <c r="L82" s="119">
        <v>0.11</v>
      </c>
      <c r="M82" s="119">
        <v>32.3812</v>
      </c>
      <c r="N82" s="119">
        <v>7.58</v>
      </c>
    </row>
    <row r="83" spans="1:25" ht="14.5">
      <c r="A83" s="119">
        <v>24</v>
      </c>
      <c r="B83" s="119" t="s">
        <v>164</v>
      </c>
      <c r="C83" s="119">
        <v>1</v>
      </c>
      <c r="D83" s="119">
        <v>1</v>
      </c>
      <c r="E83" s="119">
        <v>81</v>
      </c>
      <c r="F83" s="119">
        <v>2.78</v>
      </c>
      <c r="G83" s="119">
        <v>300.2</v>
      </c>
      <c r="H83" s="119">
        <v>296.8</v>
      </c>
      <c r="I83" s="119">
        <v>5.6595000000000004</v>
      </c>
      <c r="J83" s="119">
        <v>3.3184999999999998</v>
      </c>
      <c r="K83" s="119">
        <v>66.400000000000006</v>
      </c>
      <c r="L83" s="119">
        <v>7.0000000000000007E-2</v>
      </c>
      <c r="M83" s="119">
        <v>33.857100000000003</v>
      </c>
      <c r="N83" s="119">
        <v>7.24</v>
      </c>
    </row>
    <row r="84" spans="1:25" ht="14.5">
      <c r="A84" s="119">
        <v>24</v>
      </c>
      <c r="B84" s="119" t="s">
        <v>164</v>
      </c>
      <c r="C84" s="119">
        <v>2</v>
      </c>
      <c r="D84" s="119">
        <v>2</v>
      </c>
      <c r="E84" s="119">
        <v>82</v>
      </c>
      <c r="F84" s="119">
        <v>4.1630000000000003</v>
      </c>
      <c r="G84" s="119">
        <v>200.4</v>
      </c>
      <c r="H84" s="119">
        <v>198.1</v>
      </c>
      <c r="I84" s="119">
        <v>7.0373999999999999</v>
      </c>
      <c r="J84" s="119">
        <v>3.4312999999999998</v>
      </c>
      <c r="K84" s="119">
        <v>66.099999999999994</v>
      </c>
      <c r="L84" s="119">
        <v>7.0000000000000007E-2</v>
      </c>
      <c r="M84" s="119">
        <v>33.795900000000003</v>
      </c>
      <c r="N84" s="119">
        <v>7.38</v>
      </c>
    </row>
    <row r="85" spans="1:25" ht="14.5">
      <c r="A85" s="119">
        <v>24</v>
      </c>
      <c r="B85" s="119" t="s">
        <v>164</v>
      </c>
      <c r="C85" s="119">
        <v>3</v>
      </c>
      <c r="D85" s="119">
        <v>3</v>
      </c>
      <c r="E85" s="119">
        <v>83</v>
      </c>
      <c r="F85" s="119">
        <v>4.766</v>
      </c>
      <c r="G85" s="119">
        <v>151.9</v>
      </c>
      <c r="H85" s="119">
        <v>150</v>
      </c>
      <c r="I85" s="119">
        <v>7.5591999999999997</v>
      </c>
      <c r="J85" s="119">
        <v>3.4540999999999999</v>
      </c>
      <c r="K85" s="119">
        <v>66.099999999999994</v>
      </c>
      <c r="L85" s="119">
        <v>7.0000000000000007E-2</v>
      </c>
      <c r="M85" s="119">
        <v>33.560099999999998</v>
      </c>
      <c r="N85" s="119">
        <v>7.44</v>
      </c>
    </row>
    <row r="86" spans="1:25" ht="14.5">
      <c r="A86" s="119">
        <v>24</v>
      </c>
      <c r="B86" s="119" t="s">
        <v>164</v>
      </c>
      <c r="C86" s="119">
        <v>4</v>
      </c>
      <c r="D86" s="119">
        <v>4</v>
      </c>
      <c r="E86" s="119">
        <v>84</v>
      </c>
      <c r="F86" s="119">
        <v>4.7649999999999997</v>
      </c>
      <c r="G86" s="119">
        <v>151.5</v>
      </c>
      <c r="H86" s="119">
        <v>149.6</v>
      </c>
      <c r="I86" s="119">
        <v>7.5591999999999997</v>
      </c>
      <c r="J86" s="119">
        <v>3.4537</v>
      </c>
      <c r="K86" s="119">
        <v>66.099999999999994</v>
      </c>
      <c r="L86" s="119">
        <v>7.0000000000000007E-2</v>
      </c>
      <c r="M86" s="119">
        <v>33.555900000000001</v>
      </c>
      <c r="N86" s="119">
        <v>7.44</v>
      </c>
    </row>
    <row r="87" spans="1:25" ht="14.5">
      <c r="A87" s="119">
        <v>24</v>
      </c>
      <c r="B87" s="119" t="s">
        <v>164</v>
      </c>
      <c r="C87" s="119">
        <v>5</v>
      </c>
      <c r="D87" s="119">
        <v>5</v>
      </c>
      <c r="E87" s="119">
        <v>85</v>
      </c>
      <c r="F87" s="119">
        <v>5.9610000000000003</v>
      </c>
      <c r="G87" s="119">
        <v>125.1</v>
      </c>
      <c r="H87" s="119">
        <v>123.4</v>
      </c>
      <c r="I87" s="119">
        <v>7.3240999999999996</v>
      </c>
      <c r="J87" s="119">
        <v>3.3660000000000001</v>
      </c>
      <c r="K87" s="119">
        <v>66</v>
      </c>
      <c r="L87" s="119">
        <v>7.0000000000000007E-2</v>
      </c>
      <c r="M87" s="119">
        <v>32.845500000000001</v>
      </c>
      <c r="N87" s="119">
        <v>7.52</v>
      </c>
    </row>
    <row r="88" spans="1:25" ht="14.5">
      <c r="A88" s="119">
        <v>24</v>
      </c>
      <c r="B88" s="119" t="s">
        <v>164</v>
      </c>
      <c r="C88" s="119">
        <v>6</v>
      </c>
      <c r="D88" s="119">
        <v>6</v>
      </c>
      <c r="E88" s="119">
        <v>86</v>
      </c>
      <c r="F88" s="119">
        <v>6.4770000000000003</v>
      </c>
      <c r="G88" s="119">
        <v>100.9</v>
      </c>
      <c r="H88" s="119">
        <v>99.4</v>
      </c>
      <c r="I88" s="119">
        <v>7.7965999999999998</v>
      </c>
      <c r="J88" s="119">
        <v>3.3732000000000002</v>
      </c>
      <c r="K88" s="119">
        <v>65.3</v>
      </c>
      <c r="L88" s="119">
        <v>0.09</v>
      </c>
      <c r="M88" s="119">
        <v>32.489899999999999</v>
      </c>
      <c r="N88" s="119">
        <v>7.58</v>
      </c>
    </row>
    <row r="89" spans="1:25" ht="14.5">
      <c r="A89" s="119">
        <v>24</v>
      </c>
      <c r="B89" s="119" t="s">
        <v>164</v>
      </c>
      <c r="C89" s="119">
        <v>7</v>
      </c>
      <c r="D89" s="119">
        <v>7</v>
      </c>
      <c r="E89" s="119">
        <v>87</v>
      </c>
      <c r="F89" s="119">
        <v>6.4749999999999996</v>
      </c>
      <c r="G89" s="119">
        <v>100.6</v>
      </c>
      <c r="H89" s="119">
        <v>99.2</v>
      </c>
      <c r="I89" s="119">
        <v>7.7967000000000004</v>
      </c>
      <c r="J89" s="119">
        <v>3.3730000000000002</v>
      </c>
      <c r="K89" s="119">
        <v>65.3</v>
      </c>
      <c r="L89" s="119">
        <v>0.09</v>
      </c>
      <c r="M89" s="119">
        <v>32.487299999999998</v>
      </c>
      <c r="N89" s="119">
        <v>7.58</v>
      </c>
    </row>
    <row r="90" spans="1:25" ht="14.5">
      <c r="A90" s="119">
        <v>24</v>
      </c>
      <c r="B90" s="119" t="s">
        <v>164</v>
      </c>
      <c r="C90" s="119">
        <v>8</v>
      </c>
      <c r="D90" s="119">
        <v>8</v>
      </c>
      <c r="E90" s="119">
        <v>88</v>
      </c>
      <c r="F90" s="119">
        <v>6.4630000000000001</v>
      </c>
      <c r="G90" s="119">
        <v>102.4</v>
      </c>
      <c r="H90" s="119">
        <v>100.9</v>
      </c>
      <c r="I90" s="119">
        <v>7.7944000000000004</v>
      </c>
      <c r="J90" s="119">
        <v>3.3729</v>
      </c>
      <c r="K90" s="119">
        <v>65.3</v>
      </c>
      <c r="L90" s="119">
        <v>0.09</v>
      </c>
      <c r="M90" s="119">
        <v>32.487699999999997</v>
      </c>
      <c r="N90" s="119">
        <v>7.58</v>
      </c>
    </row>
    <row r="91" spans="1:25" ht="14.5">
      <c r="A91" s="119">
        <v>24</v>
      </c>
      <c r="B91" s="119" t="s">
        <v>164</v>
      </c>
      <c r="C91" s="119">
        <v>9</v>
      </c>
      <c r="D91" s="119">
        <v>9</v>
      </c>
      <c r="E91" s="119">
        <v>89</v>
      </c>
      <c r="F91" s="119">
        <v>6.6580000000000004</v>
      </c>
      <c r="G91" s="119">
        <v>76.7</v>
      </c>
      <c r="H91" s="119">
        <v>75.400000000000006</v>
      </c>
      <c r="I91" s="119">
        <v>8.1377000000000006</v>
      </c>
      <c r="J91" s="119">
        <v>3.3972000000000002</v>
      </c>
      <c r="K91" s="119">
        <v>63.1</v>
      </c>
      <c r="L91" s="119">
        <v>0.15</v>
      </c>
      <c r="M91" s="119">
        <v>32.440399999999997</v>
      </c>
      <c r="N91" s="119">
        <v>7.61</v>
      </c>
    </row>
    <row r="92" spans="1:25" ht="14.5">
      <c r="A92" s="119">
        <v>24</v>
      </c>
      <c r="B92" s="119" t="s">
        <v>164</v>
      </c>
      <c r="C92" s="119">
        <v>10</v>
      </c>
      <c r="D92" s="119">
        <v>10</v>
      </c>
      <c r="E92" s="119">
        <v>90</v>
      </c>
      <c r="F92" s="119">
        <v>6.6849999999999996</v>
      </c>
      <c r="G92" s="119">
        <v>51.5</v>
      </c>
      <c r="H92" s="119">
        <v>50.4</v>
      </c>
      <c r="I92" s="119">
        <v>8.2032000000000007</v>
      </c>
      <c r="J92" s="119">
        <v>3.4018999999999999</v>
      </c>
      <c r="K92" s="119">
        <v>61.2</v>
      </c>
      <c r="L92" s="119">
        <v>0.22</v>
      </c>
      <c r="M92" s="119">
        <v>32.4405</v>
      </c>
      <c r="N92" s="119">
        <v>7.61</v>
      </c>
    </row>
    <row r="93" spans="1:25" ht="14.5">
      <c r="A93" s="119">
        <v>24</v>
      </c>
      <c r="B93" s="119" t="s">
        <v>164</v>
      </c>
      <c r="C93" s="119">
        <v>11</v>
      </c>
      <c r="D93" s="119">
        <v>11</v>
      </c>
      <c r="E93" s="119">
        <v>91</v>
      </c>
      <c r="F93" s="119">
        <v>6.6790000000000003</v>
      </c>
      <c r="G93" s="119">
        <v>51.6</v>
      </c>
      <c r="H93" s="119">
        <v>50.5</v>
      </c>
      <c r="I93" s="119">
        <v>8.2028999999999996</v>
      </c>
      <c r="J93" s="119">
        <v>3.4018999999999999</v>
      </c>
      <c r="K93" s="119">
        <v>61.2</v>
      </c>
      <c r="L93" s="119">
        <v>0.22</v>
      </c>
      <c r="M93" s="119">
        <v>32.4405</v>
      </c>
      <c r="N93" s="119">
        <v>7.61</v>
      </c>
    </row>
    <row r="94" spans="1:25" s="159" customFormat="1" ht="14.5">
      <c r="A94" s="119">
        <v>24</v>
      </c>
      <c r="B94" s="119" t="s">
        <v>164</v>
      </c>
      <c r="C94" s="119">
        <v>12</v>
      </c>
      <c r="D94" s="119">
        <v>12</v>
      </c>
      <c r="E94" s="119">
        <v>92</v>
      </c>
      <c r="F94" s="119">
        <v>6.6790000000000003</v>
      </c>
      <c r="G94" s="119">
        <v>51.3</v>
      </c>
      <c r="H94" s="119">
        <v>50.3</v>
      </c>
      <c r="I94" s="119">
        <v>8.2029999999999994</v>
      </c>
      <c r="J94" s="119">
        <v>3.4018999999999999</v>
      </c>
      <c r="K94" s="119">
        <v>61.2</v>
      </c>
      <c r="L94" s="119">
        <v>0.22</v>
      </c>
      <c r="M94" s="119">
        <v>32.4405</v>
      </c>
      <c r="N94" s="119">
        <v>7.61</v>
      </c>
      <c r="O94" s="165"/>
      <c r="P94" s="165"/>
      <c r="Q94" s="167"/>
      <c r="R94" s="167"/>
      <c r="S94" s="167"/>
      <c r="T94" s="167"/>
      <c r="U94" s="170"/>
      <c r="V94" s="170"/>
      <c r="W94" s="172"/>
      <c r="X94" s="168"/>
      <c r="Y94" s="167"/>
    </row>
    <row r="95" spans="1:25" s="159" customFormat="1" ht="14.5">
      <c r="A95" s="119">
        <v>24</v>
      </c>
      <c r="B95" s="119" t="s">
        <v>164</v>
      </c>
      <c r="C95" s="119">
        <v>13</v>
      </c>
      <c r="D95" s="119">
        <v>13</v>
      </c>
      <c r="E95" s="119">
        <v>93</v>
      </c>
      <c r="F95" s="119">
        <v>6.6740000000000004</v>
      </c>
      <c r="G95" s="119">
        <v>26.4</v>
      </c>
      <c r="H95" s="119">
        <v>25.6</v>
      </c>
      <c r="I95" s="119">
        <v>8.2211999999999996</v>
      </c>
      <c r="J95" s="119">
        <v>3.4001000000000001</v>
      </c>
      <c r="K95" s="119">
        <v>60.4</v>
      </c>
      <c r="L95" s="119">
        <v>0.24</v>
      </c>
      <c r="M95" s="119">
        <v>32.416499999999999</v>
      </c>
      <c r="N95" s="119">
        <v>7.62</v>
      </c>
      <c r="O95" s="165"/>
      <c r="P95" s="165"/>
      <c r="Q95" s="167"/>
      <c r="R95" s="167"/>
      <c r="S95" s="167"/>
      <c r="T95" s="167"/>
      <c r="U95" s="170"/>
      <c r="V95" s="170"/>
      <c r="W95" s="172"/>
      <c r="X95" s="168"/>
      <c r="Y95" s="167"/>
    </row>
    <row r="96" spans="1:25" s="159" customFormat="1" ht="14.5">
      <c r="A96" s="119">
        <v>24</v>
      </c>
      <c r="B96" s="119" t="s">
        <v>164</v>
      </c>
      <c r="C96" s="119">
        <v>14</v>
      </c>
      <c r="D96" s="119">
        <v>14</v>
      </c>
      <c r="E96" s="119">
        <v>94</v>
      </c>
      <c r="F96" s="119">
        <v>6.6840000000000002</v>
      </c>
      <c r="G96" s="119">
        <v>26.6</v>
      </c>
      <c r="H96" s="119">
        <v>25.8</v>
      </c>
      <c r="I96" s="119">
        <v>8.2210999999999999</v>
      </c>
      <c r="J96" s="119">
        <v>3.4001000000000001</v>
      </c>
      <c r="K96" s="119">
        <v>60.4</v>
      </c>
      <c r="L96" s="119">
        <v>0.24</v>
      </c>
      <c r="M96" s="119">
        <v>32.4163</v>
      </c>
      <c r="N96" s="119">
        <v>7.62</v>
      </c>
      <c r="O96" s="157"/>
      <c r="P96" s="157"/>
      <c r="Q96" s="151"/>
      <c r="R96" s="151"/>
      <c r="S96" s="151"/>
      <c r="T96" s="151"/>
      <c r="U96" s="155"/>
      <c r="V96" s="155"/>
      <c r="W96" s="158"/>
      <c r="X96" s="152"/>
      <c r="Y96" s="151"/>
    </row>
    <row r="97" spans="1:28" s="159" customFormat="1" ht="14.5">
      <c r="A97" s="119">
        <v>24</v>
      </c>
      <c r="B97" s="119" t="s">
        <v>164</v>
      </c>
      <c r="C97" s="119">
        <v>15</v>
      </c>
      <c r="D97" s="119">
        <v>15</v>
      </c>
      <c r="E97" s="119">
        <v>95</v>
      </c>
      <c r="F97" s="119">
        <v>6.6890000000000001</v>
      </c>
      <c r="G97" s="119">
        <v>26.4</v>
      </c>
      <c r="H97" s="119">
        <v>25.6</v>
      </c>
      <c r="I97" s="119">
        <v>8.2201000000000004</v>
      </c>
      <c r="J97" s="119">
        <v>3.3999000000000001</v>
      </c>
      <c r="K97" s="119">
        <v>60.4</v>
      </c>
      <c r="L97" s="119">
        <v>0.24</v>
      </c>
      <c r="M97" s="119">
        <v>32.415700000000001</v>
      </c>
      <c r="N97" s="119">
        <v>7.62</v>
      </c>
      <c r="O97" s="157"/>
      <c r="P97" s="151"/>
      <c r="Q97" s="151"/>
      <c r="R97" s="175"/>
      <c r="S97" s="175"/>
      <c r="T97" s="175"/>
      <c r="U97" s="173"/>
      <c r="V97" s="158"/>
      <c r="W97" s="173"/>
      <c r="X97" s="173"/>
      <c r="Y97" s="175"/>
      <c r="Z97" s="177"/>
      <c r="AA97" s="177"/>
      <c r="AB97" s="152"/>
    </row>
    <row r="98" spans="1:28" s="159" customFormat="1" ht="14.5">
      <c r="A98" s="119">
        <v>24</v>
      </c>
      <c r="B98" s="119" t="s">
        <v>164</v>
      </c>
      <c r="C98" s="119">
        <v>16</v>
      </c>
      <c r="D98" s="119">
        <v>16</v>
      </c>
      <c r="E98" s="119">
        <v>96</v>
      </c>
      <c r="F98" s="119">
        <v>6.7</v>
      </c>
      <c r="G98" s="119">
        <v>7.2</v>
      </c>
      <c r="H98" s="119">
        <v>6.5</v>
      </c>
      <c r="I98" s="119">
        <v>8.2187000000000001</v>
      </c>
      <c r="J98" s="119">
        <v>3.399</v>
      </c>
      <c r="K98" s="119">
        <v>60.5</v>
      </c>
      <c r="L98" s="119">
        <v>0.25</v>
      </c>
      <c r="M98" s="119">
        <v>32.415700000000001</v>
      </c>
      <c r="N98" s="119">
        <v>7.62</v>
      </c>
      <c r="O98" s="248"/>
      <c r="P98" s="173"/>
      <c r="Q98" s="247"/>
      <c r="R98" s="173"/>
      <c r="S98" s="247"/>
      <c r="T98" s="175"/>
      <c r="U98" s="247"/>
      <c r="V98" s="158"/>
      <c r="W98" s="247"/>
      <c r="Y98" s="179"/>
      <c r="AA98" s="180"/>
    </row>
    <row r="99" spans="1:28" s="159" customFormat="1" ht="14.5">
      <c r="A99" s="119">
        <v>24</v>
      </c>
      <c r="B99" s="119" t="s">
        <v>164</v>
      </c>
      <c r="C99" s="119">
        <v>17</v>
      </c>
      <c r="D99" s="119">
        <v>17</v>
      </c>
      <c r="E99" s="119">
        <v>97</v>
      </c>
      <c r="F99" s="119">
        <v>6.7009999999999996</v>
      </c>
      <c r="G99" s="119">
        <v>7.5</v>
      </c>
      <c r="H99" s="119">
        <v>6.9</v>
      </c>
      <c r="I99" s="119">
        <v>8.2187000000000001</v>
      </c>
      <c r="J99" s="119">
        <v>3.399</v>
      </c>
      <c r="K99" s="119">
        <v>60.5</v>
      </c>
      <c r="L99" s="119">
        <v>0.25</v>
      </c>
      <c r="M99" s="119">
        <v>32.415799999999997</v>
      </c>
      <c r="N99" s="119">
        <v>7.62</v>
      </c>
      <c r="O99" s="248"/>
      <c r="P99" s="173"/>
      <c r="Q99" s="247"/>
      <c r="R99" s="173"/>
      <c r="S99" s="247"/>
      <c r="T99" s="175"/>
      <c r="U99" s="247"/>
      <c r="V99" s="181"/>
      <c r="W99" s="247"/>
      <c r="X99" s="182"/>
      <c r="Y99" s="183"/>
      <c r="AA99" s="180"/>
    </row>
    <row r="100" spans="1:28" s="190" customFormat="1" ht="14.5">
      <c r="A100" s="119">
        <v>24</v>
      </c>
      <c r="B100" s="119" t="s">
        <v>164</v>
      </c>
      <c r="C100" s="119">
        <v>18</v>
      </c>
      <c r="D100" s="119">
        <v>18</v>
      </c>
      <c r="E100" s="119">
        <v>98</v>
      </c>
      <c r="F100" s="119">
        <v>6.6920000000000002</v>
      </c>
      <c r="G100" s="119">
        <v>7</v>
      </c>
      <c r="H100" s="119">
        <v>6.4</v>
      </c>
      <c r="I100" s="119">
        <v>8.2187000000000001</v>
      </c>
      <c r="J100" s="119">
        <v>3.399</v>
      </c>
      <c r="K100" s="119">
        <v>60.5</v>
      </c>
      <c r="L100" s="119">
        <v>0.26</v>
      </c>
      <c r="M100" s="119">
        <v>32.415599999999998</v>
      </c>
      <c r="N100" s="119">
        <v>7.62</v>
      </c>
      <c r="O100" s="184"/>
      <c r="P100" s="185"/>
      <c r="Q100" s="185"/>
      <c r="R100" s="185"/>
      <c r="S100" s="185"/>
      <c r="T100" s="187"/>
      <c r="U100" s="187"/>
      <c r="V100" s="185"/>
      <c r="W100" s="189"/>
      <c r="Y100" s="191"/>
      <c r="AA100" s="189"/>
      <c r="AB100" s="186"/>
    </row>
    <row r="101" spans="1:28" ht="14.5">
      <c r="A101" s="119">
        <v>24</v>
      </c>
      <c r="B101" s="119" t="s">
        <v>164</v>
      </c>
      <c r="C101" s="119">
        <v>19</v>
      </c>
      <c r="D101" s="119">
        <v>19</v>
      </c>
      <c r="E101" s="119">
        <v>99</v>
      </c>
      <c r="F101" s="119">
        <v>6.7</v>
      </c>
      <c r="G101" s="119">
        <v>6.5</v>
      </c>
      <c r="H101" s="119">
        <v>5.9</v>
      </c>
      <c r="I101" s="119">
        <v>8.2185000000000006</v>
      </c>
      <c r="J101" s="119">
        <v>3.3988999999999998</v>
      </c>
      <c r="K101" s="119">
        <v>60.4</v>
      </c>
      <c r="L101" s="119">
        <v>0.25</v>
      </c>
      <c r="M101" s="119">
        <v>32.415799999999997</v>
      </c>
      <c r="N101" s="119">
        <v>7.62</v>
      </c>
    </row>
    <row r="102" spans="1:28" ht="14.5">
      <c r="A102" s="119">
        <v>24</v>
      </c>
      <c r="B102" s="119" t="s">
        <v>164</v>
      </c>
      <c r="C102" s="119">
        <v>20</v>
      </c>
      <c r="D102" s="119">
        <v>20</v>
      </c>
      <c r="E102" s="119">
        <v>100</v>
      </c>
      <c r="F102" s="119">
        <v>6.6950000000000003</v>
      </c>
      <c r="G102" s="119">
        <v>6.6</v>
      </c>
      <c r="H102" s="119">
        <v>5.9</v>
      </c>
      <c r="I102" s="119">
        <v>8.2188999999999997</v>
      </c>
      <c r="J102" s="119">
        <v>3.399</v>
      </c>
      <c r="K102" s="119">
        <v>60.5</v>
      </c>
      <c r="L102" s="119">
        <v>0.26</v>
      </c>
      <c r="M102" s="119">
        <v>32.415799999999997</v>
      </c>
      <c r="N102" s="119">
        <v>7.62</v>
      </c>
    </row>
    <row r="103" spans="1:28" ht="14.5">
      <c r="A103" s="119">
        <v>28</v>
      </c>
      <c r="B103" s="119" t="s">
        <v>165</v>
      </c>
      <c r="C103" s="119">
        <v>1</v>
      </c>
      <c r="D103" s="119">
        <v>1</v>
      </c>
      <c r="E103" s="119">
        <v>101</v>
      </c>
      <c r="F103" s="119">
        <v>2.758</v>
      </c>
      <c r="G103" s="119">
        <v>301.2</v>
      </c>
      <c r="H103" s="119">
        <v>297.89999999999998</v>
      </c>
      <c r="I103" s="119">
        <v>5.2351000000000001</v>
      </c>
      <c r="J103" s="119">
        <v>3.2780999999999998</v>
      </c>
      <c r="K103" s="119">
        <v>63.6</v>
      </c>
      <c r="L103" s="119">
        <v>0.08</v>
      </c>
      <c r="M103" s="119">
        <v>33.823500000000003</v>
      </c>
      <c r="N103" s="119">
        <v>7.21</v>
      </c>
    </row>
    <row r="104" spans="1:28" s="159" customFormat="1" ht="14.5">
      <c r="A104" s="119">
        <v>28</v>
      </c>
      <c r="B104" s="119" t="s">
        <v>165</v>
      </c>
      <c r="C104" s="119">
        <v>2</v>
      </c>
      <c r="D104" s="119">
        <v>2</v>
      </c>
      <c r="E104" s="119">
        <v>102</v>
      </c>
      <c r="F104" s="119">
        <v>4.18</v>
      </c>
      <c r="G104" s="119">
        <v>201.4</v>
      </c>
      <c r="H104" s="119">
        <v>199</v>
      </c>
      <c r="I104" s="119">
        <v>6.4059999999999997</v>
      </c>
      <c r="J104" s="119">
        <v>3.3706999999999998</v>
      </c>
      <c r="K104" s="119">
        <v>63.7</v>
      </c>
      <c r="L104" s="119">
        <v>0.08</v>
      </c>
      <c r="M104" s="119">
        <v>33.748899999999999</v>
      </c>
      <c r="N104" s="119">
        <v>7.35</v>
      </c>
      <c r="O104" s="165"/>
      <c r="P104" s="165"/>
      <c r="Q104" s="167"/>
      <c r="R104" s="167"/>
      <c r="S104" s="167"/>
      <c r="T104" s="167"/>
      <c r="U104" s="170"/>
      <c r="V104" s="170"/>
      <c r="W104" s="172"/>
      <c r="X104" s="168"/>
      <c r="Y104" s="167"/>
    </row>
    <row r="105" spans="1:28" s="159" customFormat="1" ht="14.5">
      <c r="A105" s="119">
        <v>28</v>
      </c>
      <c r="B105" s="119" t="s">
        <v>165</v>
      </c>
      <c r="C105" s="119">
        <v>3</v>
      </c>
      <c r="D105" s="119">
        <v>3</v>
      </c>
      <c r="E105" s="119">
        <v>103</v>
      </c>
      <c r="F105" s="119">
        <v>5.1020000000000003</v>
      </c>
      <c r="G105" s="119">
        <v>149.69999999999999</v>
      </c>
      <c r="H105" s="119">
        <v>147.80000000000001</v>
      </c>
      <c r="I105" s="119">
        <v>7.2266000000000004</v>
      </c>
      <c r="J105" s="119">
        <v>3.4247000000000001</v>
      </c>
      <c r="K105" s="119">
        <v>64</v>
      </c>
      <c r="L105" s="119">
        <v>7.0000000000000007E-2</v>
      </c>
      <c r="M105" s="119">
        <v>33.563899999999997</v>
      </c>
      <c r="N105" s="119">
        <v>7.44</v>
      </c>
      <c r="O105" s="165"/>
      <c r="P105" s="165"/>
      <c r="Q105" s="167"/>
      <c r="R105" s="167"/>
      <c r="S105" s="167"/>
      <c r="T105" s="167"/>
      <c r="U105" s="170"/>
      <c r="V105" s="170"/>
      <c r="W105" s="172"/>
      <c r="X105" s="168"/>
      <c r="Y105" s="167"/>
    </row>
    <row r="106" spans="1:28" s="159" customFormat="1" ht="14.5">
      <c r="A106" s="119">
        <v>28</v>
      </c>
      <c r="B106" s="119" t="s">
        <v>165</v>
      </c>
      <c r="C106" s="119">
        <v>4</v>
      </c>
      <c r="D106" s="119">
        <v>4</v>
      </c>
      <c r="E106" s="119">
        <v>104</v>
      </c>
      <c r="F106" s="119">
        <v>5.1050000000000004</v>
      </c>
      <c r="G106" s="119">
        <v>151</v>
      </c>
      <c r="H106" s="119">
        <v>149.1</v>
      </c>
      <c r="I106" s="119">
        <v>7.2271000000000001</v>
      </c>
      <c r="J106" s="119">
        <v>3.4247000000000001</v>
      </c>
      <c r="K106" s="119">
        <v>64</v>
      </c>
      <c r="L106" s="119">
        <v>7.0000000000000007E-2</v>
      </c>
      <c r="M106" s="119">
        <v>33.563600000000001</v>
      </c>
      <c r="N106" s="119">
        <v>7.44</v>
      </c>
      <c r="O106" s="165"/>
      <c r="P106" s="165"/>
      <c r="Q106" s="167"/>
      <c r="R106" s="167"/>
      <c r="S106" s="167"/>
      <c r="T106" s="167"/>
      <c r="U106" s="170"/>
      <c r="V106" s="170"/>
      <c r="W106" s="172"/>
      <c r="X106" s="168"/>
      <c r="Y106" s="167"/>
    </row>
    <row r="107" spans="1:28" s="159" customFormat="1" ht="14.5">
      <c r="A107" s="119">
        <v>28</v>
      </c>
      <c r="B107" s="119" t="s">
        <v>165</v>
      </c>
      <c r="C107" s="119">
        <v>5</v>
      </c>
      <c r="D107" s="119">
        <v>5</v>
      </c>
      <c r="E107" s="119">
        <v>105</v>
      </c>
      <c r="F107" s="119">
        <v>5.7729999999999997</v>
      </c>
      <c r="G107" s="119">
        <v>124.5</v>
      </c>
      <c r="H107" s="119">
        <v>122.9</v>
      </c>
      <c r="I107" s="119">
        <v>6.6512000000000002</v>
      </c>
      <c r="J107" s="119">
        <v>3.3220999999999998</v>
      </c>
      <c r="K107" s="119">
        <v>64</v>
      </c>
      <c r="L107" s="119">
        <v>0.08</v>
      </c>
      <c r="M107" s="119">
        <v>33.008699999999997</v>
      </c>
      <c r="N107" s="119">
        <v>7.48</v>
      </c>
      <c r="O107" s="157"/>
      <c r="P107" s="157"/>
      <c r="Q107" s="151"/>
      <c r="R107" s="151"/>
      <c r="S107" s="151"/>
      <c r="T107" s="151"/>
      <c r="U107" s="155"/>
      <c r="V107" s="155"/>
      <c r="W107" s="158"/>
      <c r="X107" s="152"/>
      <c r="Y107" s="151"/>
    </row>
    <row r="108" spans="1:28" s="159" customFormat="1" ht="14.5">
      <c r="A108" s="119">
        <v>28</v>
      </c>
      <c r="B108" s="119" t="s">
        <v>165</v>
      </c>
      <c r="C108" s="119">
        <v>6</v>
      </c>
      <c r="D108" s="119">
        <v>6</v>
      </c>
      <c r="E108" s="119">
        <v>106</v>
      </c>
      <c r="F108" s="119">
        <v>6.7679999999999998</v>
      </c>
      <c r="G108" s="119">
        <v>100.9</v>
      </c>
      <c r="H108" s="119">
        <v>99.4</v>
      </c>
      <c r="I108" s="119">
        <v>7.0274000000000001</v>
      </c>
      <c r="J108" s="119">
        <v>3.298</v>
      </c>
      <c r="K108" s="119">
        <v>63</v>
      </c>
      <c r="L108" s="119">
        <v>0.11</v>
      </c>
      <c r="M108" s="119">
        <v>32.397799999999997</v>
      </c>
      <c r="N108" s="119">
        <v>7.57</v>
      </c>
      <c r="O108" s="157"/>
      <c r="P108" s="151"/>
      <c r="Q108" s="151"/>
      <c r="R108" s="175"/>
      <c r="S108" s="175"/>
      <c r="T108" s="175"/>
      <c r="U108" s="173"/>
      <c r="V108" s="158"/>
      <c r="W108" s="173"/>
      <c r="X108" s="173"/>
      <c r="Y108" s="175"/>
      <c r="Z108" s="177"/>
      <c r="AA108" s="177"/>
      <c r="AB108" s="152"/>
    </row>
    <row r="109" spans="1:28" s="159" customFormat="1" ht="14.5">
      <c r="A109" s="119">
        <v>28</v>
      </c>
      <c r="B109" s="119" t="s">
        <v>165</v>
      </c>
      <c r="C109" s="119">
        <v>7</v>
      </c>
      <c r="D109" s="119">
        <v>7</v>
      </c>
      <c r="E109" s="119">
        <v>107</v>
      </c>
      <c r="F109" s="119">
        <v>6.7750000000000004</v>
      </c>
      <c r="G109" s="119">
        <v>100.3</v>
      </c>
      <c r="H109" s="119">
        <v>98.8</v>
      </c>
      <c r="I109" s="119">
        <v>7.0270000000000001</v>
      </c>
      <c r="J109" s="119">
        <v>3.2978999999999998</v>
      </c>
      <c r="K109" s="119">
        <v>63</v>
      </c>
      <c r="L109" s="119">
        <v>0.11</v>
      </c>
      <c r="M109" s="119">
        <v>32.398000000000003</v>
      </c>
      <c r="N109" s="119">
        <v>7.57</v>
      </c>
      <c r="O109" s="248"/>
      <c r="P109" s="173"/>
      <c r="Q109" s="247"/>
      <c r="R109" s="173"/>
      <c r="S109" s="247"/>
      <c r="T109" s="175"/>
      <c r="U109" s="247"/>
      <c r="V109" s="158"/>
      <c r="W109" s="247"/>
      <c r="Y109" s="179"/>
      <c r="AA109" s="180"/>
    </row>
    <row r="110" spans="1:28" s="159" customFormat="1" ht="14.5">
      <c r="A110" s="119">
        <v>28</v>
      </c>
      <c r="B110" s="119" t="s">
        <v>165</v>
      </c>
      <c r="C110" s="119">
        <v>8</v>
      </c>
      <c r="D110" s="119">
        <v>8</v>
      </c>
      <c r="E110" s="119">
        <v>108</v>
      </c>
      <c r="F110" s="119">
        <v>6.7670000000000003</v>
      </c>
      <c r="G110" s="119">
        <v>101.4</v>
      </c>
      <c r="H110" s="119">
        <v>100</v>
      </c>
      <c r="I110" s="119">
        <v>7.0246000000000004</v>
      </c>
      <c r="J110" s="119">
        <v>3.2978000000000001</v>
      </c>
      <c r="K110" s="119">
        <v>63</v>
      </c>
      <c r="L110" s="119">
        <v>0.11</v>
      </c>
      <c r="M110" s="119">
        <v>32.398400000000002</v>
      </c>
      <c r="N110" s="119">
        <v>7.57</v>
      </c>
      <c r="O110" s="248"/>
      <c r="P110" s="173"/>
      <c r="Q110" s="247"/>
      <c r="R110" s="173"/>
      <c r="S110" s="247"/>
      <c r="T110" s="175"/>
      <c r="U110" s="247"/>
      <c r="V110" s="181"/>
      <c r="W110" s="247"/>
      <c r="X110" s="182"/>
      <c r="Y110" s="183"/>
      <c r="AA110" s="180"/>
    </row>
    <row r="111" spans="1:28" s="190" customFormat="1" ht="14.5">
      <c r="A111" s="119">
        <v>28</v>
      </c>
      <c r="B111" s="119" t="s">
        <v>165</v>
      </c>
      <c r="C111" s="119">
        <v>9</v>
      </c>
      <c r="D111" s="119">
        <v>9</v>
      </c>
      <c r="E111" s="119">
        <v>109</v>
      </c>
      <c r="F111" s="119">
        <v>6.7910000000000004</v>
      </c>
      <c r="G111" s="119">
        <v>74.900000000000006</v>
      </c>
      <c r="H111" s="119">
        <v>73.7</v>
      </c>
      <c r="I111" s="119">
        <v>7.0711000000000004</v>
      </c>
      <c r="J111" s="119">
        <v>3.2991999999999999</v>
      </c>
      <c r="K111" s="119">
        <v>62.5</v>
      </c>
      <c r="L111" s="119">
        <v>0.13</v>
      </c>
      <c r="M111" s="119">
        <v>32.3825</v>
      </c>
      <c r="N111" s="119">
        <v>7.58</v>
      </c>
      <c r="O111" s="184"/>
      <c r="P111" s="185"/>
      <c r="Q111" s="185"/>
      <c r="R111" s="185"/>
      <c r="S111" s="185"/>
      <c r="T111" s="187"/>
      <c r="U111" s="187"/>
      <c r="V111" s="185"/>
      <c r="W111" s="189"/>
      <c r="Y111" s="191"/>
      <c r="AA111" s="189"/>
      <c r="AB111" s="186"/>
    </row>
    <row r="112" spans="1:28" ht="14.5">
      <c r="A112" s="119">
        <v>28</v>
      </c>
      <c r="B112" s="119" t="s">
        <v>165</v>
      </c>
      <c r="C112" s="119">
        <v>10</v>
      </c>
      <c r="D112" s="119">
        <v>10</v>
      </c>
      <c r="E112" s="119">
        <v>110</v>
      </c>
      <c r="F112" s="119">
        <v>6.8659999999999997</v>
      </c>
      <c r="G112" s="119">
        <v>52.6</v>
      </c>
      <c r="H112" s="119">
        <v>51.5</v>
      </c>
      <c r="I112" s="119">
        <v>7.306</v>
      </c>
      <c r="J112" s="119">
        <v>3.3186</v>
      </c>
      <c r="K112" s="119">
        <v>59</v>
      </c>
      <c r="L112" s="119">
        <v>0.22</v>
      </c>
      <c r="M112" s="119">
        <v>32.383400000000002</v>
      </c>
      <c r="N112" s="119">
        <v>7.59</v>
      </c>
    </row>
    <row r="113" spans="1:25" ht="14.5">
      <c r="A113" s="119">
        <v>28</v>
      </c>
      <c r="B113" s="119" t="s">
        <v>165</v>
      </c>
      <c r="C113" s="119">
        <v>11</v>
      </c>
      <c r="D113" s="119">
        <v>11</v>
      </c>
      <c r="E113" s="119">
        <v>111</v>
      </c>
      <c r="F113" s="119">
        <v>6.8719999999999999</v>
      </c>
      <c r="G113" s="119">
        <v>51.9</v>
      </c>
      <c r="H113" s="119">
        <v>50.9</v>
      </c>
      <c r="I113" s="119">
        <v>7.3080999999999996</v>
      </c>
      <c r="J113" s="119">
        <v>3.3188</v>
      </c>
      <c r="K113" s="119">
        <v>59.1</v>
      </c>
      <c r="L113" s="119">
        <v>0.22</v>
      </c>
      <c r="M113" s="119">
        <v>32.383499999999998</v>
      </c>
      <c r="N113" s="119">
        <v>7.59</v>
      </c>
    </row>
    <row r="114" spans="1:25" ht="14.5">
      <c r="A114" s="119">
        <v>28</v>
      </c>
      <c r="B114" s="119" t="s">
        <v>165</v>
      </c>
      <c r="C114" s="119">
        <v>12</v>
      </c>
      <c r="D114" s="119">
        <v>12</v>
      </c>
      <c r="E114" s="119">
        <v>112</v>
      </c>
      <c r="F114" s="119">
        <v>6.8710000000000004</v>
      </c>
      <c r="G114" s="119">
        <v>51.6</v>
      </c>
      <c r="H114" s="119">
        <v>50.5</v>
      </c>
      <c r="I114" s="119">
        <v>7.3085000000000004</v>
      </c>
      <c r="J114" s="119">
        <v>3.3188</v>
      </c>
      <c r="K114" s="119">
        <v>59.1</v>
      </c>
      <c r="L114" s="119">
        <v>0.22</v>
      </c>
      <c r="M114" s="119">
        <v>32.383699999999997</v>
      </c>
      <c r="N114" s="119">
        <v>7.59</v>
      </c>
    </row>
    <row r="115" spans="1:25" ht="14.5">
      <c r="A115" s="119">
        <v>28</v>
      </c>
      <c r="B115" s="119" t="s">
        <v>165</v>
      </c>
      <c r="C115" s="119">
        <v>13</v>
      </c>
      <c r="D115" s="119">
        <v>13</v>
      </c>
      <c r="E115" s="119">
        <v>113</v>
      </c>
      <c r="F115" s="119">
        <v>6.8630000000000004</v>
      </c>
      <c r="G115" s="119">
        <v>26.8</v>
      </c>
      <c r="H115" s="119">
        <v>26</v>
      </c>
      <c r="I115" s="119">
        <v>7.4653</v>
      </c>
      <c r="J115" s="119">
        <v>3.3321999999999998</v>
      </c>
      <c r="K115" s="119">
        <v>58.2</v>
      </c>
      <c r="L115" s="119">
        <v>0.26</v>
      </c>
      <c r="M115" s="119">
        <v>32.392899999999997</v>
      </c>
      <c r="N115" s="119">
        <v>7.59</v>
      </c>
    </row>
    <row r="116" spans="1:25" ht="14.5">
      <c r="A116" s="119">
        <v>28</v>
      </c>
      <c r="B116" s="119" t="s">
        <v>165</v>
      </c>
      <c r="C116" s="119">
        <v>14</v>
      </c>
      <c r="D116" s="119">
        <v>14</v>
      </c>
      <c r="E116" s="119">
        <v>114</v>
      </c>
      <c r="F116" s="119">
        <v>6.8630000000000004</v>
      </c>
      <c r="G116" s="119">
        <v>26.3</v>
      </c>
      <c r="H116" s="119">
        <v>25.5</v>
      </c>
      <c r="I116" s="119">
        <v>7.4626999999999999</v>
      </c>
      <c r="J116" s="119">
        <v>3.3319000000000001</v>
      </c>
      <c r="K116" s="119">
        <v>58.3</v>
      </c>
      <c r="L116" s="119">
        <v>0.26</v>
      </c>
      <c r="M116" s="119">
        <v>32.392800000000001</v>
      </c>
      <c r="N116" s="119">
        <v>7.59</v>
      </c>
    </row>
    <row r="117" spans="1:25" ht="14.5">
      <c r="A117" s="119">
        <v>28</v>
      </c>
      <c r="B117" s="119" t="s">
        <v>165</v>
      </c>
      <c r="C117" s="119">
        <v>15</v>
      </c>
      <c r="D117" s="119">
        <v>15</v>
      </c>
      <c r="E117" s="119">
        <v>115</v>
      </c>
      <c r="F117" s="119">
        <v>6.86</v>
      </c>
      <c r="G117" s="119">
        <v>26.5</v>
      </c>
      <c r="H117" s="119">
        <v>25.7</v>
      </c>
      <c r="I117" s="119">
        <v>7.4598000000000004</v>
      </c>
      <c r="J117" s="119">
        <v>3.3317000000000001</v>
      </c>
      <c r="K117" s="119">
        <v>58.2</v>
      </c>
      <c r="L117" s="119">
        <v>0.26</v>
      </c>
      <c r="M117" s="119">
        <v>32.392800000000001</v>
      </c>
      <c r="N117" s="119">
        <v>7.59</v>
      </c>
    </row>
    <row r="118" spans="1:25" ht="14.5">
      <c r="A118" s="119">
        <v>28</v>
      </c>
      <c r="B118" s="119" t="s">
        <v>165</v>
      </c>
      <c r="C118" s="119">
        <v>16</v>
      </c>
      <c r="D118" s="119">
        <v>16</v>
      </c>
      <c r="E118" s="119">
        <v>116</v>
      </c>
      <c r="F118" s="119">
        <v>6.8650000000000002</v>
      </c>
      <c r="G118" s="119">
        <v>6</v>
      </c>
      <c r="H118" s="119">
        <v>5.4</v>
      </c>
      <c r="I118" s="119">
        <v>7.4748999999999999</v>
      </c>
      <c r="J118" s="119">
        <v>3.3321999999999998</v>
      </c>
      <c r="K118" s="119">
        <v>58.2</v>
      </c>
      <c r="L118" s="119">
        <v>0.24</v>
      </c>
      <c r="M118" s="119">
        <v>32.393999999999998</v>
      </c>
      <c r="N118" s="119">
        <v>7.59</v>
      </c>
    </row>
    <row r="119" spans="1:25" ht="14.5">
      <c r="A119" s="119">
        <v>28</v>
      </c>
      <c r="B119" s="119" t="s">
        <v>165</v>
      </c>
      <c r="C119" s="119">
        <v>17</v>
      </c>
      <c r="D119" s="119">
        <v>17</v>
      </c>
      <c r="E119" s="119">
        <v>117</v>
      </c>
      <c r="F119" s="119">
        <v>6.8609999999999998</v>
      </c>
      <c r="G119" s="119">
        <v>6.9</v>
      </c>
      <c r="H119" s="119">
        <v>6.3</v>
      </c>
      <c r="I119" s="119">
        <v>7.4755000000000003</v>
      </c>
      <c r="J119" s="119">
        <v>3.3323</v>
      </c>
      <c r="K119" s="119">
        <v>58.2</v>
      </c>
      <c r="L119" s="119">
        <v>0.24</v>
      </c>
      <c r="M119" s="119">
        <v>32.393900000000002</v>
      </c>
      <c r="N119" s="119">
        <v>7.59</v>
      </c>
    </row>
    <row r="120" spans="1:25" ht="14.5">
      <c r="A120" s="119">
        <v>28</v>
      </c>
      <c r="B120" s="119" t="s">
        <v>165</v>
      </c>
      <c r="C120" s="119">
        <v>18</v>
      </c>
      <c r="D120" s="119">
        <v>18</v>
      </c>
      <c r="E120" s="119">
        <v>118</v>
      </c>
      <c r="F120" s="119">
        <v>6.875</v>
      </c>
      <c r="G120" s="119">
        <v>6.8</v>
      </c>
      <c r="H120" s="119">
        <v>6.2</v>
      </c>
      <c r="I120" s="119">
        <v>7.4749999999999996</v>
      </c>
      <c r="J120" s="119">
        <v>3.3323</v>
      </c>
      <c r="K120" s="119">
        <v>58.2</v>
      </c>
      <c r="L120" s="119">
        <v>0.24</v>
      </c>
      <c r="M120" s="119">
        <v>32.393900000000002</v>
      </c>
      <c r="N120" s="119">
        <v>7.59</v>
      </c>
    </row>
    <row r="121" spans="1:25" ht="14.5">
      <c r="A121" s="119">
        <v>28</v>
      </c>
      <c r="B121" s="119" t="s">
        <v>165</v>
      </c>
      <c r="C121" s="119">
        <v>19</v>
      </c>
      <c r="D121" s="119">
        <v>19</v>
      </c>
      <c r="E121" s="119">
        <v>119</v>
      </c>
      <c r="F121" s="119">
        <v>6.8810000000000002</v>
      </c>
      <c r="G121" s="119">
        <v>6.4</v>
      </c>
      <c r="H121" s="119">
        <v>5.7</v>
      </c>
      <c r="I121" s="119">
        <v>7.4748999999999999</v>
      </c>
      <c r="J121" s="119">
        <v>3.3321999999999998</v>
      </c>
      <c r="K121" s="119">
        <v>58.2</v>
      </c>
      <c r="L121" s="119">
        <v>0.24</v>
      </c>
      <c r="M121" s="119">
        <v>32.393900000000002</v>
      </c>
      <c r="N121" s="119">
        <v>7.59</v>
      </c>
    </row>
    <row r="122" spans="1:25" ht="14.5">
      <c r="A122" s="119">
        <v>28</v>
      </c>
      <c r="B122" s="119" t="s">
        <v>165</v>
      </c>
      <c r="C122" s="119">
        <v>20</v>
      </c>
      <c r="D122" s="119">
        <v>20</v>
      </c>
      <c r="E122" s="119">
        <v>120</v>
      </c>
      <c r="F122" s="119">
        <v>6.8760000000000003</v>
      </c>
      <c r="G122" s="119">
        <v>6.7</v>
      </c>
      <c r="H122" s="119">
        <v>6</v>
      </c>
      <c r="I122" s="119">
        <v>7.4728000000000003</v>
      </c>
      <c r="J122" s="119">
        <v>3.3321000000000001</v>
      </c>
      <c r="K122" s="119">
        <v>58.2</v>
      </c>
      <c r="L122" s="119">
        <v>0.25</v>
      </c>
      <c r="M122" s="119">
        <v>32.393799999999999</v>
      </c>
      <c r="N122" s="119">
        <v>7.59</v>
      </c>
    </row>
    <row r="123" spans="1:25" ht="14.5">
      <c r="A123" s="119">
        <v>32</v>
      </c>
      <c r="B123" s="119" t="s">
        <v>166</v>
      </c>
      <c r="C123" s="119">
        <v>1</v>
      </c>
      <c r="D123" s="119">
        <v>1</v>
      </c>
      <c r="E123" s="119">
        <v>121</v>
      </c>
      <c r="F123" s="119">
        <v>1.9590000000000001</v>
      </c>
      <c r="G123" s="119">
        <v>302</v>
      </c>
      <c r="H123" s="119">
        <v>298.60000000000002</v>
      </c>
      <c r="I123" s="119">
        <v>4.4175000000000004</v>
      </c>
      <c r="J123" s="119">
        <v>3.2063000000000001</v>
      </c>
      <c r="K123" s="119">
        <v>66.599999999999994</v>
      </c>
      <c r="L123" s="119">
        <v>0.08</v>
      </c>
      <c r="M123" s="119">
        <v>33.822600000000001</v>
      </c>
      <c r="N123" s="119">
        <v>7.13</v>
      </c>
    </row>
    <row r="124" spans="1:25" ht="14.5">
      <c r="A124" s="119">
        <v>32</v>
      </c>
      <c r="B124" s="119" t="s">
        <v>166</v>
      </c>
      <c r="C124" s="119">
        <v>2</v>
      </c>
      <c r="D124" s="119">
        <v>2</v>
      </c>
      <c r="E124" s="119">
        <v>122</v>
      </c>
      <c r="F124" s="119">
        <v>3.15</v>
      </c>
      <c r="G124" s="119">
        <v>203.6</v>
      </c>
      <c r="H124" s="119">
        <v>201.2</v>
      </c>
      <c r="I124" s="119">
        <v>5.1668000000000003</v>
      </c>
      <c r="J124" s="119">
        <v>3.2601</v>
      </c>
      <c r="K124" s="119">
        <v>66.099999999999994</v>
      </c>
      <c r="L124" s="119">
        <v>0.08</v>
      </c>
      <c r="M124" s="119">
        <v>33.735300000000002</v>
      </c>
      <c r="N124" s="119">
        <v>7.24</v>
      </c>
    </row>
    <row r="125" spans="1:25" ht="14.5">
      <c r="A125" s="119">
        <v>32</v>
      </c>
      <c r="B125" s="119" t="s">
        <v>166</v>
      </c>
      <c r="C125" s="119">
        <v>3</v>
      </c>
      <c r="D125" s="119">
        <v>3</v>
      </c>
      <c r="E125" s="119">
        <v>123</v>
      </c>
      <c r="F125" s="119">
        <v>4.258</v>
      </c>
      <c r="G125" s="119">
        <v>150.6</v>
      </c>
      <c r="H125" s="119">
        <v>148.69999999999999</v>
      </c>
      <c r="I125" s="119">
        <v>5.9263000000000003</v>
      </c>
      <c r="J125" s="119">
        <v>3.3140000000000001</v>
      </c>
      <c r="K125" s="119">
        <v>66.2</v>
      </c>
      <c r="L125" s="119">
        <v>0.06</v>
      </c>
      <c r="M125" s="119">
        <v>33.6145</v>
      </c>
      <c r="N125" s="119">
        <v>7.36</v>
      </c>
    </row>
    <row r="126" spans="1:25" s="159" customFormat="1" ht="14.5">
      <c r="A126" s="119">
        <v>32</v>
      </c>
      <c r="B126" s="119" t="s">
        <v>166</v>
      </c>
      <c r="C126" s="119">
        <v>4</v>
      </c>
      <c r="D126" s="119">
        <v>4</v>
      </c>
      <c r="E126" s="119">
        <v>124</v>
      </c>
      <c r="F126" s="119">
        <v>4.2249999999999996</v>
      </c>
      <c r="G126" s="119">
        <v>152.80000000000001</v>
      </c>
      <c r="H126" s="119">
        <v>150.80000000000001</v>
      </c>
      <c r="I126" s="119">
        <v>5.9100999999999999</v>
      </c>
      <c r="J126" s="119">
        <v>3.3136999999999999</v>
      </c>
      <c r="K126" s="119">
        <v>66.099999999999994</v>
      </c>
      <c r="L126" s="119">
        <v>0.06</v>
      </c>
      <c r="M126" s="119">
        <v>33.6265</v>
      </c>
      <c r="N126" s="119">
        <v>7.35</v>
      </c>
      <c r="O126" s="165"/>
      <c r="P126" s="165"/>
      <c r="Q126" s="167"/>
      <c r="R126" s="167"/>
      <c r="S126" s="167"/>
      <c r="T126" s="167"/>
      <c r="U126" s="170"/>
      <c r="V126" s="170"/>
      <c r="W126" s="172"/>
      <c r="X126" s="168"/>
      <c r="Y126" s="167"/>
    </row>
    <row r="127" spans="1:25" s="159" customFormat="1" ht="14.5">
      <c r="A127" s="119">
        <v>32</v>
      </c>
      <c r="B127" s="119" t="s">
        <v>166</v>
      </c>
      <c r="C127" s="119">
        <v>5</v>
      </c>
      <c r="D127" s="119">
        <v>5</v>
      </c>
      <c r="E127" s="119">
        <v>125</v>
      </c>
      <c r="F127" s="119">
        <v>4.8890000000000002</v>
      </c>
      <c r="G127" s="119">
        <v>126.5</v>
      </c>
      <c r="H127" s="119">
        <v>124.8</v>
      </c>
      <c r="I127" s="119">
        <v>6.0251999999999999</v>
      </c>
      <c r="J127" s="119">
        <v>3.2968999999999999</v>
      </c>
      <c r="K127" s="119">
        <v>66.099999999999994</v>
      </c>
      <c r="L127" s="119">
        <v>7.0000000000000007E-2</v>
      </c>
      <c r="M127" s="119">
        <v>33.3369</v>
      </c>
      <c r="N127" s="119">
        <v>7.41</v>
      </c>
      <c r="O127" s="165"/>
      <c r="P127" s="165"/>
      <c r="Q127" s="167"/>
      <c r="R127" s="167"/>
      <c r="S127" s="167"/>
      <c r="T127" s="167"/>
      <c r="U127" s="170"/>
      <c r="V127" s="170"/>
      <c r="W127" s="172"/>
      <c r="X127" s="168"/>
      <c r="Y127" s="167"/>
    </row>
    <row r="128" spans="1:25" s="159" customFormat="1" ht="14.5">
      <c r="A128" s="119">
        <v>32</v>
      </c>
      <c r="B128" s="119" t="s">
        <v>166</v>
      </c>
      <c r="C128" s="119">
        <v>6</v>
      </c>
      <c r="D128" s="119">
        <v>6</v>
      </c>
      <c r="E128" s="119">
        <v>126</v>
      </c>
      <c r="F128" s="119">
        <v>6.3659999999999997</v>
      </c>
      <c r="G128" s="119">
        <v>99.9</v>
      </c>
      <c r="H128" s="119">
        <v>98.4</v>
      </c>
      <c r="I128" s="119">
        <v>6.4391999999999996</v>
      </c>
      <c r="J128" s="119">
        <v>3.2685</v>
      </c>
      <c r="K128" s="119">
        <v>65.599999999999994</v>
      </c>
      <c r="L128" s="119">
        <v>0.09</v>
      </c>
      <c r="M128" s="119">
        <v>32.631700000000002</v>
      </c>
      <c r="N128" s="119">
        <v>7.54</v>
      </c>
      <c r="O128" s="165"/>
      <c r="P128" s="165"/>
      <c r="Q128" s="167"/>
      <c r="R128" s="167"/>
      <c r="S128" s="167"/>
      <c r="T128" s="167"/>
      <c r="U128" s="170"/>
      <c r="V128" s="170"/>
      <c r="W128" s="172"/>
      <c r="X128" s="168"/>
      <c r="Y128" s="167"/>
    </row>
    <row r="129" spans="1:28" s="159" customFormat="1" ht="14.5">
      <c r="A129" s="119">
        <v>32</v>
      </c>
      <c r="B129" s="119" t="s">
        <v>166</v>
      </c>
      <c r="C129" s="119">
        <v>7</v>
      </c>
      <c r="D129" s="119">
        <v>7</v>
      </c>
      <c r="E129" s="119">
        <v>127</v>
      </c>
      <c r="F129" s="119">
        <v>6.39</v>
      </c>
      <c r="G129" s="119">
        <v>99.6</v>
      </c>
      <c r="H129" s="119">
        <v>98.2</v>
      </c>
      <c r="I129" s="119">
        <v>6.4333999999999998</v>
      </c>
      <c r="J129" s="119">
        <v>3.2683</v>
      </c>
      <c r="K129" s="119">
        <v>65.5</v>
      </c>
      <c r="L129" s="119">
        <v>0.09</v>
      </c>
      <c r="M129" s="119">
        <v>32.635599999999997</v>
      </c>
      <c r="N129" s="119">
        <v>7.54</v>
      </c>
      <c r="O129" s="157"/>
      <c r="P129" s="157"/>
      <c r="Q129" s="151"/>
      <c r="R129" s="151"/>
      <c r="S129" s="151"/>
      <c r="T129" s="151"/>
      <c r="U129" s="155"/>
      <c r="V129" s="155"/>
      <c r="W129" s="158"/>
      <c r="X129" s="152"/>
      <c r="Y129" s="151"/>
    </row>
    <row r="130" spans="1:28" s="159" customFormat="1" ht="14.5">
      <c r="A130" s="119">
        <v>32</v>
      </c>
      <c r="B130" s="119" t="s">
        <v>166</v>
      </c>
      <c r="C130" s="119">
        <v>8</v>
      </c>
      <c r="D130" s="119">
        <v>8</v>
      </c>
      <c r="E130" s="119">
        <v>128</v>
      </c>
      <c r="F130" s="119">
        <v>6.3280000000000003</v>
      </c>
      <c r="G130" s="119">
        <v>101.6</v>
      </c>
      <c r="H130" s="119">
        <v>100.1</v>
      </c>
      <c r="I130" s="119">
        <v>6.3789999999999996</v>
      </c>
      <c r="J130" s="119">
        <v>3.2658</v>
      </c>
      <c r="K130" s="119">
        <v>65.599999999999994</v>
      </c>
      <c r="L130" s="119">
        <v>0.09</v>
      </c>
      <c r="M130" s="119">
        <v>32.659300000000002</v>
      </c>
      <c r="N130" s="119">
        <v>7.54</v>
      </c>
      <c r="O130" s="157"/>
      <c r="P130" s="151"/>
      <c r="Q130" s="151"/>
      <c r="R130" s="175"/>
      <c r="S130" s="175"/>
      <c r="T130" s="175"/>
      <c r="U130" s="173"/>
      <c r="V130" s="158"/>
      <c r="W130" s="173"/>
      <c r="X130" s="173"/>
      <c r="Y130" s="175"/>
      <c r="Z130" s="177"/>
      <c r="AA130" s="177"/>
      <c r="AB130" s="152"/>
    </row>
    <row r="131" spans="1:28" s="159" customFormat="1" ht="14.5">
      <c r="A131" s="119">
        <v>32</v>
      </c>
      <c r="B131" s="119" t="s">
        <v>166</v>
      </c>
      <c r="C131" s="119">
        <v>9</v>
      </c>
      <c r="D131" s="119">
        <v>9</v>
      </c>
      <c r="E131" s="119">
        <v>129</v>
      </c>
      <c r="F131" s="119">
        <v>6.9550000000000001</v>
      </c>
      <c r="G131" s="119">
        <v>76.2</v>
      </c>
      <c r="H131" s="119">
        <v>74.900000000000006</v>
      </c>
      <c r="I131" s="119">
        <v>6.5918000000000001</v>
      </c>
      <c r="J131" s="119">
        <v>3.2572000000000001</v>
      </c>
      <c r="K131" s="119">
        <v>63.5</v>
      </c>
      <c r="L131" s="119">
        <v>0.15</v>
      </c>
      <c r="M131" s="119">
        <v>32.374099999999999</v>
      </c>
      <c r="N131" s="119">
        <v>7.59</v>
      </c>
      <c r="O131" s="248"/>
      <c r="P131" s="173"/>
      <c r="Q131" s="247"/>
      <c r="R131" s="173"/>
      <c r="S131" s="247"/>
      <c r="T131" s="175"/>
      <c r="U131" s="247"/>
      <c r="V131" s="158"/>
      <c r="W131" s="247"/>
      <c r="Y131" s="179"/>
      <c r="AA131" s="180"/>
    </row>
    <row r="132" spans="1:28" s="159" customFormat="1" ht="14.5">
      <c r="A132" s="119">
        <v>32</v>
      </c>
      <c r="B132" s="119" t="s">
        <v>166</v>
      </c>
      <c r="C132" s="119">
        <v>10</v>
      </c>
      <c r="D132" s="119">
        <v>10</v>
      </c>
      <c r="E132" s="119">
        <v>130</v>
      </c>
      <c r="F132" s="119">
        <v>6.9569999999999999</v>
      </c>
      <c r="G132" s="119">
        <v>54.1</v>
      </c>
      <c r="H132" s="119">
        <v>53.1</v>
      </c>
      <c r="I132" s="119">
        <v>6.6870000000000003</v>
      </c>
      <c r="J132" s="119">
        <v>3.2650000000000001</v>
      </c>
      <c r="K132" s="119">
        <v>62.2</v>
      </c>
      <c r="L132" s="119">
        <v>0.18</v>
      </c>
      <c r="M132" s="119">
        <v>32.379399999999997</v>
      </c>
      <c r="N132" s="119">
        <v>7.59</v>
      </c>
      <c r="O132" s="248"/>
      <c r="P132" s="173"/>
      <c r="Q132" s="247"/>
      <c r="R132" s="173"/>
      <c r="S132" s="247"/>
      <c r="T132" s="175"/>
      <c r="U132" s="247"/>
      <c r="V132" s="181"/>
      <c r="W132" s="247"/>
      <c r="X132" s="182"/>
      <c r="Y132" s="183"/>
      <c r="AA132" s="180"/>
    </row>
    <row r="133" spans="1:28" s="190" customFormat="1" ht="14.5">
      <c r="A133" s="119">
        <v>32</v>
      </c>
      <c r="B133" s="119" t="s">
        <v>166</v>
      </c>
      <c r="C133" s="119">
        <v>11</v>
      </c>
      <c r="D133" s="119">
        <v>11</v>
      </c>
      <c r="E133" s="119">
        <v>131</v>
      </c>
      <c r="F133" s="119">
        <v>6.9690000000000003</v>
      </c>
      <c r="G133" s="119">
        <v>52.5</v>
      </c>
      <c r="H133" s="119">
        <v>51.5</v>
      </c>
      <c r="I133" s="119">
        <v>6.7049000000000003</v>
      </c>
      <c r="J133" s="119">
        <v>3.2665000000000002</v>
      </c>
      <c r="K133" s="119">
        <v>61.8</v>
      </c>
      <c r="L133" s="119">
        <v>0.18</v>
      </c>
      <c r="M133" s="119">
        <v>32.379899999999999</v>
      </c>
      <c r="N133" s="119">
        <v>7.59</v>
      </c>
      <c r="O133" s="184"/>
      <c r="P133" s="185"/>
      <c r="Q133" s="185"/>
      <c r="R133" s="185"/>
      <c r="S133" s="185"/>
      <c r="T133" s="187"/>
      <c r="U133" s="187"/>
      <c r="V133" s="185"/>
      <c r="W133" s="189"/>
      <c r="Y133" s="191"/>
      <c r="AA133" s="189"/>
      <c r="AB133" s="186"/>
    </row>
    <row r="134" spans="1:28" ht="14.5">
      <c r="A134" s="119">
        <v>32</v>
      </c>
      <c r="B134" s="119" t="s">
        <v>166</v>
      </c>
      <c r="C134" s="119">
        <v>12</v>
      </c>
      <c r="D134" s="119">
        <v>12</v>
      </c>
      <c r="E134" s="119">
        <v>132</v>
      </c>
      <c r="F134" s="119">
        <v>6.9560000000000004</v>
      </c>
      <c r="G134" s="119">
        <v>53.3</v>
      </c>
      <c r="H134" s="119">
        <v>52.3</v>
      </c>
      <c r="I134" s="119">
        <v>6.6962000000000002</v>
      </c>
      <c r="J134" s="119">
        <v>3.2658</v>
      </c>
      <c r="K134" s="119">
        <v>62.1</v>
      </c>
      <c r="L134" s="119">
        <v>0.19</v>
      </c>
      <c r="M134" s="119">
        <v>32.379800000000003</v>
      </c>
      <c r="N134" s="119">
        <v>7.59</v>
      </c>
    </row>
    <row r="135" spans="1:28" ht="14.5">
      <c r="A135" s="119">
        <v>32</v>
      </c>
      <c r="B135" s="119" t="s">
        <v>166</v>
      </c>
      <c r="C135" s="119">
        <v>13</v>
      </c>
      <c r="D135" s="119">
        <v>13</v>
      </c>
      <c r="E135" s="119">
        <v>133</v>
      </c>
      <c r="F135" s="119">
        <v>6.9390000000000001</v>
      </c>
      <c r="G135" s="119">
        <v>26.3</v>
      </c>
      <c r="H135" s="119">
        <v>25.4</v>
      </c>
      <c r="I135" s="119">
        <v>6.8601000000000001</v>
      </c>
      <c r="J135" s="119">
        <v>3.2780999999999998</v>
      </c>
      <c r="K135" s="119">
        <v>60.4</v>
      </c>
      <c r="L135" s="119">
        <v>0.24</v>
      </c>
      <c r="M135" s="119">
        <v>32.3735</v>
      </c>
      <c r="N135" s="119">
        <v>7.6</v>
      </c>
    </row>
    <row r="136" spans="1:28" ht="14.5">
      <c r="A136" s="119">
        <v>32</v>
      </c>
      <c r="B136" s="119" t="s">
        <v>166</v>
      </c>
      <c r="C136" s="119">
        <v>14</v>
      </c>
      <c r="D136" s="119">
        <v>14</v>
      </c>
      <c r="E136" s="119">
        <v>134</v>
      </c>
      <c r="F136" s="119">
        <v>6.9320000000000004</v>
      </c>
      <c r="G136" s="119">
        <v>26.1</v>
      </c>
      <c r="H136" s="119">
        <v>25.3</v>
      </c>
      <c r="I136" s="119">
        <v>6.8602999999999996</v>
      </c>
      <c r="J136" s="119">
        <v>3.2780999999999998</v>
      </c>
      <c r="K136" s="119">
        <v>60.4</v>
      </c>
      <c r="L136" s="119">
        <v>0.24</v>
      </c>
      <c r="M136" s="119">
        <v>32.373399999999997</v>
      </c>
      <c r="N136" s="119">
        <v>7.6</v>
      </c>
    </row>
    <row r="137" spans="1:28" ht="14.5">
      <c r="A137" s="119">
        <v>32</v>
      </c>
      <c r="B137" s="119" t="s">
        <v>166</v>
      </c>
      <c r="C137" s="119">
        <v>15</v>
      </c>
      <c r="D137" s="119">
        <v>15</v>
      </c>
      <c r="E137" s="119">
        <v>135</v>
      </c>
      <c r="F137" s="119">
        <v>6.9370000000000003</v>
      </c>
      <c r="G137" s="119">
        <v>24.8</v>
      </c>
      <c r="H137" s="119">
        <v>24</v>
      </c>
      <c r="I137" s="119">
        <v>6.8597000000000001</v>
      </c>
      <c r="J137" s="119">
        <v>3.278</v>
      </c>
      <c r="K137" s="119">
        <v>60.4</v>
      </c>
      <c r="L137" s="119">
        <v>0.24</v>
      </c>
      <c r="M137" s="119">
        <v>32.373600000000003</v>
      </c>
      <c r="N137" s="119">
        <v>7.6</v>
      </c>
    </row>
    <row r="138" spans="1:28" ht="14.5">
      <c r="A138" s="119">
        <v>32</v>
      </c>
      <c r="B138" s="119" t="s">
        <v>166</v>
      </c>
      <c r="C138" s="119">
        <v>16</v>
      </c>
      <c r="D138" s="119">
        <v>16</v>
      </c>
      <c r="E138" s="119">
        <v>136</v>
      </c>
      <c r="F138" s="119">
        <v>6.944</v>
      </c>
      <c r="G138" s="119">
        <v>5.9</v>
      </c>
      <c r="H138" s="119">
        <v>5.2</v>
      </c>
      <c r="I138" s="119">
        <v>6.8661000000000003</v>
      </c>
      <c r="J138" s="119">
        <v>3.2774999999999999</v>
      </c>
      <c r="K138" s="119">
        <v>60.1</v>
      </c>
      <c r="L138" s="119">
        <v>0.26</v>
      </c>
      <c r="M138" s="119">
        <v>32.370899999999999</v>
      </c>
      <c r="N138" s="119">
        <v>7.6</v>
      </c>
    </row>
    <row r="139" spans="1:28" ht="14.5">
      <c r="A139" s="119">
        <v>32</v>
      </c>
      <c r="B139" s="119" t="s">
        <v>166</v>
      </c>
      <c r="C139" s="119">
        <v>17</v>
      </c>
      <c r="D139" s="119">
        <v>17</v>
      </c>
      <c r="E139" s="119">
        <v>137</v>
      </c>
      <c r="F139" s="119">
        <v>6.952</v>
      </c>
      <c r="G139" s="119">
        <v>6.4</v>
      </c>
      <c r="H139" s="119">
        <v>5.8</v>
      </c>
      <c r="I139" s="119">
        <v>6.8662000000000001</v>
      </c>
      <c r="J139" s="119">
        <v>3.2774999999999999</v>
      </c>
      <c r="K139" s="119">
        <v>60.2</v>
      </c>
      <c r="L139" s="119">
        <v>0.26</v>
      </c>
      <c r="M139" s="119">
        <v>32.370699999999999</v>
      </c>
      <c r="N139" s="119">
        <v>7.6</v>
      </c>
    </row>
    <row r="140" spans="1:28" ht="14.5">
      <c r="A140" s="119">
        <v>32</v>
      </c>
      <c r="B140" s="119" t="s">
        <v>166</v>
      </c>
      <c r="C140" s="119">
        <v>18</v>
      </c>
      <c r="D140" s="119">
        <v>18</v>
      </c>
      <c r="E140" s="119">
        <v>138</v>
      </c>
      <c r="F140" s="119">
        <v>6.9480000000000004</v>
      </c>
      <c r="G140" s="119">
        <v>7.1</v>
      </c>
      <c r="H140" s="119">
        <v>6.5</v>
      </c>
      <c r="I140" s="119">
        <v>6.8662000000000001</v>
      </c>
      <c r="J140" s="119">
        <v>3.2776000000000001</v>
      </c>
      <c r="K140" s="119">
        <v>60.2</v>
      </c>
      <c r="L140" s="119">
        <v>0.26</v>
      </c>
      <c r="M140" s="119">
        <v>32.370800000000003</v>
      </c>
      <c r="N140" s="119">
        <v>7.6</v>
      </c>
    </row>
    <row r="141" spans="1:28" ht="14.5">
      <c r="A141" s="119">
        <v>32</v>
      </c>
      <c r="B141" s="119" t="s">
        <v>166</v>
      </c>
      <c r="C141" s="119">
        <v>19</v>
      </c>
      <c r="D141" s="119">
        <v>19</v>
      </c>
      <c r="E141" s="119">
        <v>139</v>
      </c>
      <c r="F141" s="119">
        <v>6.9420000000000002</v>
      </c>
      <c r="G141" s="119">
        <v>8.1999999999999993</v>
      </c>
      <c r="H141" s="119">
        <v>7.6</v>
      </c>
      <c r="I141" s="119">
        <v>6.8643999999999998</v>
      </c>
      <c r="J141" s="119">
        <v>3.2774999999999999</v>
      </c>
      <c r="K141" s="119">
        <v>60.2</v>
      </c>
      <c r="L141" s="119">
        <v>0.26</v>
      </c>
      <c r="M141" s="119">
        <v>32.371699999999997</v>
      </c>
      <c r="N141" s="119">
        <v>7.6</v>
      </c>
    </row>
    <row r="142" spans="1:28" s="159" customFormat="1" ht="14.5">
      <c r="A142" s="119">
        <v>32</v>
      </c>
      <c r="B142" s="119" t="s">
        <v>166</v>
      </c>
      <c r="C142" s="119">
        <v>20</v>
      </c>
      <c r="D142" s="119">
        <v>20</v>
      </c>
      <c r="E142" s="119">
        <v>140</v>
      </c>
      <c r="F142" s="119">
        <v>6.9429999999999996</v>
      </c>
      <c r="G142" s="119">
        <v>7</v>
      </c>
      <c r="H142" s="119">
        <v>6.4</v>
      </c>
      <c r="I142" s="119">
        <v>6.8650000000000002</v>
      </c>
      <c r="J142" s="119">
        <v>3.2774999999999999</v>
      </c>
      <c r="K142" s="119">
        <v>60.2</v>
      </c>
      <c r="L142" s="119">
        <v>0.26</v>
      </c>
      <c r="M142" s="119">
        <v>32.371299999999998</v>
      </c>
      <c r="N142" s="119">
        <v>7.6</v>
      </c>
      <c r="O142" s="165"/>
      <c r="P142" s="165"/>
      <c r="Q142" s="167"/>
      <c r="R142" s="167"/>
      <c r="S142" s="167"/>
      <c r="T142" s="167"/>
      <c r="U142" s="170"/>
      <c r="V142" s="170"/>
      <c r="W142" s="172"/>
      <c r="X142" s="168"/>
      <c r="Y142" s="167"/>
    </row>
    <row r="143" spans="1:28" s="159" customFormat="1" ht="14.5">
      <c r="A143" s="119">
        <v>36</v>
      </c>
      <c r="B143" s="119" t="s">
        <v>167</v>
      </c>
      <c r="C143" s="119">
        <v>1</v>
      </c>
      <c r="D143" s="119">
        <v>1</v>
      </c>
      <c r="E143" s="119">
        <v>141</v>
      </c>
      <c r="F143" s="119">
        <v>1.77</v>
      </c>
      <c r="G143" s="119">
        <v>300.7</v>
      </c>
      <c r="H143" s="119">
        <v>297.3</v>
      </c>
      <c r="I143" s="119">
        <v>4.3929</v>
      </c>
      <c r="J143" s="119">
        <v>3.2067000000000001</v>
      </c>
      <c r="K143" s="119">
        <v>66.400000000000006</v>
      </c>
      <c r="L143" s="119">
        <v>7.0000000000000007E-2</v>
      </c>
      <c r="M143" s="119">
        <v>33.853499999999997</v>
      </c>
      <c r="N143" s="119">
        <v>7.09</v>
      </c>
      <c r="O143" s="165"/>
      <c r="P143" s="165"/>
      <c r="Q143" s="167"/>
      <c r="R143" s="167"/>
      <c r="S143" s="167"/>
      <c r="T143" s="167"/>
      <c r="U143" s="170"/>
      <c r="V143" s="170"/>
      <c r="W143" s="172"/>
      <c r="X143" s="168"/>
      <c r="Y143" s="167"/>
    </row>
    <row r="144" spans="1:28" s="159" customFormat="1" ht="14.5">
      <c r="A144" s="119">
        <v>36</v>
      </c>
      <c r="B144" s="119" t="s">
        <v>167</v>
      </c>
      <c r="C144" s="119">
        <v>2</v>
      </c>
      <c r="D144" s="119">
        <v>2</v>
      </c>
      <c r="E144" s="119">
        <v>142</v>
      </c>
      <c r="F144" s="119">
        <v>2.883</v>
      </c>
      <c r="G144" s="119">
        <v>201.1</v>
      </c>
      <c r="H144" s="119">
        <v>198.7</v>
      </c>
      <c r="I144" s="119">
        <v>4.9805999999999999</v>
      </c>
      <c r="J144" s="119">
        <v>3.2435</v>
      </c>
      <c r="K144" s="119">
        <v>66</v>
      </c>
      <c r="L144" s="119">
        <v>0.06</v>
      </c>
      <c r="M144" s="119">
        <v>33.734099999999998</v>
      </c>
      <c r="N144" s="119">
        <v>7.19</v>
      </c>
      <c r="O144" s="165"/>
      <c r="P144" s="165"/>
      <c r="Q144" s="167"/>
      <c r="R144" s="167"/>
      <c r="S144" s="167"/>
      <c r="T144" s="167"/>
      <c r="U144" s="170"/>
      <c r="V144" s="170"/>
      <c r="W144" s="172"/>
      <c r="X144" s="168"/>
      <c r="Y144" s="167"/>
    </row>
    <row r="145" spans="1:28" s="159" customFormat="1" ht="14.5">
      <c r="A145" s="119">
        <v>36</v>
      </c>
      <c r="B145" s="119" t="s">
        <v>167</v>
      </c>
      <c r="C145" s="119">
        <v>3</v>
      </c>
      <c r="D145" s="119">
        <v>3</v>
      </c>
      <c r="E145" s="119">
        <v>143</v>
      </c>
      <c r="F145" s="119">
        <v>3.8490000000000002</v>
      </c>
      <c r="G145" s="119">
        <v>148.69999999999999</v>
      </c>
      <c r="H145" s="119">
        <v>146.80000000000001</v>
      </c>
      <c r="I145" s="119">
        <v>5.4943</v>
      </c>
      <c r="J145" s="119">
        <v>3.2738999999999998</v>
      </c>
      <c r="K145" s="119">
        <v>66</v>
      </c>
      <c r="L145" s="119">
        <v>0.06</v>
      </c>
      <c r="M145" s="119">
        <v>33.592500000000001</v>
      </c>
      <c r="N145" s="119">
        <v>7.28</v>
      </c>
      <c r="O145" s="157"/>
      <c r="P145" s="157"/>
      <c r="Q145" s="151"/>
      <c r="R145" s="151"/>
      <c r="S145" s="151"/>
      <c r="T145" s="151"/>
      <c r="U145" s="155"/>
      <c r="V145" s="155"/>
      <c r="W145" s="158"/>
      <c r="X145" s="152"/>
      <c r="Y145" s="151"/>
    </row>
    <row r="146" spans="1:28" s="159" customFormat="1" ht="14.5">
      <c r="A146" s="119">
        <v>36</v>
      </c>
      <c r="B146" s="119" t="s">
        <v>167</v>
      </c>
      <c r="C146" s="119">
        <v>4</v>
      </c>
      <c r="D146" s="119">
        <v>4</v>
      </c>
      <c r="E146" s="119">
        <v>144</v>
      </c>
      <c r="F146" s="119">
        <v>3.843</v>
      </c>
      <c r="G146" s="119">
        <v>150.1</v>
      </c>
      <c r="H146" s="119">
        <v>148.19999999999999</v>
      </c>
      <c r="I146" s="119">
        <v>5.4892000000000003</v>
      </c>
      <c r="J146" s="119">
        <v>3.2738999999999998</v>
      </c>
      <c r="K146" s="119">
        <v>66</v>
      </c>
      <c r="L146" s="119">
        <v>0.06</v>
      </c>
      <c r="M146" s="119">
        <v>33.596200000000003</v>
      </c>
      <c r="N146" s="119">
        <v>7.28</v>
      </c>
      <c r="O146" s="157"/>
      <c r="P146" s="151"/>
      <c r="Q146" s="151"/>
      <c r="R146" s="175"/>
      <c r="S146" s="175"/>
      <c r="T146" s="175"/>
      <c r="U146" s="173"/>
      <c r="V146" s="158"/>
      <c r="W146" s="173"/>
      <c r="X146" s="173"/>
      <c r="Y146" s="175"/>
      <c r="Z146" s="177"/>
      <c r="AA146" s="177"/>
      <c r="AB146" s="152"/>
    </row>
    <row r="147" spans="1:28" s="159" customFormat="1" ht="14.5">
      <c r="A147" s="119">
        <v>36</v>
      </c>
      <c r="B147" s="119" t="s">
        <v>167</v>
      </c>
      <c r="C147" s="119">
        <v>5</v>
      </c>
      <c r="D147" s="119">
        <v>5</v>
      </c>
      <c r="E147" s="119">
        <v>145</v>
      </c>
      <c r="F147" s="119">
        <v>4.5709999999999997</v>
      </c>
      <c r="G147" s="119">
        <v>127.2</v>
      </c>
      <c r="H147" s="119">
        <v>125.5</v>
      </c>
      <c r="I147" s="119">
        <v>5.7267000000000001</v>
      </c>
      <c r="J147" s="119">
        <v>3.2713000000000001</v>
      </c>
      <c r="K147" s="119">
        <v>66</v>
      </c>
      <c r="L147" s="119">
        <v>0.06</v>
      </c>
      <c r="M147" s="119">
        <v>33.342100000000002</v>
      </c>
      <c r="N147" s="119">
        <v>7.35</v>
      </c>
      <c r="O147" s="248"/>
      <c r="P147" s="173"/>
      <c r="Q147" s="247"/>
      <c r="R147" s="173"/>
      <c r="S147" s="247"/>
      <c r="T147" s="175"/>
      <c r="U147" s="247"/>
      <c r="V147" s="158"/>
      <c r="W147" s="247"/>
      <c r="Y147" s="179"/>
      <c r="AA147" s="180"/>
    </row>
    <row r="148" spans="1:28" s="159" customFormat="1" ht="14.5">
      <c r="A148" s="119">
        <v>36</v>
      </c>
      <c r="B148" s="119" t="s">
        <v>167</v>
      </c>
      <c r="C148" s="119">
        <v>6</v>
      </c>
      <c r="D148" s="119">
        <v>6</v>
      </c>
      <c r="E148" s="119">
        <v>146</v>
      </c>
      <c r="F148" s="119">
        <v>6.6079999999999997</v>
      </c>
      <c r="G148" s="119">
        <v>100.5</v>
      </c>
      <c r="H148" s="119">
        <v>99</v>
      </c>
      <c r="I148" s="119">
        <v>6.0671999999999997</v>
      </c>
      <c r="J148" s="119">
        <v>3.2265999999999999</v>
      </c>
      <c r="K148" s="119">
        <v>65.599999999999994</v>
      </c>
      <c r="L148" s="119">
        <v>0.09</v>
      </c>
      <c r="M148" s="119">
        <v>32.521500000000003</v>
      </c>
      <c r="N148" s="119">
        <v>7.52</v>
      </c>
      <c r="O148" s="248"/>
      <c r="P148" s="173"/>
      <c r="Q148" s="247"/>
      <c r="R148" s="173"/>
      <c r="S148" s="247"/>
      <c r="T148" s="175"/>
      <c r="U148" s="247"/>
      <c r="V148" s="181"/>
      <c r="W148" s="247"/>
      <c r="X148" s="182"/>
      <c r="Y148" s="183"/>
      <c r="AA148" s="180"/>
    </row>
    <row r="149" spans="1:28" s="190" customFormat="1" ht="14.5">
      <c r="A149" s="119">
        <v>36</v>
      </c>
      <c r="B149" s="119" t="s">
        <v>167</v>
      </c>
      <c r="C149" s="119">
        <v>7</v>
      </c>
      <c r="D149" s="119">
        <v>7</v>
      </c>
      <c r="E149" s="119">
        <v>147</v>
      </c>
      <c r="F149" s="119">
        <v>6.5670000000000002</v>
      </c>
      <c r="G149" s="119">
        <v>99.6</v>
      </c>
      <c r="H149" s="119">
        <v>98.1</v>
      </c>
      <c r="I149" s="119">
        <v>6.0960000000000001</v>
      </c>
      <c r="J149" s="119">
        <v>3.2267999999999999</v>
      </c>
      <c r="K149" s="119">
        <v>65.5</v>
      </c>
      <c r="L149" s="119">
        <v>0.09</v>
      </c>
      <c r="M149" s="119">
        <v>32.496899999999997</v>
      </c>
      <c r="N149" s="119">
        <v>7.52</v>
      </c>
      <c r="O149" s="184"/>
      <c r="P149" s="185"/>
      <c r="Q149" s="185"/>
      <c r="R149" s="185"/>
      <c r="S149" s="185"/>
      <c r="T149" s="187"/>
      <c r="U149" s="187"/>
      <c r="V149" s="185"/>
      <c r="W149" s="189"/>
      <c r="Y149" s="191"/>
      <c r="AA149" s="189"/>
      <c r="AB149" s="186"/>
    </row>
    <row r="150" spans="1:28" ht="14.5">
      <c r="A150" s="119">
        <v>36</v>
      </c>
      <c r="B150" s="119" t="s">
        <v>167</v>
      </c>
      <c r="C150" s="119">
        <v>8</v>
      </c>
      <c r="D150" s="119">
        <v>8</v>
      </c>
      <c r="E150" s="119">
        <v>148</v>
      </c>
      <c r="F150" s="119">
        <v>6.63</v>
      </c>
      <c r="G150" s="119">
        <v>99.6</v>
      </c>
      <c r="H150" s="119">
        <v>98.1</v>
      </c>
      <c r="I150" s="119">
        <v>6.0807000000000002</v>
      </c>
      <c r="J150" s="119">
        <v>3.2267000000000001</v>
      </c>
      <c r="K150" s="119">
        <v>65.599999999999994</v>
      </c>
      <c r="L150" s="119">
        <v>0.09</v>
      </c>
      <c r="M150" s="119">
        <v>32.5107</v>
      </c>
      <c r="N150" s="119">
        <v>7.52</v>
      </c>
    </row>
    <row r="151" spans="1:28" ht="14.5">
      <c r="A151" s="119">
        <v>36</v>
      </c>
      <c r="B151" s="119" t="s">
        <v>167</v>
      </c>
      <c r="C151" s="119">
        <v>9</v>
      </c>
      <c r="D151" s="119">
        <v>9</v>
      </c>
      <c r="E151" s="119">
        <v>149</v>
      </c>
      <c r="F151" s="119">
        <v>6.9690000000000003</v>
      </c>
      <c r="G151" s="119">
        <v>74.5</v>
      </c>
      <c r="H151" s="119">
        <v>73.2</v>
      </c>
      <c r="I151" s="119">
        <v>6.3973000000000004</v>
      </c>
      <c r="J151" s="119">
        <v>3.2427999999999999</v>
      </c>
      <c r="K151" s="119">
        <v>63.1</v>
      </c>
      <c r="L151" s="119">
        <v>0.15</v>
      </c>
      <c r="M151" s="119">
        <v>32.400100000000002</v>
      </c>
      <c r="N151" s="119">
        <v>7.55</v>
      </c>
    </row>
    <row r="152" spans="1:28" ht="14.5">
      <c r="A152" s="119">
        <v>36</v>
      </c>
      <c r="B152" s="119" t="s">
        <v>167</v>
      </c>
      <c r="C152" s="119">
        <v>10</v>
      </c>
      <c r="D152" s="119">
        <v>10</v>
      </c>
      <c r="E152" s="119">
        <v>150</v>
      </c>
      <c r="F152" s="119">
        <v>6.9630000000000001</v>
      </c>
      <c r="G152" s="119">
        <v>49.5</v>
      </c>
      <c r="H152" s="119">
        <v>48.5</v>
      </c>
      <c r="I152" s="119">
        <v>6.4528999999999996</v>
      </c>
      <c r="J152" s="119">
        <v>3.2452000000000001</v>
      </c>
      <c r="K152" s="119">
        <v>61.2</v>
      </c>
      <c r="L152" s="119">
        <v>0.21</v>
      </c>
      <c r="M152" s="119">
        <v>32.385399999999997</v>
      </c>
      <c r="N152" s="119">
        <v>7.56</v>
      </c>
    </row>
    <row r="153" spans="1:28" ht="14.5">
      <c r="A153" s="119">
        <v>36</v>
      </c>
      <c r="B153" s="119" t="s">
        <v>167</v>
      </c>
      <c r="C153" s="119">
        <v>11</v>
      </c>
      <c r="D153" s="119">
        <v>11</v>
      </c>
      <c r="E153" s="119">
        <v>151</v>
      </c>
      <c r="F153" s="119">
        <v>6.97</v>
      </c>
      <c r="G153" s="119">
        <v>50.2</v>
      </c>
      <c r="H153" s="119">
        <v>49.2</v>
      </c>
      <c r="I153" s="119">
        <v>6.4490999999999996</v>
      </c>
      <c r="J153" s="119">
        <v>3.2450999999999999</v>
      </c>
      <c r="K153" s="119">
        <v>61.5</v>
      </c>
      <c r="L153" s="119">
        <v>0.21</v>
      </c>
      <c r="M153" s="119">
        <v>32.387700000000002</v>
      </c>
      <c r="N153" s="119">
        <v>7.56</v>
      </c>
    </row>
    <row r="154" spans="1:28" ht="14.5">
      <c r="A154" s="119">
        <v>36</v>
      </c>
      <c r="B154" s="119" t="s">
        <v>167</v>
      </c>
      <c r="C154" s="119">
        <v>12</v>
      </c>
      <c r="D154" s="119">
        <v>12</v>
      </c>
      <c r="E154" s="119">
        <v>152</v>
      </c>
      <c r="F154" s="119">
        <v>6.9779999999999998</v>
      </c>
      <c r="G154" s="119">
        <v>50.5</v>
      </c>
      <c r="H154" s="119">
        <v>49.4</v>
      </c>
      <c r="I154" s="119">
        <v>6.4474999999999998</v>
      </c>
      <c r="J154" s="119">
        <v>3.2450999999999999</v>
      </c>
      <c r="K154" s="119">
        <v>61.5</v>
      </c>
      <c r="L154" s="119">
        <v>0.2</v>
      </c>
      <c r="M154" s="119">
        <v>32.388500000000001</v>
      </c>
      <c r="N154" s="119">
        <v>7.56</v>
      </c>
    </row>
    <row r="155" spans="1:28" ht="14.5">
      <c r="A155" s="119">
        <v>36</v>
      </c>
      <c r="B155" s="119" t="s">
        <v>167</v>
      </c>
      <c r="C155" s="119">
        <v>13</v>
      </c>
      <c r="D155" s="119">
        <v>13</v>
      </c>
      <c r="E155" s="119">
        <v>153</v>
      </c>
      <c r="F155" s="119">
        <v>6.9930000000000003</v>
      </c>
      <c r="G155" s="119">
        <v>25.6</v>
      </c>
      <c r="H155" s="119">
        <v>24.8</v>
      </c>
      <c r="I155" s="119">
        <v>6.5087999999999999</v>
      </c>
      <c r="J155" s="119">
        <v>3.2481</v>
      </c>
      <c r="K155" s="119">
        <v>60.2</v>
      </c>
      <c r="L155" s="119">
        <v>0.23</v>
      </c>
      <c r="M155" s="119">
        <v>32.375599999999999</v>
      </c>
      <c r="N155" s="119">
        <v>7.57</v>
      </c>
    </row>
    <row r="156" spans="1:28" ht="14.5">
      <c r="A156" s="119">
        <v>36</v>
      </c>
      <c r="B156" s="119" t="s">
        <v>167</v>
      </c>
      <c r="C156" s="119">
        <v>14</v>
      </c>
      <c r="D156" s="119">
        <v>14</v>
      </c>
      <c r="E156" s="119">
        <v>154</v>
      </c>
      <c r="F156" s="119">
        <v>6.9809999999999999</v>
      </c>
      <c r="G156" s="119">
        <v>25.4</v>
      </c>
      <c r="H156" s="119">
        <v>24.6</v>
      </c>
      <c r="I156" s="119">
        <v>6.5084</v>
      </c>
      <c r="J156" s="119">
        <v>3.2480000000000002</v>
      </c>
      <c r="K156" s="119">
        <v>60.1</v>
      </c>
      <c r="L156" s="119">
        <v>0.23</v>
      </c>
      <c r="M156" s="119">
        <v>32.375500000000002</v>
      </c>
      <c r="N156" s="119">
        <v>7.57</v>
      </c>
    </row>
    <row r="157" spans="1:28" ht="14.5">
      <c r="A157" s="119">
        <v>36</v>
      </c>
      <c r="B157" s="119" t="s">
        <v>167</v>
      </c>
      <c r="C157" s="119">
        <v>15</v>
      </c>
      <c r="D157" s="119">
        <v>15</v>
      </c>
      <c r="E157" s="119">
        <v>155</v>
      </c>
      <c r="F157" s="119">
        <v>6.9909999999999997</v>
      </c>
      <c r="G157" s="119">
        <v>25.6</v>
      </c>
      <c r="H157" s="119">
        <v>24.8</v>
      </c>
      <c r="I157" s="119">
        <v>6.5099</v>
      </c>
      <c r="J157" s="119">
        <v>3.2481</v>
      </c>
      <c r="K157" s="119">
        <v>60.2</v>
      </c>
      <c r="L157" s="119">
        <v>0.24</v>
      </c>
      <c r="M157" s="119">
        <v>32.375399999999999</v>
      </c>
      <c r="N157" s="119">
        <v>7.57</v>
      </c>
    </row>
    <row r="158" spans="1:28" ht="14.5">
      <c r="A158" s="119">
        <v>36</v>
      </c>
      <c r="B158" s="119" t="s">
        <v>167</v>
      </c>
      <c r="C158" s="119">
        <v>16</v>
      </c>
      <c r="D158" s="119">
        <v>16</v>
      </c>
      <c r="E158" s="119">
        <v>156</v>
      </c>
      <c r="F158" s="119">
        <v>6.9989999999999997</v>
      </c>
      <c r="G158" s="119">
        <v>5.0999999999999996</v>
      </c>
      <c r="H158" s="119">
        <v>4.5</v>
      </c>
      <c r="I158" s="119">
        <v>6.5175000000000001</v>
      </c>
      <c r="J158" s="119">
        <v>3.2479</v>
      </c>
      <c r="K158" s="119">
        <v>59.9</v>
      </c>
      <c r="L158" s="119">
        <v>0.25</v>
      </c>
      <c r="M158" s="119">
        <v>32.375100000000003</v>
      </c>
      <c r="N158" s="119">
        <v>7.57</v>
      </c>
    </row>
    <row r="159" spans="1:28" ht="14.5">
      <c r="A159" s="119">
        <v>36</v>
      </c>
      <c r="B159" s="119" t="s">
        <v>167</v>
      </c>
      <c r="C159" s="119">
        <v>17</v>
      </c>
      <c r="D159" s="119">
        <v>17</v>
      </c>
      <c r="E159" s="119">
        <v>157</v>
      </c>
      <c r="F159" s="119">
        <v>7.0010000000000003</v>
      </c>
      <c r="G159" s="119">
        <v>5.6</v>
      </c>
      <c r="H159" s="119">
        <v>5</v>
      </c>
      <c r="I159" s="119">
        <v>6.5170000000000003</v>
      </c>
      <c r="J159" s="119">
        <v>3.2479</v>
      </c>
      <c r="K159" s="119">
        <v>60</v>
      </c>
      <c r="L159" s="119">
        <v>0.26</v>
      </c>
      <c r="M159" s="119">
        <v>32.3752</v>
      </c>
      <c r="N159" s="119">
        <v>7.57</v>
      </c>
    </row>
    <row r="160" spans="1:28" ht="14.5">
      <c r="A160" s="119">
        <v>36</v>
      </c>
      <c r="B160" s="119" t="s">
        <v>167</v>
      </c>
      <c r="C160" s="119">
        <v>18</v>
      </c>
      <c r="D160" s="119">
        <v>18</v>
      </c>
      <c r="E160" s="119">
        <v>158</v>
      </c>
      <c r="F160" s="119">
        <v>6.9980000000000002</v>
      </c>
      <c r="G160" s="119">
        <v>5.5</v>
      </c>
      <c r="H160" s="119">
        <v>4.9000000000000004</v>
      </c>
      <c r="I160" s="119">
        <v>6.5172999999999996</v>
      </c>
      <c r="J160" s="119">
        <v>3.2479</v>
      </c>
      <c r="K160" s="119">
        <v>60</v>
      </c>
      <c r="L160" s="119">
        <v>0.26</v>
      </c>
      <c r="M160" s="119">
        <v>32.375100000000003</v>
      </c>
      <c r="N160" s="119">
        <v>7.57</v>
      </c>
    </row>
    <row r="161" spans="1:28" ht="14.5">
      <c r="A161" s="119">
        <v>36</v>
      </c>
      <c r="B161" s="119" t="s">
        <v>167</v>
      </c>
      <c r="C161" s="119">
        <v>19</v>
      </c>
      <c r="D161" s="119">
        <v>19</v>
      </c>
      <c r="E161" s="119">
        <v>159</v>
      </c>
      <c r="F161" s="119">
        <v>6.9889999999999999</v>
      </c>
      <c r="G161" s="119">
        <v>5</v>
      </c>
      <c r="H161" s="119">
        <v>4.3</v>
      </c>
      <c r="I161" s="119">
        <v>6.5171000000000001</v>
      </c>
      <c r="J161" s="119">
        <v>3.2477999999999998</v>
      </c>
      <c r="K161" s="119">
        <v>60</v>
      </c>
      <c r="L161" s="119">
        <v>0.25</v>
      </c>
      <c r="M161" s="119">
        <v>32.375100000000003</v>
      </c>
      <c r="N161" s="119">
        <v>7.57</v>
      </c>
    </row>
    <row r="162" spans="1:28" ht="14.5">
      <c r="A162" s="119">
        <v>36</v>
      </c>
      <c r="B162" s="119" t="s">
        <v>167</v>
      </c>
      <c r="C162" s="119">
        <v>20</v>
      </c>
      <c r="D162" s="119">
        <v>20</v>
      </c>
      <c r="E162" s="119">
        <v>160</v>
      </c>
      <c r="F162" s="119">
        <v>6.9909999999999997</v>
      </c>
      <c r="G162" s="119">
        <v>5.2</v>
      </c>
      <c r="H162" s="119">
        <v>4.5999999999999996</v>
      </c>
      <c r="I162" s="119">
        <v>6.5171999999999999</v>
      </c>
      <c r="J162" s="119">
        <v>3.2479</v>
      </c>
      <c r="K162" s="119">
        <v>59.9</v>
      </c>
      <c r="L162" s="119">
        <v>0.26</v>
      </c>
      <c r="M162" s="119">
        <v>32.375100000000003</v>
      </c>
      <c r="N162" s="119">
        <v>7.57</v>
      </c>
    </row>
    <row r="163" spans="1:28" ht="14.5">
      <c r="A163" s="119">
        <v>40</v>
      </c>
      <c r="B163" s="119" t="s">
        <v>168</v>
      </c>
      <c r="C163" s="119">
        <v>1</v>
      </c>
      <c r="D163" s="119">
        <v>1</v>
      </c>
      <c r="E163" s="119">
        <v>161</v>
      </c>
      <c r="F163" s="119">
        <v>1.8660000000000001</v>
      </c>
      <c r="G163" s="119">
        <v>300.8</v>
      </c>
      <c r="H163" s="119">
        <v>297.39999999999998</v>
      </c>
      <c r="I163" s="119">
        <v>4.3322000000000003</v>
      </c>
      <c r="J163" s="119">
        <v>3.1993999999999998</v>
      </c>
      <c r="K163" s="119">
        <v>66.400000000000006</v>
      </c>
      <c r="L163" s="119">
        <v>7.0000000000000007E-2</v>
      </c>
      <c r="M163" s="119">
        <v>33.829700000000003</v>
      </c>
      <c r="N163" s="119">
        <v>7.1</v>
      </c>
    </row>
    <row r="164" spans="1:28" ht="14.5">
      <c r="A164" s="119">
        <v>40</v>
      </c>
      <c r="B164" s="119" t="s">
        <v>168</v>
      </c>
      <c r="C164" s="119">
        <v>2</v>
      </c>
      <c r="D164" s="119">
        <v>2</v>
      </c>
      <c r="E164" s="119">
        <v>162</v>
      </c>
      <c r="F164" s="119">
        <v>3.2309999999999999</v>
      </c>
      <c r="G164" s="119">
        <v>201.2</v>
      </c>
      <c r="H164" s="119">
        <v>198.8</v>
      </c>
      <c r="I164" s="119">
        <v>4.8714000000000004</v>
      </c>
      <c r="J164" s="119">
        <v>3.2309000000000001</v>
      </c>
      <c r="K164" s="119">
        <v>66.099999999999994</v>
      </c>
      <c r="L164" s="119">
        <v>0.06</v>
      </c>
      <c r="M164" s="119">
        <v>33.699399999999997</v>
      </c>
      <c r="N164" s="119">
        <v>7.22</v>
      </c>
    </row>
    <row r="165" spans="1:28" ht="14.5">
      <c r="A165" s="119">
        <v>40</v>
      </c>
      <c r="B165" s="119" t="s">
        <v>168</v>
      </c>
      <c r="C165" s="119">
        <v>3</v>
      </c>
      <c r="D165" s="119">
        <v>3</v>
      </c>
      <c r="E165" s="119">
        <v>163</v>
      </c>
      <c r="F165" s="119">
        <v>4.1749999999999998</v>
      </c>
      <c r="G165" s="119">
        <v>150.69999999999999</v>
      </c>
      <c r="H165" s="119">
        <v>148.69999999999999</v>
      </c>
      <c r="I165" s="119">
        <v>5.4356999999999998</v>
      </c>
      <c r="J165" s="119">
        <v>3.2682000000000002</v>
      </c>
      <c r="K165" s="119">
        <v>66</v>
      </c>
      <c r="L165" s="119">
        <v>0.06</v>
      </c>
      <c r="M165" s="119">
        <v>33.585000000000001</v>
      </c>
      <c r="N165" s="119">
        <v>7.31</v>
      </c>
    </row>
    <row r="166" spans="1:28" ht="14.5">
      <c r="A166" s="119">
        <v>40</v>
      </c>
      <c r="B166" s="119" t="s">
        <v>168</v>
      </c>
      <c r="C166" s="119">
        <v>4</v>
      </c>
      <c r="D166" s="119">
        <v>4</v>
      </c>
      <c r="E166" s="119">
        <v>164</v>
      </c>
      <c r="F166" s="119">
        <v>4.1790000000000003</v>
      </c>
      <c r="G166" s="119">
        <v>149.80000000000001</v>
      </c>
      <c r="H166" s="119">
        <v>147.80000000000001</v>
      </c>
      <c r="I166" s="119">
        <v>5.4385000000000003</v>
      </c>
      <c r="J166" s="119">
        <v>3.2684000000000002</v>
      </c>
      <c r="K166" s="119">
        <v>66.099999999999994</v>
      </c>
      <c r="L166" s="119">
        <v>0.06</v>
      </c>
      <c r="M166" s="119">
        <v>33.584499999999998</v>
      </c>
      <c r="N166" s="119">
        <v>7.32</v>
      </c>
    </row>
    <row r="167" spans="1:28" ht="14.5">
      <c r="A167" s="119">
        <v>40</v>
      </c>
      <c r="B167" s="119" t="s">
        <v>168</v>
      </c>
      <c r="C167" s="119">
        <v>5</v>
      </c>
      <c r="D167" s="119">
        <v>5</v>
      </c>
      <c r="E167" s="119">
        <v>165</v>
      </c>
      <c r="F167" s="119">
        <v>4.899</v>
      </c>
      <c r="G167" s="119">
        <v>125.1</v>
      </c>
      <c r="H167" s="119">
        <v>123.4</v>
      </c>
      <c r="I167" s="119">
        <v>5.6721000000000004</v>
      </c>
      <c r="J167" s="119">
        <v>3.2654000000000001</v>
      </c>
      <c r="K167" s="119">
        <v>66.099999999999994</v>
      </c>
      <c r="L167" s="119">
        <v>0.06</v>
      </c>
      <c r="M167" s="119">
        <v>33.330800000000004</v>
      </c>
      <c r="N167" s="119">
        <v>7.38</v>
      </c>
    </row>
    <row r="168" spans="1:28" ht="14.5">
      <c r="A168" s="119">
        <v>40</v>
      </c>
      <c r="B168" s="119" t="s">
        <v>168</v>
      </c>
      <c r="C168" s="119">
        <v>6</v>
      </c>
      <c r="D168" s="119">
        <v>6</v>
      </c>
      <c r="E168" s="119">
        <v>166</v>
      </c>
      <c r="F168" s="119">
        <v>6.2759999999999998</v>
      </c>
      <c r="G168" s="119">
        <v>103.4</v>
      </c>
      <c r="H168" s="119">
        <v>101.9</v>
      </c>
      <c r="I168" s="119">
        <v>5.8871000000000002</v>
      </c>
      <c r="J168" s="119">
        <v>3.2282000000000002</v>
      </c>
      <c r="K168" s="119">
        <v>65.7</v>
      </c>
      <c r="L168" s="119">
        <v>0.08</v>
      </c>
      <c r="M168" s="119">
        <v>32.711500000000001</v>
      </c>
      <c r="N168" s="119">
        <v>7.5</v>
      </c>
    </row>
    <row r="169" spans="1:28" ht="14.5">
      <c r="A169" s="119">
        <v>40</v>
      </c>
      <c r="B169" s="119" t="s">
        <v>168</v>
      </c>
      <c r="C169" s="119">
        <v>7</v>
      </c>
      <c r="D169" s="119">
        <v>7</v>
      </c>
      <c r="E169" s="119">
        <v>167</v>
      </c>
      <c r="F169" s="119">
        <v>6.2770000000000001</v>
      </c>
      <c r="G169" s="119">
        <v>101.5</v>
      </c>
      <c r="H169" s="119">
        <v>100</v>
      </c>
      <c r="I169" s="119">
        <v>5.8867000000000003</v>
      </c>
      <c r="J169" s="119">
        <v>3.2280000000000002</v>
      </c>
      <c r="K169" s="119">
        <v>65.7</v>
      </c>
      <c r="L169" s="119">
        <v>0.08</v>
      </c>
      <c r="M169" s="119">
        <v>32.710999999999999</v>
      </c>
      <c r="N169" s="119">
        <v>7.5</v>
      </c>
    </row>
    <row r="170" spans="1:28" ht="14.5">
      <c r="A170" s="119">
        <v>40</v>
      </c>
      <c r="B170" s="119" t="s">
        <v>168</v>
      </c>
      <c r="C170" s="119">
        <v>8</v>
      </c>
      <c r="D170" s="119">
        <v>8</v>
      </c>
      <c r="E170" s="119">
        <v>168</v>
      </c>
      <c r="F170" s="119">
        <v>6.2709999999999999</v>
      </c>
      <c r="G170" s="119">
        <v>102.7</v>
      </c>
      <c r="H170" s="119">
        <v>101.2</v>
      </c>
      <c r="I170" s="119">
        <v>5.8864999999999998</v>
      </c>
      <c r="J170" s="119">
        <v>3.2282999999999999</v>
      </c>
      <c r="K170" s="119">
        <v>65.7</v>
      </c>
      <c r="L170" s="119">
        <v>0.08</v>
      </c>
      <c r="M170" s="119">
        <v>32.713500000000003</v>
      </c>
      <c r="N170" s="119">
        <v>7.5</v>
      </c>
    </row>
    <row r="171" spans="1:28" s="159" customFormat="1" ht="14.5">
      <c r="A171" s="119">
        <v>40</v>
      </c>
      <c r="B171" s="119" t="s">
        <v>168</v>
      </c>
      <c r="C171" s="119">
        <v>9</v>
      </c>
      <c r="D171" s="119">
        <v>9</v>
      </c>
      <c r="E171" s="119">
        <v>169</v>
      </c>
      <c r="F171" s="119">
        <v>6.923</v>
      </c>
      <c r="G171" s="119">
        <v>75.8</v>
      </c>
      <c r="H171" s="119">
        <v>74.5</v>
      </c>
      <c r="I171" s="119">
        <v>6.4654999999999996</v>
      </c>
      <c r="J171" s="119">
        <v>3.2504</v>
      </c>
      <c r="K171" s="119">
        <v>63.6</v>
      </c>
      <c r="L171" s="119">
        <v>0.14000000000000001</v>
      </c>
      <c r="M171" s="119">
        <v>32.418100000000003</v>
      </c>
      <c r="N171" s="119">
        <v>7.56</v>
      </c>
      <c r="O171" s="165"/>
      <c r="P171" s="165"/>
      <c r="Q171" s="167"/>
      <c r="R171" s="167"/>
      <c r="S171" s="167"/>
      <c r="T171" s="167"/>
      <c r="U171" s="170"/>
      <c r="V171" s="170"/>
      <c r="W171" s="172"/>
      <c r="X171" s="168"/>
      <c r="Y171" s="167"/>
    </row>
    <row r="172" spans="1:28" s="159" customFormat="1" ht="14.5">
      <c r="A172" s="119">
        <v>40</v>
      </c>
      <c r="B172" s="119" t="s">
        <v>168</v>
      </c>
      <c r="C172" s="119">
        <v>10</v>
      </c>
      <c r="D172" s="119">
        <v>10</v>
      </c>
      <c r="E172" s="119">
        <v>170</v>
      </c>
      <c r="F172" s="119">
        <v>6.9320000000000004</v>
      </c>
      <c r="G172" s="119">
        <v>51.3</v>
      </c>
      <c r="H172" s="119">
        <v>50.2</v>
      </c>
      <c r="I172" s="119">
        <v>6.5930999999999997</v>
      </c>
      <c r="J172" s="119">
        <v>3.2576999999999998</v>
      </c>
      <c r="K172" s="119">
        <v>60.7</v>
      </c>
      <c r="L172" s="119">
        <v>0.23</v>
      </c>
      <c r="M172" s="119">
        <v>32.389600000000002</v>
      </c>
      <c r="N172" s="119">
        <v>7.57</v>
      </c>
      <c r="O172" s="165"/>
      <c r="P172" s="165"/>
      <c r="Q172" s="167"/>
      <c r="R172" s="167"/>
      <c r="S172" s="167"/>
      <c r="T172" s="167"/>
      <c r="U172" s="170"/>
      <c r="V172" s="170"/>
      <c r="W172" s="172"/>
      <c r="X172" s="168"/>
      <c r="Y172" s="167"/>
    </row>
    <row r="173" spans="1:28" s="159" customFormat="1" ht="14.5">
      <c r="A173" s="119">
        <v>40</v>
      </c>
      <c r="B173" s="119" t="s">
        <v>168</v>
      </c>
      <c r="C173" s="119">
        <v>11</v>
      </c>
      <c r="D173" s="119">
        <v>11</v>
      </c>
      <c r="E173" s="119">
        <v>171</v>
      </c>
      <c r="F173" s="119">
        <v>6.931</v>
      </c>
      <c r="G173" s="119">
        <v>50.9</v>
      </c>
      <c r="H173" s="119">
        <v>49.9</v>
      </c>
      <c r="I173" s="119">
        <v>6.5933999999999999</v>
      </c>
      <c r="J173" s="119">
        <v>3.2576999999999998</v>
      </c>
      <c r="K173" s="119">
        <v>60.7</v>
      </c>
      <c r="L173" s="119">
        <v>0.23</v>
      </c>
      <c r="M173" s="119">
        <v>32.389600000000002</v>
      </c>
      <c r="N173" s="119">
        <v>7.57</v>
      </c>
      <c r="O173" s="165"/>
      <c r="P173" s="165"/>
      <c r="Q173" s="167"/>
      <c r="R173" s="167"/>
      <c r="S173" s="167"/>
      <c r="T173" s="167"/>
      <c r="U173" s="170"/>
      <c r="V173" s="170"/>
      <c r="W173" s="172"/>
      <c r="X173" s="168"/>
      <c r="Y173" s="167"/>
    </row>
    <row r="174" spans="1:28" s="159" customFormat="1" ht="14.5">
      <c r="A174" s="119">
        <v>40</v>
      </c>
      <c r="B174" s="119" t="s">
        <v>168</v>
      </c>
      <c r="C174" s="119">
        <v>12</v>
      </c>
      <c r="D174" s="119">
        <v>12</v>
      </c>
      <c r="E174" s="119">
        <v>172</v>
      </c>
      <c r="F174" s="119">
        <v>6.9359999999999999</v>
      </c>
      <c r="G174" s="119">
        <v>51.8</v>
      </c>
      <c r="H174" s="119">
        <v>50.7</v>
      </c>
      <c r="I174" s="119">
        <v>6.593</v>
      </c>
      <c r="J174" s="119">
        <v>3.2576999999999998</v>
      </c>
      <c r="K174" s="119">
        <v>60.7</v>
      </c>
      <c r="L174" s="119">
        <v>0.23</v>
      </c>
      <c r="M174" s="119">
        <v>32.389600000000002</v>
      </c>
      <c r="N174" s="119">
        <v>7.57</v>
      </c>
      <c r="O174" s="157"/>
      <c r="P174" s="157"/>
      <c r="Q174" s="151"/>
      <c r="R174" s="151"/>
      <c r="S174" s="151"/>
      <c r="T174" s="151"/>
      <c r="U174" s="155"/>
      <c r="V174" s="155"/>
      <c r="W174" s="158"/>
      <c r="X174" s="152"/>
      <c r="Y174" s="151"/>
    </row>
    <row r="175" spans="1:28" s="159" customFormat="1" ht="14.5">
      <c r="A175" s="119">
        <v>40</v>
      </c>
      <c r="B175" s="119" t="s">
        <v>168</v>
      </c>
      <c r="C175" s="119">
        <v>13</v>
      </c>
      <c r="D175" s="119">
        <v>13</v>
      </c>
      <c r="E175" s="119">
        <v>173</v>
      </c>
      <c r="F175" s="119">
        <v>6.9480000000000004</v>
      </c>
      <c r="G175" s="119">
        <v>27.2</v>
      </c>
      <c r="H175" s="119">
        <v>26.4</v>
      </c>
      <c r="I175" s="119">
        <v>6.5933000000000002</v>
      </c>
      <c r="J175" s="119">
        <v>3.2566999999999999</v>
      </c>
      <c r="K175" s="119">
        <v>60.5</v>
      </c>
      <c r="L175" s="119">
        <v>0.24</v>
      </c>
      <c r="M175" s="119">
        <v>32.389600000000002</v>
      </c>
      <c r="N175" s="119">
        <v>7.58</v>
      </c>
      <c r="O175" s="157"/>
      <c r="P175" s="151"/>
      <c r="Q175" s="151"/>
      <c r="R175" s="175"/>
      <c r="S175" s="175"/>
      <c r="T175" s="175"/>
      <c r="U175" s="173"/>
      <c r="V175" s="158"/>
      <c r="W175" s="173"/>
      <c r="X175" s="173"/>
      <c r="Y175" s="175"/>
      <c r="Z175" s="177"/>
      <c r="AA175" s="177"/>
      <c r="AB175" s="152"/>
    </row>
    <row r="176" spans="1:28" s="159" customFormat="1" ht="14.5">
      <c r="A176" s="119">
        <v>40</v>
      </c>
      <c r="B176" s="119" t="s">
        <v>168</v>
      </c>
      <c r="C176" s="119">
        <v>14</v>
      </c>
      <c r="D176" s="119">
        <v>14</v>
      </c>
      <c r="E176" s="119">
        <v>174</v>
      </c>
      <c r="F176" s="119">
        <v>6.9420000000000002</v>
      </c>
      <c r="G176" s="119">
        <v>27.2</v>
      </c>
      <c r="H176" s="119">
        <v>26.3</v>
      </c>
      <c r="I176" s="119">
        <v>6.5932000000000004</v>
      </c>
      <c r="J176" s="119">
        <v>3.2566999999999999</v>
      </c>
      <c r="K176" s="119">
        <v>60.7</v>
      </c>
      <c r="L176" s="119">
        <v>0.24</v>
      </c>
      <c r="M176" s="119">
        <v>32.389699999999998</v>
      </c>
      <c r="N176" s="119">
        <v>7.58</v>
      </c>
      <c r="O176" s="248"/>
      <c r="P176" s="173"/>
      <c r="Q176" s="247"/>
      <c r="R176" s="173"/>
      <c r="S176" s="247"/>
      <c r="T176" s="175"/>
      <c r="U176" s="247"/>
      <c r="V176" s="158"/>
      <c r="W176" s="247"/>
      <c r="Y176" s="179"/>
      <c r="AA176" s="180"/>
    </row>
    <row r="177" spans="1:28" s="159" customFormat="1" ht="14.5">
      <c r="A177" s="119">
        <v>40</v>
      </c>
      <c r="B177" s="119" t="s">
        <v>168</v>
      </c>
      <c r="C177" s="119">
        <v>15</v>
      </c>
      <c r="D177" s="119">
        <v>15</v>
      </c>
      <c r="E177" s="119">
        <v>175</v>
      </c>
      <c r="F177" s="119">
        <v>6.9450000000000003</v>
      </c>
      <c r="G177" s="119">
        <v>27.1</v>
      </c>
      <c r="H177" s="119">
        <v>26.3</v>
      </c>
      <c r="I177" s="119">
        <v>6.5933999999999999</v>
      </c>
      <c r="J177" s="119">
        <v>3.2566999999999999</v>
      </c>
      <c r="K177" s="119">
        <v>60.6</v>
      </c>
      <c r="L177" s="119">
        <v>0.24</v>
      </c>
      <c r="M177" s="119">
        <v>32.389499999999998</v>
      </c>
      <c r="N177" s="119">
        <v>7.58</v>
      </c>
      <c r="O177" s="248"/>
      <c r="P177" s="173"/>
      <c r="Q177" s="247"/>
      <c r="R177" s="173"/>
      <c r="S177" s="247"/>
      <c r="T177" s="175"/>
      <c r="U177" s="247"/>
      <c r="V177" s="181"/>
      <c r="W177" s="247"/>
      <c r="X177" s="182"/>
      <c r="Y177" s="183"/>
      <c r="AA177" s="180"/>
    </row>
    <row r="178" spans="1:28" s="190" customFormat="1" ht="14.5">
      <c r="A178" s="119">
        <v>40</v>
      </c>
      <c r="B178" s="119" t="s">
        <v>168</v>
      </c>
      <c r="C178" s="119">
        <v>16</v>
      </c>
      <c r="D178" s="119">
        <v>16</v>
      </c>
      <c r="E178" s="119">
        <v>176</v>
      </c>
      <c r="F178" s="119">
        <v>6.9459999999999997</v>
      </c>
      <c r="G178" s="119">
        <v>6.2</v>
      </c>
      <c r="H178" s="119">
        <v>5.5</v>
      </c>
      <c r="I178" s="119">
        <v>6.5922999999999998</v>
      </c>
      <c r="J178" s="119">
        <v>3.2557</v>
      </c>
      <c r="K178" s="119">
        <v>60.2</v>
      </c>
      <c r="L178" s="119">
        <v>0.21</v>
      </c>
      <c r="M178" s="119">
        <v>32.389600000000002</v>
      </c>
      <c r="N178" s="119">
        <v>7.57</v>
      </c>
      <c r="O178" s="184"/>
      <c r="P178" s="185"/>
      <c r="Q178" s="185"/>
      <c r="R178" s="185"/>
      <c r="S178" s="185"/>
      <c r="T178" s="187"/>
      <c r="U178" s="187"/>
      <c r="V178" s="185"/>
      <c r="W178" s="189"/>
      <c r="Y178" s="191"/>
      <c r="AA178" s="189"/>
      <c r="AB178" s="186"/>
    </row>
    <row r="179" spans="1:28" ht="14.5">
      <c r="A179" s="119">
        <v>40</v>
      </c>
      <c r="B179" s="119" t="s">
        <v>168</v>
      </c>
      <c r="C179" s="119">
        <v>17</v>
      </c>
      <c r="D179" s="119">
        <v>17</v>
      </c>
      <c r="E179" s="119">
        <v>177</v>
      </c>
      <c r="F179" s="119">
        <v>6.9589999999999996</v>
      </c>
      <c r="G179" s="119">
        <v>6</v>
      </c>
      <c r="H179" s="119">
        <v>5.3</v>
      </c>
      <c r="I179" s="119">
        <v>6.5911</v>
      </c>
      <c r="J179" s="119">
        <v>3.2555999999999998</v>
      </c>
      <c r="K179" s="119">
        <v>60.2</v>
      </c>
      <c r="L179" s="119">
        <v>0.2</v>
      </c>
      <c r="M179" s="119">
        <v>32.389699999999998</v>
      </c>
      <c r="N179" s="119">
        <v>7.57</v>
      </c>
    </row>
    <row r="180" spans="1:28" ht="14.5">
      <c r="A180" s="119">
        <v>40</v>
      </c>
      <c r="B180" s="119" t="s">
        <v>168</v>
      </c>
      <c r="C180" s="119">
        <v>18</v>
      </c>
      <c r="D180" s="119">
        <v>18</v>
      </c>
      <c r="E180" s="119">
        <v>178</v>
      </c>
      <c r="F180" s="119">
        <v>6.9610000000000003</v>
      </c>
      <c r="G180" s="119">
        <v>5.6</v>
      </c>
      <c r="H180" s="119">
        <v>5</v>
      </c>
      <c r="I180" s="119">
        <v>6.5914999999999999</v>
      </c>
      <c r="J180" s="119">
        <v>3.2555999999999998</v>
      </c>
      <c r="K180" s="119">
        <v>60.2</v>
      </c>
      <c r="L180" s="119">
        <v>0.2</v>
      </c>
      <c r="M180" s="119">
        <v>32.389600000000002</v>
      </c>
      <c r="N180" s="119">
        <v>7.57</v>
      </c>
    </row>
    <row r="181" spans="1:28" ht="14.5">
      <c r="A181" s="119">
        <v>40</v>
      </c>
      <c r="B181" s="119" t="s">
        <v>168</v>
      </c>
      <c r="C181" s="119">
        <v>19</v>
      </c>
      <c r="D181" s="119">
        <v>19</v>
      </c>
      <c r="E181" s="119">
        <v>179</v>
      </c>
      <c r="F181" s="119">
        <v>6.9770000000000003</v>
      </c>
      <c r="G181" s="119">
        <v>6.6</v>
      </c>
      <c r="H181" s="119">
        <v>6</v>
      </c>
      <c r="I181" s="119">
        <v>6.5915999999999997</v>
      </c>
      <c r="J181" s="119">
        <v>3.2555999999999998</v>
      </c>
      <c r="K181" s="119">
        <v>60.4</v>
      </c>
      <c r="L181" s="119">
        <v>0.21</v>
      </c>
      <c r="M181" s="119">
        <v>32.389600000000002</v>
      </c>
      <c r="N181" s="119">
        <v>7.57</v>
      </c>
    </row>
    <row r="182" spans="1:28" ht="14.5">
      <c r="A182" s="119">
        <v>40</v>
      </c>
      <c r="B182" s="119" t="s">
        <v>168</v>
      </c>
      <c r="C182" s="119">
        <v>20</v>
      </c>
      <c r="D182" s="119">
        <v>20</v>
      </c>
      <c r="E182" s="119">
        <v>180</v>
      </c>
      <c r="F182" s="119">
        <v>6.9539999999999997</v>
      </c>
      <c r="G182" s="119">
        <v>6.4</v>
      </c>
      <c r="H182" s="119">
        <v>5.7</v>
      </c>
      <c r="I182" s="119">
        <v>6.5911999999999997</v>
      </c>
      <c r="J182" s="119">
        <v>3.2555999999999998</v>
      </c>
      <c r="K182" s="119">
        <v>60.3</v>
      </c>
      <c r="L182" s="119">
        <v>0.21</v>
      </c>
      <c r="M182" s="119">
        <v>32.389600000000002</v>
      </c>
      <c r="N182" s="119">
        <v>7.57</v>
      </c>
    </row>
    <row r="183" spans="1:28" ht="14.5">
      <c r="A183" s="119">
        <v>44</v>
      </c>
      <c r="B183" s="119" t="s">
        <v>169</v>
      </c>
      <c r="C183" s="119">
        <v>1</v>
      </c>
      <c r="D183" s="119">
        <v>1</v>
      </c>
      <c r="E183" s="119">
        <v>181</v>
      </c>
      <c r="F183" s="119">
        <v>2.0139999999999998</v>
      </c>
      <c r="G183" s="119">
        <v>302.3</v>
      </c>
      <c r="H183" s="119">
        <v>299</v>
      </c>
      <c r="I183" s="119">
        <v>4.4855</v>
      </c>
      <c r="J183" s="119">
        <v>3.2134999999999998</v>
      </c>
      <c r="K183" s="119">
        <v>66</v>
      </c>
      <c r="L183" s="119">
        <v>7.0000000000000007E-2</v>
      </c>
      <c r="M183" s="119">
        <v>33.837400000000002</v>
      </c>
      <c r="N183" s="119">
        <v>7.12</v>
      </c>
    </row>
    <row r="184" spans="1:28" ht="14.5">
      <c r="A184" s="119">
        <v>44</v>
      </c>
      <c r="B184" s="119" t="s">
        <v>169</v>
      </c>
      <c r="C184" s="119">
        <v>2</v>
      </c>
      <c r="D184" s="119">
        <v>2</v>
      </c>
      <c r="E184" s="119">
        <v>182</v>
      </c>
      <c r="F184" s="119">
        <v>3.3319999999999999</v>
      </c>
      <c r="G184" s="119">
        <v>200.6</v>
      </c>
      <c r="H184" s="119">
        <v>198.2</v>
      </c>
      <c r="I184" s="119">
        <v>5.3166000000000002</v>
      </c>
      <c r="J184" s="119">
        <v>3.2734000000000001</v>
      </c>
      <c r="K184" s="119">
        <v>65.599999999999994</v>
      </c>
      <c r="L184" s="119">
        <v>0.06</v>
      </c>
      <c r="M184" s="119">
        <v>33.738700000000001</v>
      </c>
      <c r="N184" s="119">
        <v>7.25</v>
      </c>
    </row>
    <row r="185" spans="1:28" s="159" customFormat="1" ht="14.5">
      <c r="A185" s="119">
        <v>44</v>
      </c>
      <c r="B185" s="119" t="s">
        <v>169</v>
      </c>
      <c r="C185" s="119">
        <v>3</v>
      </c>
      <c r="D185" s="119">
        <v>3</v>
      </c>
      <c r="E185" s="119">
        <v>183</v>
      </c>
      <c r="F185" s="119">
        <v>4.351</v>
      </c>
      <c r="G185" s="119">
        <v>150.5</v>
      </c>
      <c r="H185" s="119">
        <v>148.6</v>
      </c>
      <c r="I185" s="119">
        <v>6.0848000000000004</v>
      </c>
      <c r="J185" s="119">
        <v>3.3290000000000002</v>
      </c>
      <c r="K185" s="119">
        <v>65.7</v>
      </c>
      <c r="L185" s="119">
        <v>0.06</v>
      </c>
      <c r="M185" s="119">
        <v>33.626399999999997</v>
      </c>
      <c r="N185" s="119">
        <v>7.35</v>
      </c>
      <c r="O185" s="165"/>
      <c r="P185" s="165"/>
      <c r="Q185" s="167"/>
      <c r="R185" s="167"/>
      <c r="S185" s="167"/>
      <c r="T185" s="167"/>
      <c r="U185" s="170"/>
      <c r="V185" s="170"/>
      <c r="W185" s="172"/>
      <c r="X185" s="168"/>
      <c r="Y185" s="167"/>
    </row>
    <row r="186" spans="1:28" s="159" customFormat="1" ht="14.5">
      <c r="A186" s="119">
        <v>44</v>
      </c>
      <c r="B186" s="119" t="s">
        <v>169</v>
      </c>
      <c r="C186" s="119">
        <v>4</v>
      </c>
      <c r="D186" s="119">
        <v>4</v>
      </c>
      <c r="E186" s="119">
        <v>184</v>
      </c>
      <c r="F186" s="119">
        <v>4.3499999999999996</v>
      </c>
      <c r="G186" s="119">
        <v>149.69999999999999</v>
      </c>
      <c r="H186" s="119">
        <v>147.69999999999999</v>
      </c>
      <c r="I186" s="119">
        <v>6.0922999999999998</v>
      </c>
      <c r="J186" s="119">
        <v>3.3292000000000002</v>
      </c>
      <c r="K186" s="119">
        <v>65.7</v>
      </c>
      <c r="L186" s="119">
        <v>0.06</v>
      </c>
      <c r="M186" s="119">
        <v>33.621200000000002</v>
      </c>
      <c r="N186" s="119">
        <v>7.35</v>
      </c>
      <c r="O186" s="165"/>
      <c r="P186" s="165"/>
      <c r="Q186" s="167"/>
      <c r="R186" s="167"/>
      <c r="S186" s="167"/>
      <c r="T186" s="167"/>
      <c r="U186" s="170"/>
      <c r="V186" s="170"/>
      <c r="W186" s="172"/>
      <c r="X186" s="168"/>
      <c r="Y186" s="167"/>
    </row>
    <row r="187" spans="1:28" s="159" customFormat="1" ht="14.5">
      <c r="A187" s="119">
        <v>44</v>
      </c>
      <c r="B187" s="119" t="s">
        <v>169</v>
      </c>
      <c r="C187" s="119">
        <v>5</v>
      </c>
      <c r="D187" s="119">
        <v>5</v>
      </c>
      <c r="E187" s="119">
        <v>185</v>
      </c>
      <c r="F187" s="119">
        <v>5.2729999999999997</v>
      </c>
      <c r="G187" s="119">
        <v>125.2</v>
      </c>
      <c r="H187" s="119">
        <v>123.5</v>
      </c>
      <c r="I187" s="119">
        <v>6.0449000000000002</v>
      </c>
      <c r="J187" s="119">
        <v>3.2906</v>
      </c>
      <c r="K187" s="119">
        <v>65.8</v>
      </c>
      <c r="L187" s="119">
        <v>0.06</v>
      </c>
      <c r="M187" s="119">
        <v>33.248100000000001</v>
      </c>
      <c r="N187" s="119">
        <v>7.42</v>
      </c>
      <c r="O187" s="157"/>
      <c r="P187" s="157"/>
      <c r="Q187" s="151"/>
      <c r="R187" s="151"/>
      <c r="S187" s="151"/>
      <c r="T187" s="151"/>
      <c r="U187" s="155"/>
      <c r="V187" s="155"/>
      <c r="W187" s="158"/>
      <c r="X187" s="152"/>
      <c r="Y187" s="151"/>
    </row>
    <row r="188" spans="1:28" s="159" customFormat="1" ht="14.5">
      <c r="A188" s="119">
        <v>44</v>
      </c>
      <c r="B188" s="119" t="s">
        <v>169</v>
      </c>
      <c r="C188" s="119">
        <v>6</v>
      </c>
      <c r="D188" s="119">
        <v>6</v>
      </c>
      <c r="E188" s="119">
        <v>186</v>
      </c>
      <c r="F188" s="119">
        <v>6.4459999999999997</v>
      </c>
      <c r="G188" s="119">
        <v>101.6</v>
      </c>
      <c r="H188" s="119">
        <v>100.2</v>
      </c>
      <c r="I188" s="119">
        <v>6.2968000000000002</v>
      </c>
      <c r="J188" s="119">
        <v>3.2581000000000002</v>
      </c>
      <c r="K188" s="119">
        <v>65.400000000000006</v>
      </c>
      <c r="L188" s="119">
        <v>0.08</v>
      </c>
      <c r="M188" s="119">
        <v>32.652500000000003</v>
      </c>
      <c r="N188" s="119">
        <v>7.53</v>
      </c>
      <c r="O188" s="157"/>
      <c r="P188" s="151"/>
      <c r="Q188" s="151"/>
      <c r="R188" s="175"/>
      <c r="S188" s="175"/>
      <c r="T188" s="175"/>
      <c r="U188" s="173"/>
      <c r="V188" s="158"/>
      <c r="W188" s="173"/>
      <c r="X188" s="173"/>
      <c r="Y188" s="175"/>
      <c r="Z188" s="177"/>
      <c r="AA188" s="177"/>
      <c r="AB188" s="152"/>
    </row>
    <row r="189" spans="1:28" s="159" customFormat="1" ht="14.5">
      <c r="A189" s="119">
        <v>44</v>
      </c>
      <c r="B189" s="119" t="s">
        <v>169</v>
      </c>
      <c r="C189" s="119">
        <v>7</v>
      </c>
      <c r="D189" s="119">
        <v>7</v>
      </c>
      <c r="E189" s="119">
        <v>187</v>
      </c>
      <c r="F189" s="119">
        <v>6.4219999999999997</v>
      </c>
      <c r="G189" s="119">
        <v>100.3</v>
      </c>
      <c r="H189" s="119">
        <v>98.8</v>
      </c>
      <c r="I189" s="119">
        <v>6.4763999999999999</v>
      </c>
      <c r="J189" s="119">
        <v>3.2633000000000001</v>
      </c>
      <c r="K189" s="119">
        <v>65.099999999999994</v>
      </c>
      <c r="L189" s="119">
        <v>0.09</v>
      </c>
      <c r="M189" s="119">
        <v>32.539499999999997</v>
      </c>
      <c r="N189" s="119">
        <v>7.54</v>
      </c>
      <c r="O189" s="248"/>
      <c r="P189" s="173"/>
      <c r="Q189" s="247"/>
      <c r="R189" s="173"/>
      <c r="S189" s="247"/>
      <c r="T189" s="175"/>
      <c r="U189" s="247"/>
      <c r="V189" s="158"/>
      <c r="W189" s="247"/>
      <c r="Y189" s="179"/>
      <c r="AA189" s="180"/>
    </row>
    <row r="190" spans="1:28" s="159" customFormat="1" ht="14.5">
      <c r="A190" s="119">
        <v>44</v>
      </c>
      <c r="B190" s="119" t="s">
        <v>169</v>
      </c>
      <c r="C190" s="119">
        <v>8</v>
      </c>
      <c r="D190" s="119">
        <v>8</v>
      </c>
      <c r="E190" s="119">
        <v>188</v>
      </c>
      <c r="F190" s="119">
        <v>6.5579999999999998</v>
      </c>
      <c r="G190" s="119">
        <v>100.5</v>
      </c>
      <c r="H190" s="119">
        <v>99.1</v>
      </c>
      <c r="I190" s="119">
        <v>6.383</v>
      </c>
      <c r="J190" s="119">
        <v>3.2606000000000002</v>
      </c>
      <c r="K190" s="119">
        <v>65.2</v>
      </c>
      <c r="L190" s="119">
        <v>0.08</v>
      </c>
      <c r="M190" s="119">
        <v>32.597700000000003</v>
      </c>
      <c r="N190" s="119">
        <v>7.54</v>
      </c>
      <c r="O190" s="248"/>
      <c r="P190" s="173"/>
      <c r="Q190" s="247"/>
      <c r="R190" s="173"/>
      <c r="S190" s="247"/>
      <c r="T190" s="175"/>
      <c r="U190" s="247"/>
      <c r="V190" s="181"/>
      <c r="W190" s="247"/>
      <c r="X190" s="182"/>
      <c r="Y190" s="183"/>
      <c r="AA190" s="180"/>
    </row>
    <row r="191" spans="1:28" s="190" customFormat="1" ht="14.5">
      <c r="A191" s="119">
        <v>44</v>
      </c>
      <c r="B191" s="119" t="s">
        <v>169</v>
      </c>
      <c r="C191" s="119">
        <v>9</v>
      </c>
      <c r="D191" s="119">
        <v>9</v>
      </c>
      <c r="E191" s="119">
        <v>189</v>
      </c>
      <c r="F191" s="119">
        <v>6.9</v>
      </c>
      <c r="G191" s="119">
        <v>75</v>
      </c>
      <c r="H191" s="119">
        <v>73.8</v>
      </c>
      <c r="I191" s="119">
        <v>6.8414999999999999</v>
      </c>
      <c r="J191" s="119">
        <v>3.2833999999999999</v>
      </c>
      <c r="K191" s="119">
        <v>61.5</v>
      </c>
      <c r="L191" s="119">
        <v>0.18</v>
      </c>
      <c r="M191" s="119">
        <v>32.425899999999999</v>
      </c>
      <c r="N191" s="119">
        <v>7.58</v>
      </c>
      <c r="O191" s="184"/>
      <c r="P191" s="185"/>
      <c r="Q191" s="185"/>
      <c r="R191" s="185"/>
      <c r="S191" s="185"/>
      <c r="T191" s="187"/>
      <c r="U191" s="187"/>
      <c r="V191" s="185"/>
      <c r="W191" s="189"/>
      <c r="Y191" s="191"/>
      <c r="AA191" s="189"/>
      <c r="AB191" s="186"/>
    </row>
    <row r="192" spans="1:28" ht="14.5">
      <c r="A192" s="119">
        <v>44</v>
      </c>
      <c r="B192" s="119" t="s">
        <v>169</v>
      </c>
      <c r="C192" s="119">
        <v>10</v>
      </c>
      <c r="D192" s="119">
        <v>10</v>
      </c>
      <c r="E192" s="119">
        <v>190</v>
      </c>
      <c r="F192" s="119">
        <v>6.8979999999999997</v>
      </c>
      <c r="G192" s="119">
        <v>51</v>
      </c>
      <c r="H192" s="119">
        <v>49.9</v>
      </c>
      <c r="I192" s="119">
        <v>6.8459000000000003</v>
      </c>
      <c r="J192" s="119">
        <v>3.2826</v>
      </c>
      <c r="K192" s="119">
        <v>60.6</v>
      </c>
      <c r="L192" s="119">
        <v>0.22</v>
      </c>
      <c r="M192" s="119">
        <v>32.423999999999999</v>
      </c>
      <c r="N192" s="119">
        <v>7.58</v>
      </c>
    </row>
    <row r="193" spans="1:28" ht="14.5">
      <c r="A193" s="119">
        <v>44</v>
      </c>
      <c r="B193" s="119" t="s">
        <v>169</v>
      </c>
      <c r="C193" s="119">
        <v>11</v>
      </c>
      <c r="D193" s="119">
        <v>11</v>
      </c>
      <c r="E193" s="119">
        <v>191</v>
      </c>
      <c r="F193" s="119">
        <v>6.9130000000000003</v>
      </c>
      <c r="G193" s="119">
        <v>50.9</v>
      </c>
      <c r="H193" s="119">
        <v>49.9</v>
      </c>
      <c r="I193" s="119">
        <v>6.8459000000000003</v>
      </c>
      <c r="J193" s="119">
        <v>3.2826</v>
      </c>
      <c r="K193" s="119">
        <v>60.7</v>
      </c>
      <c r="L193" s="119">
        <v>0.22</v>
      </c>
      <c r="M193" s="119">
        <v>32.423900000000003</v>
      </c>
      <c r="N193" s="119">
        <v>7.58</v>
      </c>
    </row>
    <row r="194" spans="1:28" ht="14.5">
      <c r="A194" s="119">
        <v>44</v>
      </c>
      <c r="B194" s="119" t="s">
        <v>169</v>
      </c>
      <c r="C194" s="119">
        <v>12</v>
      </c>
      <c r="D194" s="119">
        <v>12</v>
      </c>
      <c r="E194" s="119">
        <v>192</v>
      </c>
      <c r="F194" s="119">
        <v>6.915</v>
      </c>
      <c r="G194" s="119">
        <v>50.5</v>
      </c>
      <c r="H194" s="119">
        <v>49.5</v>
      </c>
      <c r="I194" s="119">
        <v>6.8459000000000003</v>
      </c>
      <c r="J194" s="119">
        <v>3.2825000000000002</v>
      </c>
      <c r="K194" s="119">
        <v>60.6</v>
      </c>
      <c r="L194" s="119">
        <v>0.22</v>
      </c>
      <c r="M194" s="119">
        <v>32.423900000000003</v>
      </c>
      <c r="N194" s="119">
        <v>7.58</v>
      </c>
    </row>
    <row r="195" spans="1:28" s="159" customFormat="1" ht="14.5">
      <c r="A195" s="119">
        <v>44</v>
      </c>
      <c r="B195" s="119" t="s">
        <v>169</v>
      </c>
      <c r="C195" s="119">
        <v>13</v>
      </c>
      <c r="D195" s="119">
        <v>13</v>
      </c>
      <c r="E195" s="119">
        <v>193</v>
      </c>
      <c r="F195" s="119">
        <v>6.923</v>
      </c>
      <c r="G195" s="119">
        <v>25.5</v>
      </c>
      <c r="H195" s="119">
        <v>24.7</v>
      </c>
      <c r="I195" s="119">
        <v>6.9920999999999998</v>
      </c>
      <c r="J195" s="119">
        <v>3.2942999999999998</v>
      </c>
      <c r="K195" s="119">
        <v>57.2</v>
      </c>
      <c r="L195" s="119">
        <v>0.32</v>
      </c>
      <c r="M195" s="119">
        <v>32.426299999999998</v>
      </c>
      <c r="N195" s="119">
        <v>7.59</v>
      </c>
      <c r="O195" s="165"/>
      <c r="P195" s="165"/>
      <c r="Q195" s="167"/>
      <c r="R195" s="167"/>
      <c r="S195" s="167"/>
      <c r="T195" s="167"/>
      <c r="U195" s="170"/>
      <c r="V195" s="170"/>
      <c r="W195" s="172"/>
      <c r="X195" s="168"/>
      <c r="Y195" s="167"/>
    </row>
    <row r="196" spans="1:28" s="159" customFormat="1" ht="14.5">
      <c r="A196" s="119">
        <v>44</v>
      </c>
      <c r="B196" s="119" t="s">
        <v>169</v>
      </c>
      <c r="C196" s="119">
        <v>14</v>
      </c>
      <c r="D196" s="119">
        <v>14</v>
      </c>
      <c r="E196" s="119">
        <v>194</v>
      </c>
      <c r="F196" s="119">
        <v>6.9269999999999996</v>
      </c>
      <c r="G196" s="119">
        <v>26.4</v>
      </c>
      <c r="H196" s="119">
        <v>25.5</v>
      </c>
      <c r="I196" s="119">
        <v>6.9920999999999998</v>
      </c>
      <c r="J196" s="119">
        <v>3.2942999999999998</v>
      </c>
      <c r="K196" s="119">
        <v>57.2</v>
      </c>
      <c r="L196" s="119">
        <v>0.32</v>
      </c>
      <c r="M196" s="119">
        <v>32.426299999999998</v>
      </c>
      <c r="N196" s="119">
        <v>7.59</v>
      </c>
      <c r="O196" s="165"/>
      <c r="P196" s="165"/>
      <c r="Q196" s="167"/>
      <c r="R196" s="167"/>
      <c r="S196" s="167"/>
      <c r="T196" s="167"/>
      <c r="U196" s="170"/>
      <c r="V196" s="170"/>
      <c r="W196" s="172"/>
      <c r="X196" s="168"/>
      <c r="Y196" s="167"/>
    </row>
    <row r="197" spans="1:28" s="159" customFormat="1" ht="14.5">
      <c r="A197" s="119">
        <v>44</v>
      </c>
      <c r="B197" s="119" t="s">
        <v>169</v>
      </c>
      <c r="C197" s="119">
        <v>15</v>
      </c>
      <c r="D197" s="119">
        <v>15</v>
      </c>
      <c r="E197" s="119">
        <v>195</v>
      </c>
      <c r="F197" s="119">
        <v>6.9269999999999996</v>
      </c>
      <c r="G197" s="119">
        <v>25.8</v>
      </c>
      <c r="H197" s="119">
        <v>25</v>
      </c>
      <c r="I197" s="119">
        <v>6.9917999999999996</v>
      </c>
      <c r="J197" s="119">
        <v>3.2942999999999998</v>
      </c>
      <c r="K197" s="119">
        <v>57.1</v>
      </c>
      <c r="L197" s="119">
        <v>0.32</v>
      </c>
      <c r="M197" s="119">
        <v>32.426299999999998</v>
      </c>
      <c r="N197" s="119">
        <v>7.59</v>
      </c>
      <c r="O197" s="157"/>
      <c r="P197" s="157"/>
      <c r="Q197" s="151"/>
      <c r="R197" s="151"/>
      <c r="S197" s="151"/>
      <c r="T197" s="151"/>
      <c r="U197" s="155"/>
      <c r="V197" s="155"/>
      <c r="W197" s="158"/>
      <c r="X197" s="152"/>
      <c r="Y197" s="151"/>
    </row>
    <row r="198" spans="1:28" s="159" customFormat="1" ht="14.5">
      <c r="A198" s="119">
        <v>44</v>
      </c>
      <c r="B198" s="119" t="s">
        <v>169</v>
      </c>
      <c r="C198" s="119">
        <v>16</v>
      </c>
      <c r="D198" s="119">
        <v>16</v>
      </c>
      <c r="E198" s="119">
        <v>196</v>
      </c>
      <c r="F198" s="119">
        <v>6.891</v>
      </c>
      <c r="G198" s="119">
        <v>6.6</v>
      </c>
      <c r="H198" s="119">
        <v>5.9</v>
      </c>
      <c r="I198" s="119">
        <v>7.0038</v>
      </c>
      <c r="J198" s="119">
        <v>3.2945000000000002</v>
      </c>
      <c r="K198" s="119">
        <v>56.9</v>
      </c>
      <c r="L198" s="119">
        <v>0.33</v>
      </c>
      <c r="M198" s="119">
        <v>32.4268</v>
      </c>
      <c r="N198" s="119">
        <v>7.59</v>
      </c>
      <c r="O198" s="157"/>
      <c r="P198" s="151"/>
      <c r="Q198" s="151"/>
      <c r="R198" s="175"/>
      <c r="S198" s="175"/>
      <c r="T198" s="175"/>
      <c r="U198" s="173"/>
      <c r="V198" s="158"/>
      <c r="W198" s="173"/>
      <c r="X198" s="173"/>
      <c r="Y198" s="175"/>
      <c r="Z198" s="177"/>
      <c r="AA198" s="177"/>
      <c r="AB198" s="152"/>
    </row>
    <row r="199" spans="1:28" s="159" customFormat="1" ht="14.5">
      <c r="A199" s="119">
        <v>44</v>
      </c>
      <c r="B199" s="119" t="s">
        <v>169</v>
      </c>
      <c r="C199" s="119">
        <v>17</v>
      </c>
      <c r="D199" s="119">
        <v>17</v>
      </c>
      <c r="E199" s="119">
        <v>197</v>
      </c>
      <c r="F199" s="119">
        <v>6.88</v>
      </c>
      <c r="G199" s="119">
        <v>6.2</v>
      </c>
      <c r="H199" s="119">
        <v>5.5</v>
      </c>
      <c r="I199" s="119">
        <v>7.0065999999999997</v>
      </c>
      <c r="J199" s="119">
        <v>3.2947000000000002</v>
      </c>
      <c r="K199" s="119">
        <v>56.8</v>
      </c>
      <c r="L199" s="119">
        <v>0.33</v>
      </c>
      <c r="M199" s="119">
        <v>32.426499999999997</v>
      </c>
      <c r="N199" s="119">
        <v>7.59</v>
      </c>
      <c r="O199" s="248"/>
      <c r="P199" s="173"/>
      <c r="Q199" s="247"/>
      <c r="R199" s="173"/>
      <c r="S199" s="247"/>
      <c r="T199" s="175"/>
      <c r="U199" s="247"/>
      <c r="V199" s="158"/>
      <c r="W199" s="247"/>
      <c r="Y199" s="179"/>
      <c r="AA199" s="180"/>
    </row>
    <row r="200" spans="1:28" s="159" customFormat="1" ht="14.5">
      <c r="A200" s="119">
        <v>44</v>
      </c>
      <c r="B200" s="119" t="s">
        <v>169</v>
      </c>
      <c r="C200" s="119">
        <v>18</v>
      </c>
      <c r="D200" s="119">
        <v>18</v>
      </c>
      <c r="E200" s="119">
        <v>198</v>
      </c>
      <c r="F200" s="119">
        <v>6.8810000000000002</v>
      </c>
      <c r="G200" s="119">
        <v>5.8</v>
      </c>
      <c r="H200" s="119">
        <v>5.0999999999999996</v>
      </c>
      <c r="I200" s="119">
        <v>7.0082000000000004</v>
      </c>
      <c r="J200" s="119">
        <v>3.2949000000000002</v>
      </c>
      <c r="K200" s="119">
        <v>56.9</v>
      </c>
      <c r="L200" s="119">
        <v>0.32</v>
      </c>
      <c r="M200" s="119">
        <v>32.426699999999997</v>
      </c>
      <c r="N200" s="119">
        <v>7.59</v>
      </c>
      <c r="O200" s="248"/>
      <c r="P200" s="173"/>
      <c r="Q200" s="247"/>
      <c r="R200" s="173"/>
      <c r="S200" s="247"/>
      <c r="T200" s="175"/>
      <c r="U200" s="247"/>
      <c r="V200" s="181"/>
      <c r="W200" s="247"/>
      <c r="X200" s="182"/>
      <c r="Y200" s="183"/>
      <c r="AA200" s="180"/>
    </row>
    <row r="201" spans="1:28" s="190" customFormat="1" ht="14.5">
      <c r="A201" s="119">
        <v>44</v>
      </c>
      <c r="B201" s="119" t="s">
        <v>169</v>
      </c>
      <c r="C201" s="119">
        <v>19</v>
      </c>
      <c r="D201" s="119">
        <v>19</v>
      </c>
      <c r="E201" s="119">
        <v>199</v>
      </c>
      <c r="F201" s="119">
        <v>6.8869999999999996</v>
      </c>
      <c r="G201" s="119">
        <v>6</v>
      </c>
      <c r="H201" s="119">
        <v>5.3</v>
      </c>
      <c r="I201" s="119">
        <v>7.0057999999999998</v>
      </c>
      <c r="J201" s="119">
        <v>3.2946</v>
      </c>
      <c r="K201" s="119">
        <v>56.6</v>
      </c>
      <c r="L201" s="119">
        <v>0.32</v>
      </c>
      <c r="M201" s="119">
        <v>32.426499999999997</v>
      </c>
      <c r="N201" s="119">
        <v>7.59</v>
      </c>
      <c r="O201" s="184"/>
      <c r="P201" s="185"/>
      <c r="Q201" s="185"/>
      <c r="R201" s="185"/>
      <c r="S201" s="185"/>
      <c r="T201" s="187"/>
      <c r="U201" s="187"/>
      <c r="V201" s="185"/>
      <c r="W201" s="189"/>
      <c r="Y201" s="191"/>
      <c r="AA201" s="189"/>
      <c r="AB201" s="186"/>
    </row>
    <row r="202" spans="1:28" ht="14.5">
      <c r="A202" s="119">
        <v>44</v>
      </c>
      <c r="B202" s="119" t="s">
        <v>169</v>
      </c>
      <c r="C202" s="119">
        <v>20</v>
      </c>
      <c r="D202" s="119">
        <v>20</v>
      </c>
      <c r="E202" s="119">
        <v>200</v>
      </c>
      <c r="F202" s="119">
        <v>6.8879999999999999</v>
      </c>
      <c r="G202" s="119">
        <v>6.1</v>
      </c>
      <c r="H202" s="119">
        <v>5.5</v>
      </c>
      <c r="I202" s="119">
        <v>7.0063000000000004</v>
      </c>
      <c r="J202" s="119">
        <v>3.2947000000000002</v>
      </c>
      <c r="K202" s="119">
        <v>56.9</v>
      </c>
      <c r="L202" s="119">
        <v>0.32</v>
      </c>
      <c r="M202" s="119">
        <v>32.426600000000001</v>
      </c>
      <c r="N202" s="119">
        <v>7.59</v>
      </c>
    </row>
    <row r="203" spans="1:28" ht="14.5">
      <c r="A203" s="119">
        <v>48</v>
      </c>
      <c r="B203" s="119" t="s">
        <v>170</v>
      </c>
      <c r="C203" s="119">
        <v>1</v>
      </c>
      <c r="D203" s="119">
        <v>1</v>
      </c>
      <c r="E203" s="119">
        <v>201</v>
      </c>
      <c r="F203" s="119">
        <v>2.681</v>
      </c>
      <c r="G203" s="119">
        <v>301.60000000000002</v>
      </c>
      <c r="H203" s="119">
        <v>298.3</v>
      </c>
      <c r="I203" s="119">
        <v>4.9520999999999997</v>
      </c>
      <c r="J203" s="119">
        <v>3.2513999999999998</v>
      </c>
      <c r="K203" s="119">
        <v>65.3</v>
      </c>
      <c r="L203" s="119">
        <v>7.0000000000000007E-2</v>
      </c>
      <c r="M203" s="119">
        <v>33.802100000000003</v>
      </c>
      <c r="N203" s="119">
        <v>7.21</v>
      </c>
    </row>
    <row r="204" spans="1:28" ht="14.5">
      <c r="A204" s="119">
        <v>48</v>
      </c>
      <c r="B204" s="119" t="s">
        <v>170</v>
      </c>
      <c r="C204" s="119">
        <v>2</v>
      </c>
      <c r="D204" s="119">
        <v>2</v>
      </c>
      <c r="E204" s="119">
        <v>202</v>
      </c>
      <c r="F204" s="119">
        <v>4.0190000000000001</v>
      </c>
      <c r="G204" s="119">
        <v>202</v>
      </c>
      <c r="H204" s="119">
        <v>199.6</v>
      </c>
      <c r="I204" s="119">
        <v>5.9454000000000002</v>
      </c>
      <c r="J204" s="119">
        <v>3.3288000000000002</v>
      </c>
      <c r="K204" s="119">
        <v>65.3</v>
      </c>
      <c r="L204" s="119">
        <v>7.0000000000000007E-2</v>
      </c>
      <c r="M204" s="119">
        <v>33.736600000000003</v>
      </c>
      <c r="N204" s="119">
        <v>7.35</v>
      </c>
    </row>
    <row r="205" spans="1:28" ht="14.5">
      <c r="A205" s="119">
        <v>48</v>
      </c>
      <c r="B205" s="119" t="s">
        <v>170</v>
      </c>
      <c r="C205" s="119">
        <v>3</v>
      </c>
      <c r="D205" s="119">
        <v>3</v>
      </c>
      <c r="E205" s="119">
        <v>203</v>
      </c>
      <c r="F205" s="119">
        <v>4.7539999999999996</v>
      </c>
      <c r="G205" s="119">
        <v>149.9</v>
      </c>
      <c r="H205" s="119">
        <v>148</v>
      </c>
      <c r="I205" s="119">
        <v>6.6345999999999998</v>
      </c>
      <c r="J205" s="119">
        <v>3.3637000000000001</v>
      </c>
      <c r="K205" s="119">
        <v>65.5</v>
      </c>
      <c r="L205" s="119">
        <v>0.06</v>
      </c>
      <c r="M205" s="119">
        <v>33.471499999999999</v>
      </c>
      <c r="N205" s="119">
        <v>7.41</v>
      </c>
    </row>
    <row r="206" spans="1:28" ht="14.5">
      <c r="A206" s="119">
        <v>48</v>
      </c>
      <c r="B206" s="119" t="s">
        <v>170</v>
      </c>
      <c r="C206" s="119">
        <v>4</v>
      </c>
      <c r="D206" s="119">
        <v>4</v>
      </c>
      <c r="E206" s="119">
        <v>204</v>
      </c>
      <c r="F206" s="119">
        <v>4.766</v>
      </c>
      <c r="G206" s="119">
        <v>150.30000000000001</v>
      </c>
      <c r="H206" s="119">
        <v>148.4</v>
      </c>
      <c r="I206" s="119">
        <v>6.6361999999999997</v>
      </c>
      <c r="J206" s="119">
        <v>3.3637999999999999</v>
      </c>
      <c r="K206" s="119">
        <v>65.5</v>
      </c>
      <c r="L206" s="119">
        <v>0.06</v>
      </c>
      <c r="M206" s="119">
        <v>33.470999999999997</v>
      </c>
      <c r="N206" s="119">
        <v>7.41</v>
      </c>
    </row>
    <row r="207" spans="1:28" ht="14.5">
      <c r="A207" s="119">
        <v>48</v>
      </c>
      <c r="B207" s="119" t="s">
        <v>170</v>
      </c>
      <c r="C207" s="119">
        <v>5</v>
      </c>
      <c r="D207" s="119">
        <v>5</v>
      </c>
      <c r="E207" s="119">
        <v>205</v>
      </c>
      <c r="F207" s="119">
        <v>6.3959999999999999</v>
      </c>
      <c r="G207" s="119">
        <v>125.8</v>
      </c>
      <c r="H207" s="119">
        <v>124.1</v>
      </c>
      <c r="I207" s="119">
        <v>6.6075999999999997</v>
      </c>
      <c r="J207" s="119">
        <v>3.2873000000000001</v>
      </c>
      <c r="K207" s="119">
        <v>65.400000000000006</v>
      </c>
      <c r="L207" s="119">
        <v>0.06</v>
      </c>
      <c r="M207" s="119">
        <v>32.665999999999997</v>
      </c>
      <c r="N207" s="119">
        <v>7.55</v>
      </c>
    </row>
    <row r="208" spans="1:28" ht="14.5">
      <c r="A208" s="119">
        <v>48</v>
      </c>
      <c r="B208" s="119" t="s">
        <v>170</v>
      </c>
      <c r="C208" s="119">
        <v>6</v>
      </c>
      <c r="D208" s="119">
        <v>6</v>
      </c>
      <c r="E208" s="119">
        <v>206</v>
      </c>
      <c r="F208" s="119">
        <v>6.851</v>
      </c>
      <c r="G208" s="119">
        <v>102.4</v>
      </c>
      <c r="H208" s="119">
        <v>100.9</v>
      </c>
      <c r="I208" s="119">
        <v>6.9103000000000003</v>
      </c>
      <c r="J208" s="119">
        <v>3.2927</v>
      </c>
      <c r="K208" s="119">
        <v>63.9</v>
      </c>
      <c r="L208" s="119">
        <v>0.11</v>
      </c>
      <c r="M208" s="119">
        <v>32.449300000000001</v>
      </c>
      <c r="N208" s="119">
        <v>7.59</v>
      </c>
    </row>
    <row r="209" spans="1:14" ht="14.5">
      <c r="A209" s="119">
        <v>48</v>
      </c>
      <c r="B209" s="119" t="s">
        <v>170</v>
      </c>
      <c r="C209" s="119">
        <v>7</v>
      </c>
      <c r="D209" s="119">
        <v>7</v>
      </c>
      <c r="E209" s="119">
        <v>207</v>
      </c>
      <c r="F209" s="119">
        <v>6.8470000000000004</v>
      </c>
      <c r="G209" s="119">
        <v>101.8</v>
      </c>
      <c r="H209" s="119">
        <v>100.3</v>
      </c>
      <c r="I209" s="119">
        <v>6.9150999999999998</v>
      </c>
      <c r="J209" s="119">
        <v>3.2930000000000001</v>
      </c>
      <c r="K209" s="119">
        <v>63.9</v>
      </c>
      <c r="L209" s="119">
        <v>0.11</v>
      </c>
      <c r="M209" s="119">
        <v>32.449100000000001</v>
      </c>
      <c r="N209" s="119">
        <v>7.59</v>
      </c>
    </row>
    <row r="210" spans="1:14" ht="14.5">
      <c r="A210" s="119">
        <v>48</v>
      </c>
      <c r="B210" s="119" t="s">
        <v>170</v>
      </c>
      <c r="C210" s="119">
        <v>8</v>
      </c>
      <c r="D210" s="119">
        <v>8</v>
      </c>
      <c r="E210" s="119">
        <v>208</v>
      </c>
      <c r="F210" s="119">
        <v>6.8570000000000002</v>
      </c>
      <c r="G210" s="119">
        <v>101.2</v>
      </c>
      <c r="H210" s="119">
        <v>99.8</v>
      </c>
      <c r="I210" s="119">
        <v>6.9165999999999999</v>
      </c>
      <c r="J210" s="119">
        <v>3.2932000000000001</v>
      </c>
      <c r="K210" s="119">
        <v>63.9</v>
      </c>
      <c r="L210" s="119">
        <v>0.11</v>
      </c>
      <c r="M210" s="119">
        <v>32.449300000000001</v>
      </c>
      <c r="N210" s="119">
        <v>7.59</v>
      </c>
    </row>
    <row r="211" spans="1:14" ht="14.5">
      <c r="A211" s="119">
        <v>48</v>
      </c>
      <c r="B211" s="119" t="s">
        <v>170</v>
      </c>
      <c r="C211" s="119">
        <v>9</v>
      </c>
      <c r="D211" s="119">
        <v>9</v>
      </c>
      <c r="E211" s="119">
        <v>209</v>
      </c>
      <c r="F211" s="119">
        <v>6.8810000000000002</v>
      </c>
      <c r="G211" s="119">
        <v>75.400000000000006</v>
      </c>
      <c r="H211" s="119">
        <v>74.2</v>
      </c>
      <c r="I211" s="119">
        <v>7.1475999999999997</v>
      </c>
      <c r="J211" s="119">
        <v>3.3128000000000002</v>
      </c>
      <c r="K211" s="119">
        <v>62.1</v>
      </c>
      <c r="L211" s="119">
        <v>0.16</v>
      </c>
      <c r="M211" s="119">
        <v>32.457599999999999</v>
      </c>
      <c r="N211" s="119">
        <v>7.6</v>
      </c>
    </row>
    <row r="212" spans="1:14" ht="14.5">
      <c r="A212" s="119">
        <v>48</v>
      </c>
      <c r="B212" s="119" t="s">
        <v>170</v>
      </c>
      <c r="C212" s="119">
        <v>10</v>
      </c>
      <c r="D212" s="119">
        <v>10</v>
      </c>
      <c r="E212" s="119">
        <v>210</v>
      </c>
      <c r="F212" s="119">
        <v>6.8769999999999998</v>
      </c>
      <c r="G212" s="119">
        <v>51.3</v>
      </c>
      <c r="H212" s="119">
        <v>50.2</v>
      </c>
      <c r="I212" s="119">
        <v>7.3327</v>
      </c>
      <c r="J212" s="119">
        <v>3.3275000000000001</v>
      </c>
      <c r="K212" s="119">
        <v>59.9</v>
      </c>
      <c r="L212" s="119">
        <v>0.22</v>
      </c>
      <c r="M212" s="119">
        <v>32.455199999999998</v>
      </c>
      <c r="N212" s="119">
        <v>7.61</v>
      </c>
    </row>
    <row r="213" spans="1:14" ht="14.5">
      <c r="A213" s="119">
        <v>48</v>
      </c>
      <c r="B213" s="119" t="s">
        <v>170</v>
      </c>
      <c r="C213" s="119">
        <v>11</v>
      </c>
      <c r="D213" s="119">
        <v>11</v>
      </c>
      <c r="E213" s="119">
        <v>211</v>
      </c>
      <c r="F213" s="119">
        <v>6.8780000000000001</v>
      </c>
      <c r="G213" s="119">
        <v>51.2</v>
      </c>
      <c r="H213" s="119">
        <v>50.2</v>
      </c>
      <c r="I213" s="119">
        <v>7.3324999999999996</v>
      </c>
      <c r="J213" s="119">
        <v>3.3275000000000001</v>
      </c>
      <c r="K213" s="119">
        <v>59.9</v>
      </c>
      <c r="L213" s="119">
        <v>0.22</v>
      </c>
      <c r="M213" s="119">
        <v>32.455199999999998</v>
      </c>
      <c r="N213" s="119">
        <v>7.6</v>
      </c>
    </row>
    <row r="214" spans="1:14" ht="14.5">
      <c r="A214" s="119">
        <v>48</v>
      </c>
      <c r="B214" s="119" t="s">
        <v>170</v>
      </c>
      <c r="C214" s="119">
        <v>12</v>
      </c>
      <c r="D214" s="119">
        <v>12</v>
      </c>
      <c r="E214" s="119">
        <v>212</v>
      </c>
      <c r="F214" s="119">
        <v>6.8710000000000004</v>
      </c>
      <c r="G214" s="119">
        <v>51.2</v>
      </c>
      <c r="H214" s="119">
        <v>50.1</v>
      </c>
      <c r="I214" s="119">
        <v>7.3327</v>
      </c>
      <c r="J214" s="119">
        <v>3.3275000000000001</v>
      </c>
      <c r="K214" s="119">
        <v>59.9</v>
      </c>
      <c r="L214" s="119">
        <v>0.23</v>
      </c>
      <c r="M214" s="119">
        <v>32.455199999999998</v>
      </c>
      <c r="N214" s="119">
        <v>7.61</v>
      </c>
    </row>
    <row r="215" spans="1:14" ht="14.5">
      <c r="A215" s="119">
        <v>48</v>
      </c>
      <c r="B215" s="119" t="s">
        <v>170</v>
      </c>
      <c r="C215" s="119">
        <v>13</v>
      </c>
      <c r="D215" s="119">
        <v>13</v>
      </c>
      <c r="E215" s="119">
        <v>213</v>
      </c>
      <c r="F215" s="119">
        <v>6.8929999999999998</v>
      </c>
      <c r="G215" s="119">
        <v>25.6</v>
      </c>
      <c r="H215" s="119">
        <v>24.7</v>
      </c>
      <c r="I215" s="119">
        <v>7.4170999999999996</v>
      </c>
      <c r="J215" s="119">
        <v>3.3334999999999999</v>
      </c>
      <c r="K215" s="119">
        <v>57.7</v>
      </c>
      <c r="L215" s="119">
        <v>0.31</v>
      </c>
      <c r="M215" s="119">
        <v>32.4529</v>
      </c>
      <c r="N215" s="119">
        <v>7.61</v>
      </c>
    </row>
    <row r="216" spans="1:14" ht="14.5">
      <c r="A216" s="119">
        <v>48</v>
      </c>
      <c r="B216" s="119" t="s">
        <v>170</v>
      </c>
      <c r="C216" s="119">
        <v>14</v>
      </c>
      <c r="D216" s="119">
        <v>14</v>
      </c>
      <c r="E216" s="119">
        <v>214</v>
      </c>
      <c r="F216" s="119">
        <v>6.8970000000000002</v>
      </c>
      <c r="G216" s="119">
        <v>25.6</v>
      </c>
      <c r="H216" s="119">
        <v>24.8</v>
      </c>
      <c r="I216" s="119">
        <v>7.4173999999999998</v>
      </c>
      <c r="J216" s="119">
        <v>3.3334999999999999</v>
      </c>
      <c r="K216" s="119">
        <v>57.7</v>
      </c>
      <c r="L216" s="119">
        <v>0.31</v>
      </c>
      <c r="M216" s="119">
        <v>32.452800000000003</v>
      </c>
      <c r="N216" s="119">
        <v>7.61</v>
      </c>
    </row>
    <row r="217" spans="1:14" ht="14.5">
      <c r="A217" s="119">
        <v>48</v>
      </c>
      <c r="B217" s="119" t="s">
        <v>170</v>
      </c>
      <c r="C217" s="119">
        <v>15</v>
      </c>
      <c r="D217" s="119">
        <v>15</v>
      </c>
      <c r="E217" s="119">
        <v>215</v>
      </c>
      <c r="F217" s="119">
        <v>6.891</v>
      </c>
      <c r="G217" s="119">
        <v>26</v>
      </c>
      <c r="H217" s="119">
        <v>25.1</v>
      </c>
      <c r="I217" s="119">
        <v>7.4210000000000003</v>
      </c>
      <c r="J217" s="119">
        <v>3.3338000000000001</v>
      </c>
      <c r="K217" s="119">
        <v>57.7</v>
      </c>
      <c r="L217" s="119">
        <v>0.31</v>
      </c>
      <c r="M217" s="119">
        <v>32.452599999999997</v>
      </c>
      <c r="N217" s="119">
        <v>7.61</v>
      </c>
    </row>
    <row r="218" spans="1:14" ht="14.5">
      <c r="A218" s="119">
        <v>48</v>
      </c>
      <c r="B218" s="119" t="s">
        <v>170</v>
      </c>
      <c r="C218" s="119">
        <v>16</v>
      </c>
      <c r="D218" s="119">
        <v>16</v>
      </c>
      <c r="E218" s="119">
        <v>216</v>
      </c>
      <c r="F218" s="119">
        <v>6.8570000000000002</v>
      </c>
      <c r="G218" s="119">
        <v>5.8</v>
      </c>
      <c r="H218" s="119">
        <v>5.2</v>
      </c>
      <c r="I218" s="119">
        <v>7.58</v>
      </c>
      <c r="J218" s="119">
        <v>3.3466</v>
      </c>
      <c r="K218" s="119">
        <v>58.2</v>
      </c>
      <c r="L218" s="119">
        <v>0.28999999999999998</v>
      </c>
      <c r="M218" s="119">
        <v>32.450600000000001</v>
      </c>
      <c r="N218" s="119">
        <v>7.62</v>
      </c>
    </row>
    <row r="219" spans="1:14" ht="14.5">
      <c r="A219" s="119">
        <v>48</v>
      </c>
      <c r="B219" s="119" t="s">
        <v>170</v>
      </c>
      <c r="C219" s="119">
        <v>17</v>
      </c>
      <c r="D219" s="119">
        <v>17</v>
      </c>
      <c r="E219" s="119">
        <v>217</v>
      </c>
      <c r="F219" s="119">
        <v>6.8650000000000002</v>
      </c>
      <c r="G219" s="119">
        <v>6.3</v>
      </c>
      <c r="H219" s="119">
        <v>5.7</v>
      </c>
      <c r="I219" s="119">
        <v>7.5804</v>
      </c>
      <c r="J219" s="119">
        <v>3.3466999999999998</v>
      </c>
      <c r="K219" s="119">
        <v>58.3</v>
      </c>
      <c r="L219" s="119">
        <v>0.28999999999999998</v>
      </c>
      <c r="M219" s="119">
        <v>32.450699999999998</v>
      </c>
      <c r="N219" s="119">
        <v>7.62</v>
      </c>
    </row>
    <row r="220" spans="1:14" ht="14.5">
      <c r="A220" s="119">
        <v>48</v>
      </c>
      <c r="B220" s="119" t="s">
        <v>170</v>
      </c>
      <c r="C220" s="119">
        <v>18</v>
      </c>
      <c r="D220" s="119">
        <v>18</v>
      </c>
      <c r="E220" s="119">
        <v>218</v>
      </c>
      <c r="F220" s="119">
        <v>6.8579999999999997</v>
      </c>
      <c r="G220" s="119">
        <v>6.3</v>
      </c>
      <c r="H220" s="119">
        <v>5.7</v>
      </c>
      <c r="I220" s="119">
        <v>7.5801999999999996</v>
      </c>
      <c r="J220" s="119">
        <v>3.3466</v>
      </c>
      <c r="K220" s="119">
        <v>58.3</v>
      </c>
      <c r="L220" s="119">
        <v>0.28999999999999998</v>
      </c>
      <c r="M220" s="119">
        <v>32.450699999999998</v>
      </c>
      <c r="N220" s="119">
        <v>7.62</v>
      </c>
    </row>
    <row r="221" spans="1:14" ht="14.5">
      <c r="A221" s="119">
        <v>48</v>
      </c>
      <c r="B221" s="119" t="s">
        <v>170</v>
      </c>
      <c r="C221" s="119">
        <v>19</v>
      </c>
      <c r="D221" s="119">
        <v>19</v>
      </c>
      <c r="E221" s="119">
        <v>219</v>
      </c>
      <c r="F221" s="119">
        <v>6.8460000000000001</v>
      </c>
      <c r="G221" s="119">
        <v>6</v>
      </c>
      <c r="H221" s="119">
        <v>5.3</v>
      </c>
      <c r="I221" s="119">
        <v>7.5801999999999996</v>
      </c>
      <c r="J221" s="119">
        <v>3.3466</v>
      </c>
      <c r="K221" s="119">
        <v>58.2</v>
      </c>
      <c r="L221" s="119">
        <v>0.28999999999999998</v>
      </c>
      <c r="M221" s="119">
        <v>32.450699999999998</v>
      </c>
      <c r="N221" s="119">
        <v>7.62</v>
      </c>
    </row>
    <row r="222" spans="1:14" ht="14.5">
      <c r="A222" s="119">
        <v>48</v>
      </c>
      <c r="B222" s="119" t="s">
        <v>170</v>
      </c>
      <c r="C222" s="119">
        <v>20</v>
      </c>
      <c r="D222" s="119">
        <v>20</v>
      </c>
      <c r="E222" s="119">
        <v>220</v>
      </c>
      <c r="F222" s="119">
        <v>6.8540000000000001</v>
      </c>
      <c r="G222" s="119">
        <v>6.1</v>
      </c>
      <c r="H222" s="119">
        <v>5.5</v>
      </c>
      <c r="I222" s="119">
        <v>7.5796999999999999</v>
      </c>
      <c r="J222" s="119">
        <v>3.3466</v>
      </c>
      <c r="K222" s="119">
        <v>58.3</v>
      </c>
      <c r="L222" s="119">
        <v>0.28999999999999998</v>
      </c>
      <c r="M222" s="119">
        <v>32.450800000000001</v>
      </c>
      <c r="N222" s="119">
        <v>7.62</v>
      </c>
    </row>
    <row r="223" spans="1:14" ht="14.5">
      <c r="A223" s="119">
        <v>53</v>
      </c>
      <c r="B223" s="119" t="s">
        <v>171</v>
      </c>
      <c r="C223" s="119">
        <v>1</v>
      </c>
      <c r="D223" s="119">
        <v>1</v>
      </c>
      <c r="E223" s="119">
        <v>221</v>
      </c>
      <c r="F223" s="119">
        <v>3.1669999999999998</v>
      </c>
      <c r="G223" s="119">
        <v>302.10000000000002</v>
      </c>
      <c r="H223" s="119">
        <v>298.8</v>
      </c>
      <c r="I223" s="119">
        <v>5.6847000000000003</v>
      </c>
      <c r="J223" s="119">
        <v>3.3172999999999999</v>
      </c>
      <c r="K223" s="119">
        <v>66.400000000000006</v>
      </c>
      <c r="L223" s="119">
        <v>0.08</v>
      </c>
      <c r="M223" s="119">
        <v>33.817599999999999</v>
      </c>
      <c r="N223" s="119">
        <v>7.29</v>
      </c>
    </row>
    <row r="224" spans="1:14" ht="14.5">
      <c r="A224" s="119">
        <v>53</v>
      </c>
      <c r="B224" s="119" t="s">
        <v>171</v>
      </c>
      <c r="C224" s="119">
        <v>2</v>
      </c>
      <c r="D224" s="119">
        <v>2</v>
      </c>
      <c r="E224" s="119">
        <v>222</v>
      </c>
      <c r="F224" s="119">
        <v>4.5129999999999999</v>
      </c>
      <c r="G224" s="119">
        <v>201.7</v>
      </c>
      <c r="H224" s="119">
        <v>199.3</v>
      </c>
      <c r="I224" s="119">
        <v>7.2565999999999997</v>
      </c>
      <c r="J224" s="119">
        <v>3.4519000000000002</v>
      </c>
      <c r="K224" s="119">
        <v>66.3</v>
      </c>
      <c r="L224" s="119">
        <v>7.0000000000000007E-2</v>
      </c>
      <c r="M224" s="119">
        <v>33.806199999999997</v>
      </c>
      <c r="N224" s="119">
        <v>7.44</v>
      </c>
    </row>
    <row r="225" spans="1:28" ht="14.5">
      <c r="A225" s="119">
        <v>53</v>
      </c>
      <c r="B225" s="119" t="s">
        <v>171</v>
      </c>
      <c r="C225" s="119">
        <v>3</v>
      </c>
      <c r="D225" s="119">
        <v>3</v>
      </c>
      <c r="E225" s="119">
        <v>223</v>
      </c>
      <c r="F225" s="119">
        <v>5.59</v>
      </c>
      <c r="G225" s="119">
        <v>150.6</v>
      </c>
      <c r="H225" s="119">
        <v>148.69999999999999</v>
      </c>
      <c r="I225" s="119">
        <v>7.3941999999999997</v>
      </c>
      <c r="J225" s="119">
        <v>3.4232</v>
      </c>
      <c r="K225" s="119">
        <v>66.400000000000006</v>
      </c>
      <c r="L225" s="119">
        <v>0.06</v>
      </c>
      <c r="M225" s="119">
        <v>33.3855</v>
      </c>
      <c r="N225" s="119">
        <v>7.52</v>
      </c>
    </row>
    <row r="226" spans="1:28" ht="14.5">
      <c r="A226" s="119">
        <v>53</v>
      </c>
      <c r="B226" s="119" t="s">
        <v>171</v>
      </c>
      <c r="C226" s="119">
        <v>4</v>
      </c>
      <c r="D226" s="119">
        <v>4</v>
      </c>
      <c r="E226" s="119">
        <v>224</v>
      </c>
      <c r="F226" s="119">
        <v>5.5750000000000002</v>
      </c>
      <c r="G226" s="119">
        <v>150.69999999999999</v>
      </c>
      <c r="H226" s="119">
        <v>148.80000000000001</v>
      </c>
      <c r="I226" s="119">
        <v>7.3993000000000002</v>
      </c>
      <c r="J226" s="119">
        <v>3.4239999999999999</v>
      </c>
      <c r="K226" s="119">
        <v>66.400000000000006</v>
      </c>
      <c r="L226" s="119">
        <v>0.06</v>
      </c>
      <c r="M226" s="119">
        <v>33.389400000000002</v>
      </c>
      <c r="N226" s="119">
        <v>7.52</v>
      </c>
    </row>
    <row r="227" spans="1:28" ht="14.5">
      <c r="A227" s="119">
        <v>53</v>
      </c>
      <c r="B227" s="119" t="s">
        <v>171</v>
      </c>
      <c r="C227" s="119">
        <v>5</v>
      </c>
      <c r="D227" s="119">
        <v>5</v>
      </c>
      <c r="E227" s="119">
        <v>225</v>
      </c>
      <c r="F227" s="119">
        <v>6.09</v>
      </c>
      <c r="G227" s="119">
        <v>125.7</v>
      </c>
      <c r="H227" s="119">
        <v>124</v>
      </c>
      <c r="I227" s="119">
        <v>7.7755000000000001</v>
      </c>
      <c r="J227" s="119">
        <v>3.4357000000000002</v>
      </c>
      <c r="K227" s="119">
        <v>66.400000000000006</v>
      </c>
      <c r="L227" s="119">
        <v>0.06</v>
      </c>
      <c r="M227" s="119">
        <v>33.167000000000002</v>
      </c>
      <c r="N227" s="119">
        <v>7.57</v>
      </c>
    </row>
    <row r="228" spans="1:28" s="159" customFormat="1" ht="14.5">
      <c r="A228" s="119">
        <v>53</v>
      </c>
      <c r="B228" s="119" t="s">
        <v>171</v>
      </c>
      <c r="C228" s="119">
        <v>6</v>
      </c>
      <c r="D228" s="119">
        <v>6</v>
      </c>
      <c r="E228" s="119">
        <v>226</v>
      </c>
      <c r="F228" s="119">
        <v>6.49</v>
      </c>
      <c r="G228" s="119">
        <v>101.2</v>
      </c>
      <c r="H228" s="119">
        <v>99.8</v>
      </c>
      <c r="I228" s="119">
        <v>8.0974000000000004</v>
      </c>
      <c r="J228" s="119">
        <v>3.4178999999999999</v>
      </c>
      <c r="K228" s="119">
        <v>65.7</v>
      </c>
      <c r="L228" s="119">
        <v>0.08</v>
      </c>
      <c r="M228" s="119">
        <v>32.685400000000001</v>
      </c>
      <c r="N228" s="119">
        <v>7.62</v>
      </c>
      <c r="O228" s="165"/>
      <c r="P228" s="165"/>
      <c r="Q228" s="167"/>
      <c r="R228" s="167"/>
      <c r="S228" s="167"/>
      <c r="T228" s="167"/>
      <c r="U228" s="170"/>
      <c r="V228" s="170"/>
      <c r="W228" s="172"/>
      <c r="X228" s="168"/>
      <c r="Y228" s="167"/>
    </row>
    <row r="229" spans="1:28" s="159" customFormat="1" ht="14.5">
      <c r="A229" s="119">
        <v>53</v>
      </c>
      <c r="B229" s="119" t="s">
        <v>171</v>
      </c>
      <c r="C229" s="119">
        <v>7</v>
      </c>
      <c r="D229" s="119">
        <v>7</v>
      </c>
      <c r="E229" s="119">
        <v>227</v>
      </c>
      <c r="F229" s="119">
        <v>6.4930000000000003</v>
      </c>
      <c r="G229" s="119">
        <v>100.7</v>
      </c>
      <c r="H229" s="119">
        <v>99.2</v>
      </c>
      <c r="I229" s="119">
        <v>8.0917999999999992</v>
      </c>
      <c r="J229" s="119">
        <v>3.4167000000000001</v>
      </c>
      <c r="K229" s="119">
        <v>65.599999999999994</v>
      </c>
      <c r="L229" s="119">
        <v>0.08</v>
      </c>
      <c r="M229" s="119">
        <v>32.6785</v>
      </c>
      <c r="N229" s="119">
        <v>7.62</v>
      </c>
      <c r="O229" s="165"/>
      <c r="P229" s="165"/>
      <c r="Q229" s="167"/>
      <c r="R229" s="167"/>
      <c r="S229" s="167"/>
      <c r="T229" s="167"/>
      <c r="U229" s="170"/>
      <c r="V229" s="170"/>
      <c r="W229" s="172"/>
      <c r="X229" s="168"/>
      <c r="Y229" s="167"/>
    </row>
    <row r="230" spans="1:28" s="159" customFormat="1" ht="14.5">
      <c r="A230" s="119">
        <v>53</v>
      </c>
      <c r="B230" s="119" t="s">
        <v>171</v>
      </c>
      <c r="C230" s="119">
        <v>8</v>
      </c>
      <c r="D230" s="119">
        <v>8</v>
      </c>
      <c r="E230" s="119">
        <v>228</v>
      </c>
      <c r="F230" s="119">
        <v>6.5049999999999999</v>
      </c>
      <c r="G230" s="119">
        <v>101.4</v>
      </c>
      <c r="H230" s="119">
        <v>100</v>
      </c>
      <c r="I230" s="119">
        <v>8.0977999999999994</v>
      </c>
      <c r="J230" s="119">
        <v>3.4177</v>
      </c>
      <c r="K230" s="119">
        <v>65.7</v>
      </c>
      <c r="L230" s="119">
        <v>0.08</v>
      </c>
      <c r="M230" s="119">
        <v>32.682899999999997</v>
      </c>
      <c r="N230" s="119">
        <v>7.62</v>
      </c>
      <c r="O230" s="157"/>
      <c r="P230" s="157"/>
      <c r="Q230" s="151"/>
      <c r="R230" s="151"/>
      <c r="S230" s="151"/>
      <c r="T230" s="151"/>
      <c r="U230" s="155"/>
      <c r="V230" s="155"/>
      <c r="W230" s="158"/>
      <c r="X230" s="152"/>
      <c r="Y230" s="151"/>
    </row>
    <row r="231" spans="1:28" s="159" customFormat="1" ht="14.5">
      <c r="A231" s="119">
        <v>53</v>
      </c>
      <c r="B231" s="119" t="s">
        <v>171</v>
      </c>
      <c r="C231" s="119">
        <v>9</v>
      </c>
      <c r="D231" s="119">
        <v>9</v>
      </c>
      <c r="E231" s="119">
        <v>229</v>
      </c>
      <c r="F231" s="119">
        <v>6.5279999999999996</v>
      </c>
      <c r="G231" s="119">
        <v>76.2</v>
      </c>
      <c r="H231" s="119">
        <v>75</v>
      </c>
      <c r="I231" s="119">
        <v>8.4634</v>
      </c>
      <c r="J231" s="119">
        <v>3.4451000000000001</v>
      </c>
      <c r="K231" s="119">
        <v>65.5</v>
      </c>
      <c r="L231" s="119">
        <v>0.09</v>
      </c>
      <c r="M231" s="119">
        <v>32.644599999999997</v>
      </c>
      <c r="N231" s="119">
        <v>7.63</v>
      </c>
      <c r="O231" s="157"/>
      <c r="P231" s="151"/>
      <c r="Q231" s="151"/>
      <c r="R231" s="175"/>
      <c r="S231" s="175"/>
      <c r="T231" s="175"/>
      <c r="U231" s="173"/>
      <c r="V231" s="158"/>
      <c r="W231" s="173"/>
      <c r="X231" s="173"/>
      <c r="Y231" s="175"/>
      <c r="Z231" s="177"/>
      <c r="AA231" s="177"/>
      <c r="AB231" s="152"/>
    </row>
    <row r="232" spans="1:28" s="159" customFormat="1" ht="14.5">
      <c r="A232" s="119">
        <v>53</v>
      </c>
      <c r="B232" s="119" t="s">
        <v>171</v>
      </c>
      <c r="C232" s="119">
        <v>10</v>
      </c>
      <c r="D232" s="119">
        <v>10</v>
      </c>
      <c r="E232" s="119">
        <v>230</v>
      </c>
      <c r="F232" s="119">
        <v>6.59</v>
      </c>
      <c r="G232" s="119">
        <v>50.9</v>
      </c>
      <c r="H232" s="119">
        <v>49.9</v>
      </c>
      <c r="I232" s="119">
        <v>8.8339999999999996</v>
      </c>
      <c r="J232" s="119">
        <v>3.4758</v>
      </c>
      <c r="K232" s="119">
        <v>59.7</v>
      </c>
      <c r="L232" s="119">
        <v>0.25</v>
      </c>
      <c r="M232" s="119">
        <v>32.636000000000003</v>
      </c>
      <c r="N232" s="119">
        <v>7.65</v>
      </c>
      <c r="O232" s="248"/>
      <c r="P232" s="173"/>
      <c r="Q232" s="247"/>
      <c r="R232" s="173"/>
      <c r="S232" s="247"/>
      <c r="T232" s="175"/>
      <c r="U232" s="247"/>
      <c r="V232" s="158"/>
      <c r="W232" s="247"/>
      <c r="Y232" s="179"/>
      <c r="AA232" s="180"/>
    </row>
    <row r="233" spans="1:28" s="159" customFormat="1" ht="14.5">
      <c r="A233" s="119">
        <v>53</v>
      </c>
      <c r="B233" s="119" t="s">
        <v>171</v>
      </c>
      <c r="C233" s="119">
        <v>11</v>
      </c>
      <c r="D233" s="119">
        <v>11</v>
      </c>
      <c r="E233" s="119">
        <v>231</v>
      </c>
      <c r="F233" s="119">
        <v>6.5979999999999999</v>
      </c>
      <c r="G233" s="119">
        <v>50.8</v>
      </c>
      <c r="H233" s="119">
        <v>49.8</v>
      </c>
      <c r="I233" s="119">
        <v>8.8346999999999998</v>
      </c>
      <c r="J233" s="119">
        <v>3.4759000000000002</v>
      </c>
      <c r="K233" s="119">
        <v>59.8</v>
      </c>
      <c r="L233" s="119">
        <v>0.26</v>
      </c>
      <c r="M233" s="119">
        <v>32.635899999999999</v>
      </c>
      <c r="N233" s="119">
        <v>7.65</v>
      </c>
      <c r="O233" s="248"/>
      <c r="P233" s="173"/>
      <c r="Q233" s="247"/>
      <c r="R233" s="173"/>
      <c r="S233" s="247"/>
      <c r="T233" s="175"/>
      <c r="U233" s="247"/>
      <c r="V233" s="181"/>
      <c r="W233" s="247"/>
      <c r="X233" s="182"/>
      <c r="Y233" s="183"/>
      <c r="AA233" s="180"/>
    </row>
    <row r="234" spans="1:28" s="190" customFormat="1" ht="14.5">
      <c r="A234" s="119">
        <v>53</v>
      </c>
      <c r="B234" s="119" t="s">
        <v>171</v>
      </c>
      <c r="C234" s="119">
        <v>12</v>
      </c>
      <c r="D234" s="119">
        <v>12</v>
      </c>
      <c r="E234" s="119">
        <v>232</v>
      </c>
      <c r="F234" s="119">
        <v>6.5960000000000001</v>
      </c>
      <c r="G234" s="119">
        <v>51.5</v>
      </c>
      <c r="H234" s="119">
        <v>50.5</v>
      </c>
      <c r="I234" s="119">
        <v>8.8348999999999993</v>
      </c>
      <c r="J234" s="119">
        <v>3.4759000000000002</v>
      </c>
      <c r="K234" s="119">
        <v>59.7</v>
      </c>
      <c r="L234" s="119">
        <v>0.24</v>
      </c>
      <c r="M234" s="119">
        <v>32.636000000000003</v>
      </c>
      <c r="N234" s="119">
        <v>7.65</v>
      </c>
      <c r="O234" s="184"/>
      <c r="P234" s="185"/>
      <c r="Q234" s="185"/>
      <c r="R234" s="185"/>
      <c r="S234" s="185"/>
      <c r="T234" s="187"/>
      <c r="U234" s="187"/>
      <c r="V234" s="185"/>
      <c r="W234" s="189"/>
      <c r="Y234" s="191"/>
      <c r="AA234" s="189"/>
      <c r="AB234" s="186"/>
    </row>
    <row r="235" spans="1:28" ht="14.5">
      <c r="A235" s="119">
        <v>53</v>
      </c>
      <c r="B235" s="119" t="s">
        <v>171</v>
      </c>
      <c r="C235" s="119">
        <v>13</v>
      </c>
      <c r="D235" s="119">
        <v>13</v>
      </c>
      <c r="E235" s="119">
        <v>233</v>
      </c>
      <c r="F235" s="119">
        <v>6.6059999999999999</v>
      </c>
      <c r="G235" s="119">
        <v>24.8</v>
      </c>
      <c r="H235" s="119">
        <v>24</v>
      </c>
      <c r="I235" s="119">
        <v>8.8264999999999993</v>
      </c>
      <c r="J235" s="119">
        <v>3.4740000000000002</v>
      </c>
      <c r="K235" s="119">
        <v>59.7</v>
      </c>
      <c r="L235" s="119">
        <v>0.27</v>
      </c>
      <c r="M235" s="119">
        <v>32.636000000000003</v>
      </c>
      <c r="N235" s="119">
        <v>7.65</v>
      </c>
    </row>
    <row r="236" spans="1:28" ht="14.5">
      <c r="A236" s="119">
        <v>53</v>
      </c>
      <c r="B236" s="119" t="s">
        <v>171</v>
      </c>
      <c r="C236" s="119">
        <v>14</v>
      </c>
      <c r="D236" s="119">
        <v>14</v>
      </c>
      <c r="E236" s="119">
        <v>234</v>
      </c>
      <c r="F236" s="119">
        <v>6.5919999999999996</v>
      </c>
      <c r="G236" s="119">
        <v>24.6</v>
      </c>
      <c r="H236" s="119">
        <v>23.8</v>
      </c>
      <c r="I236" s="119">
        <v>8.8268000000000004</v>
      </c>
      <c r="J236" s="119">
        <v>3.4741</v>
      </c>
      <c r="K236" s="119">
        <v>59.8</v>
      </c>
      <c r="L236" s="119">
        <v>0.25</v>
      </c>
      <c r="M236" s="119">
        <v>32.636099999999999</v>
      </c>
      <c r="N236" s="119">
        <v>7.65</v>
      </c>
    </row>
    <row r="237" spans="1:28" ht="14.5">
      <c r="A237" s="119">
        <v>53</v>
      </c>
      <c r="B237" s="119" t="s">
        <v>171</v>
      </c>
      <c r="C237" s="119">
        <v>15</v>
      </c>
      <c r="D237" s="119">
        <v>15</v>
      </c>
      <c r="E237" s="119">
        <v>235</v>
      </c>
      <c r="F237" s="119">
        <v>6.6050000000000004</v>
      </c>
      <c r="G237" s="119">
        <v>25.1</v>
      </c>
      <c r="H237" s="119">
        <v>24.3</v>
      </c>
      <c r="I237" s="119">
        <v>8.8257999999999992</v>
      </c>
      <c r="J237" s="119">
        <v>3.4740000000000002</v>
      </c>
      <c r="K237" s="119">
        <v>59.7</v>
      </c>
      <c r="L237" s="119">
        <v>0.25</v>
      </c>
      <c r="M237" s="119">
        <v>32.636200000000002</v>
      </c>
      <c r="N237" s="119">
        <v>7.65</v>
      </c>
    </row>
    <row r="238" spans="1:28" s="159" customFormat="1" ht="14.5">
      <c r="A238" s="119">
        <v>53</v>
      </c>
      <c r="B238" s="119" t="s">
        <v>171</v>
      </c>
      <c r="C238" s="119">
        <v>16</v>
      </c>
      <c r="D238" s="119">
        <v>16</v>
      </c>
      <c r="E238" s="119">
        <v>236</v>
      </c>
      <c r="F238" s="119">
        <v>6.6029999999999998</v>
      </c>
      <c r="G238" s="119">
        <v>6</v>
      </c>
      <c r="H238" s="119">
        <v>5.4</v>
      </c>
      <c r="I238" s="119">
        <v>8.8293999999999997</v>
      </c>
      <c r="J238" s="119">
        <v>3.4735</v>
      </c>
      <c r="K238" s="119">
        <v>59.6</v>
      </c>
      <c r="L238" s="119">
        <v>0.2</v>
      </c>
      <c r="M238" s="119">
        <v>32.636000000000003</v>
      </c>
      <c r="N238" s="119">
        <v>7.65</v>
      </c>
      <c r="O238" s="165"/>
      <c r="P238" s="165"/>
      <c r="Q238" s="167"/>
      <c r="R238" s="167"/>
      <c r="S238" s="167"/>
      <c r="T238" s="167"/>
      <c r="U238" s="170"/>
      <c r="V238" s="170"/>
      <c r="W238" s="172"/>
      <c r="X238" s="168"/>
      <c r="Y238" s="167"/>
    </row>
    <row r="239" spans="1:28" s="159" customFormat="1" ht="14.5">
      <c r="A239" s="119">
        <v>53</v>
      </c>
      <c r="B239" s="119" t="s">
        <v>171</v>
      </c>
      <c r="C239" s="119">
        <v>17</v>
      </c>
      <c r="D239" s="119">
        <v>17</v>
      </c>
      <c r="E239" s="119">
        <v>237</v>
      </c>
      <c r="F239" s="119">
        <v>6.6020000000000003</v>
      </c>
      <c r="G239" s="119">
        <v>5.9</v>
      </c>
      <c r="H239" s="119">
        <v>5.3</v>
      </c>
      <c r="I239" s="119">
        <v>8.8293999999999997</v>
      </c>
      <c r="J239" s="119">
        <v>3.4735</v>
      </c>
      <c r="K239" s="119">
        <v>59.6</v>
      </c>
      <c r="L239" s="119">
        <v>0.21</v>
      </c>
      <c r="M239" s="119">
        <v>32.636099999999999</v>
      </c>
      <c r="N239" s="119">
        <v>7.65</v>
      </c>
      <c r="O239" s="165"/>
      <c r="P239" s="165"/>
      <c r="Q239" s="167"/>
      <c r="R239" s="167"/>
      <c r="S239" s="167"/>
      <c r="T239" s="167"/>
      <c r="U239" s="170"/>
      <c r="V239" s="170"/>
      <c r="W239" s="172"/>
      <c r="X239" s="168"/>
      <c r="Y239" s="167"/>
    </row>
    <row r="240" spans="1:28" s="159" customFormat="1" ht="14.5">
      <c r="A240" s="119">
        <v>53</v>
      </c>
      <c r="B240" s="119" t="s">
        <v>171</v>
      </c>
      <c r="C240" s="119">
        <v>18</v>
      </c>
      <c r="D240" s="119">
        <v>18</v>
      </c>
      <c r="E240" s="119">
        <v>238</v>
      </c>
      <c r="F240" s="119">
        <v>6.6059999999999999</v>
      </c>
      <c r="G240" s="119">
        <v>5.9</v>
      </c>
      <c r="H240" s="119">
        <v>5.3</v>
      </c>
      <c r="I240" s="119">
        <v>8.8292000000000002</v>
      </c>
      <c r="J240" s="119">
        <v>3.4735</v>
      </c>
      <c r="K240" s="119">
        <v>59.7</v>
      </c>
      <c r="L240" s="119">
        <v>0.19</v>
      </c>
      <c r="M240" s="119">
        <v>32.636099999999999</v>
      </c>
      <c r="N240" s="119">
        <v>7.65</v>
      </c>
      <c r="O240" s="157"/>
      <c r="P240" s="157"/>
      <c r="Q240" s="151"/>
      <c r="R240" s="151"/>
      <c r="S240" s="151"/>
      <c r="T240" s="151"/>
      <c r="U240" s="155"/>
      <c r="V240" s="155"/>
      <c r="W240" s="158"/>
      <c r="X240" s="152"/>
      <c r="Y240" s="151"/>
    </row>
    <row r="241" spans="1:28" s="159" customFormat="1" ht="14.5">
      <c r="A241" s="119">
        <v>53</v>
      </c>
      <c r="B241" s="119" t="s">
        <v>171</v>
      </c>
      <c r="C241" s="119">
        <v>19</v>
      </c>
      <c r="D241" s="119">
        <v>19</v>
      </c>
      <c r="E241" s="119">
        <v>239</v>
      </c>
      <c r="F241" s="119">
        <v>6.6109999999999998</v>
      </c>
      <c r="G241" s="119">
        <v>6.5</v>
      </c>
      <c r="H241" s="119">
        <v>5.8</v>
      </c>
      <c r="I241" s="119">
        <v>8.8293999999999997</v>
      </c>
      <c r="J241" s="119">
        <v>3.4735</v>
      </c>
      <c r="K241" s="119">
        <v>59.7</v>
      </c>
      <c r="L241" s="119">
        <v>0.2</v>
      </c>
      <c r="M241" s="119">
        <v>32.636099999999999</v>
      </c>
      <c r="N241" s="119">
        <v>7.65</v>
      </c>
      <c r="O241" s="157"/>
      <c r="P241" s="151"/>
      <c r="Q241" s="151"/>
      <c r="R241" s="175"/>
      <c r="S241" s="175"/>
      <c r="T241" s="175"/>
      <c r="U241" s="173"/>
      <c r="V241" s="158"/>
      <c r="W241" s="173"/>
      <c r="X241" s="173"/>
      <c r="Y241" s="175"/>
      <c r="Z241" s="177"/>
      <c r="AA241" s="177"/>
      <c r="AB241" s="152"/>
    </row>
    <row r="242" spans="1:28" s="159" customFormat="1" ht="14.5">
      <c r="A242" s="119">
        <v>53</v>
      </c>
      <c r="B242" s="119" t="s">
        <v>171</v>
      </c>
      <c r="C242" s="119">
        <v>20</v>
      </c>
      <c r="D242" s="119">
        <v>20</v>
      </c>
      <c r="E242" s="119">
        <v>240</v>
      </c>
      <c r="F242" s="119">
        <v>6.6020000000000003</v>
      </c>
      <c r="G242" s="119">
        <v>6.2</v>
      </c>
      <c r="H242" s="119">
        <v>5.6</v>
      </c>
      <c r="I242" s="119">
        <v>8.8292000000000002</v>
      </c>
      <c r="J242" s="119">
        <v>3.4735</v>
      </c>
      <c r="K242" s="119">
        <v>59.6</v>
      </c>
      <c r="L242" s="119">
        <v>0.19</v>
      </c>
      <c r="M242" s="119">
        <v>32.636099999999999</v>
      </c>
      <c r="N242" s="119">
        <v>7.65</v>
      </c>
      <c r="O242" s="248"/>
      <c r="P242" s="173"/>
      <c r="Q242" s="247"/>
      <c r="R242" s="173"/>
      <c r="S242" s="247"/>
      <c r="T242" s="175"/>
      <c r="U242" s="247"/>
      <c r="V242" s="158"/>
      <c r="W242" s="247"/>
      <c r="Y242" s="179"/>
      <c r="AA242" s="180"/>
    </row>
    <row r="243" spans="1:28" s="159" customFormat="1" ht="14.5">
      <c r="A243" s="119">
        <v>58</v>
      </c>
      <c r="B243" s="119" t="s">
        <v>172</v>
      </c>
      <c r="C243" s="119">
        <v>1</v>
      </c>
      <c r="D243" s="119">
        <v>1</v>
      </c>
      <c r="E243" s="119">
        <v>241</v>
      </c>
      <c r="F243" s="119">
        <v>1.087</v>
      </c>
      <c r="G243" s="119">
        <v>2002.6</v>
      </c>
      <c r="H243" s="119">
        <v>1976</v>
      </c>
      <c r="I243" s="119">
        <v>1.9792000000000001</v>
      </c>
      <c r="J243" s="119">
        <v>3.1284000000000001</v>
      </c>
      <c r="K243" s="119">
        <v>67</v>
      </c>
      <c r="L243" s="119">
        <v>7.0000000000000007E-2</v>
      </c>
      <c r="M243" s="119">
        <v>34.5764</v>
      </c>
      <c r="N243" s="119">
        <v>7.09</v>
      </c>
      <c r="O243" s="248"/>
      <c r="P243" s="173"/>
      <c r="Q243" s="247"/>
      <c r="R243" s="173"/>
      <c r="S243" s="247"/>
      <c r="T243" s="175"/>
      <c r="U243" s="247"/>
      <c r="V243" s="181"/>
      <c r="W243" s="247"/>
      <c r="X243" s="182"/>
      <c r="Y243" s="183"/>
      <c r="AA243" s="180"/>
    </row>
    <row r="244" spans="1:28" s="190" customFormat="1" ht="14.5">
      <c r="A244" s="119">
        <v>58</v>
      </c>
      <c r="B244" s="119" t="s">
        <v>172</v>
      </c>
      <c r="C244" s="119">
        <v>2</v>
      </c>
      <c r="D244" s="119">
        <v>2</v>
      </c>
      <c r="E244" s="119">
        <v>242</v>
      </c>
      <c r="F244" s="119">
        <v>0.33300000000000002</v>
      </c>
      <c r="G244" s="119">
        <v>1500.4</v>
      </c>
      <c r="H244" s="119">
        <v>1482</v>
      </c>
      <c r="I244" s="119">
        <v>2.4636</v>
      </c>
      <c r="J244" s="119">
        <v>3.1423000000000001</v>
      </c>
      <c r="K244" s="119">
        <v>66.900000000000006</v>
      </c>
      <c r="L244" s="119">
        <v>7.0000000000000007E-2</v>
      </c>
      <c r="M244" s="119">
        <v>34.481499999999997</v>
      </c>
      <c r="N244" s="119">
        <v>7.04</v>
      </c>
      <c r="O244" s="184"/>
      <c r="P244" s="185"/>
      <c r="Q244" s="185"/>
      <c r="R244" s="185"/>
      <c r="S244" s="185"/>
      <c r="T244" s="187"/>
      <c r="U244" s="187"/>
      <c r="V244" s="185"/>
      <c r="W244" s="189"/>
      <c r="Y244" s="191"/>
      <c r="AA244" s="189"/>
      <c r="AB244" s="186"/>
    </row>
    <row r="245" spans="1:28" ht="14.5">
      <c r="A245" s="119">
        <v>58</v>
      </c>
      <c r="B245" s="119" t="s">
        <v>172</v>
      </c>
      <c r="C245" s="119">
        <v>3</v>
      </c>
      <c r="D245" s="119">
        <v>3</v>
      </c>
      <c r="E245" s="119">
        <v>243</v>
      </c>
      <c r="F245" s="119">
        <v>0.30199999999999999</v>
      </c>
      <c r="G245" s="119">
        <v>1250.3</v>
      </c>
      <c r="H245" s="119">
        <v>1235.5999999999999</v>
      </c>
      <c r="I245" s="119">
        <v>2.7475000000000001</v>
      </c>
      <c r="J245" s="119">
        <v>3.1511</v>
      </c>
      <c r="K245" s="119">
        <v>66.900000000000006</v>
      </c>
      <c r="L245" s="119">
        <v>7.0000000000000007E-2</v>
      </c>
      <c r="M245" s="119">
        <v>34.414400000000001</v>
      </c>
      <c r="N245" s="119">
        <v>7.04</v>
      </c>
    </row>
    <row r="246" spans="1:28" ht="14.5">
      <c r="A246" s="119">
        <v>58</v>
      </c>
      <c r="B246" s="119" t="s">
        <v>172</v>
      </c>
      <c r="C246" s="119">
        <v>4</v>
      </c>
      <c r="D246" s="119">
        <v>4</v>
      </c>
      <c r="E246" s="119">
        <v>244</v>
      </c>
      <c r="F246" s="119">
        <v>0.26200000000000001</v>
      </c>
      <c r="G246" s="119">
        <v>1003.2</v>
      </c>
      <c r="H246" s="119">
        <v>991.9</v>
      </c>
      <c r="I246" s="119">
        <v>3.1400999999999999</v>
      </c>
      <c r="J246" s="119">
        <v>3.1684999999999999</v>
      </c>
      <c r="K246" s="119">
        <v>66.900000000000006</v>
      </c>
      <c r="L246" s="119">
        <v>7.0000000000000007E-2</v>
      </c>
      <c r="M246" s="119">
        <v>34.3367</v>
      </c>
      <c r="N246" s="119">
        <v>7.04</v>
      </c>
    </row>
    <row r="247" spans="1:28" ht="14.5">
      <c r="A247" s="119">
        <v>58</v>
      </c>
      <c r="B247" s="119" t="s">
        <v>172</v>
      </c>
      <c r="C247" s="119">
        <v>5</v>
      </c>
      <c r="D247" s="119">
        <v>5</v>
      </c>
      <c r="E247" s="119">
        <v>245</v>
      </c>
      <c r="F247" s="119">
        <v>0.46300000000000002</v>
      </c>
      <c r="G247" s="119">
        <v>800.8</v>
      </c>
      <c r="H247" s="119">
        <v>792.1</v>
      </c>
      <c r="I247" s="119">
        <v>3.5669</v>
      </c>
      <c r="J247" s="119">
        <v>3.1892999999999998</v>
      </c>
      <c r="K247" s="119">
        <v>66.8</v>
      </c>
      <c r="L247" s="119">
        <v>7.0000000000000007E-2</v>
      </c>
      <c r="M247" s="119">
        <v>34.243699999999997</v>
      </c>
      <c r="N247" s="119">
        <v>7.06</v>
      </c>
    </row>
    <row r="248" spans="1:28" s="159" customFormat="1" ht="14.5">
      <c r="A248" s="119">
        <v>58</v>
      </c>
      <c r="B248" s="119" t="s">
        <v>172</v>
      </c>
      <c r="C248" s="119">
        <v>6</v>
      </c>
      <c r="D248" s="119">
        <v>6</v>
      </c>
      <c r="E248" s="119">
        <v>246</v>
      </c>
      <c r="F248" s="119">
        <v>0.89200000000000002</v>
      </c>
      <c r="G248" s="119">
        <v>602.4</v>
      </c>
      <c r="H248" s="119">
        <v>596</v>
      </c>
      <c r="I248" s="119">
        <v>4.1243999999999996</v>
      </c>
      <c r="J248" s="119">
        <v>3.218</v>
      </c>
      <c r="K248" s="119">
        <v>66.900000000000006</v>
      </c>
      <c r="L248" s="119">
        <v>7.0000000000000007E-2</v>
      </c>
      <c r="M248" s="119">
        <v>34.106400000000001</v>
      </c>
      <c r="N248" s="119">
        <v>7.08</v>
      </c>
      <c r="O248" s="165"/>
      <c r="P248" s="165"/>
      <c r="Q248" s="167"/>
      <c r="R248" s="167"/>
      <c r="S248" s="167"/>
      <c r="T248" s="167"/>
      <c r="U248" s="170"/>
      <c r="V248" s="170"/>
      <c r="W248" s="172"/>
      <c r="X248" s="168"/>
      <c r="Y248" s="167"/>
    </row>
    <row r="249" spans="1:28" s="159" customFormat="1" ht="14.5">
      <c r="A249" s="119">
        <v>58</v>
      </c>
      <c r="B249" s="119" t="s">
        <v>172</v>
      </c>
      <c r="C249" s="119">
        <v>7</v>
      </c>
      <c r="D249" s="119">
        <v>7</v>
      </c>
      <c r="E249" s="119">
        <v>247</v>
      </c>
      <c r="F249" s="119">
        <v>1.9610000000000001</v>
      </c>
      <c r="G249" s="119">
        <v>401.1</v>
      </c>
      <c r="H249" s="119">
        <v>396.8</v>
      </c>
      <c r="I249" s="119">
        <v>4.7347000000000001</v>
      </c>
      <c r="J249" s="119">
        <v>3.2464</v>
      </c>
      <c r="K249" s="119">
        <v>66.7</v>
      </c>
      <c r="L249" s="119">
        <v>0.06</v>
      </c>
      <c r="M249" s="119">
        <v>33.914499999999997</v>
      </c>
      <c r="N249" s="119">
        <v>7.16</v>
      </c>
      <c r="O249" s="165"/>
      <c r="P249" s="165"/>
      <c r="Q249" s="167"/>
      <c r="R249" s="167"/>
      <c r="S249" s="167"/>
      <c r="T249" s="167"/>
      <c r="U249" s="170"/>
      <c r="V249" s="170"/>
      <c r="W249" s="172"/>
      <c r="X249" s="168"/>
      <c r="Y249" s="167"/>
    </row>
    <row r="250" spans="1:28" s="159" customFormat="1" ht="14.5">
      <c r="A250" s="119">
        <v>58</v>
      </c>
      <c r="B250" s="119" t="s">
        <v>172</v>
      </c>
      <c r="C250" s="119">
        <v>8</v>
      </c>
      <c r="D250" s="119">
        <v>8</v>
      </c>
      <c r="E250" s="119">
        <v>248</v>
      </c>
      <c r="F250" s="119">
        <v>2.8759999999999999</v>
      </c>
      <c r="G250" s="119">
        <v>300.89999999999998</v>
      </c>
      <c r="H250" s="119">
        <v>297.60000000000002</v>
      </c>
      <c r="I250" s="119">
        <v>5.5002000000000004</v>
      </c>
      <c r="J250" s="119">
        <v>3.3025000000000002</v>
      </c>
      <c r="K250" s="119">
        <v>66.400000000000006</v>
      </c>
      <c r="L250" s="119">
        <v>0.06</v>
      </c>
      <c r="M250" s="119">
        <v>33.8354</v>
      </c>
      <c r="N250" s="119">
        <v>7.25</v>
      </c>
      <c r="O250" s="157"/>
      <c r="P250" s="157"/>
      <c r="Q250" s="151"/>
      <c r="R250" s="151"/>
      <c r="S250" s="151"/>
      <c r="T250" s="151"/>
      <c r="U250" s="155"/>
      <c r="V250" s="155"/>
      <c r="W250" s="158"/>
      <c r="X250" s="152"/>
      <c r="Y250" s="151"/>
    </row>
    <row r="251" spans="1:28" s="159" customFormat="1" ht="14.5">
      <c r="A251" s="119">
        <v>58</v>
      </c>
      <c r="B251" s="119" t="s">
        <v>172</v>
      </c>
      <c r="C251" s="119">
        <v>9</v>
      </c>
      <c r="D251" s="119">
        <v>9</v>
      </c>
      <c r="E251" s="119">
        <v>249</v>
      </c>
      <c r="F251" s="119">
        <v>3.7709999999999999</v>
      </c>
      <c r="G251" s="119">
        <v>251.6</v>
      </c>
      <c r="H251" s="119">
        <v>248.8</v>
      </c>
      <c r="I251" s="119">
        <v>6.2138999999999998</v>
      </c>
      <c r="J251" s="119">
        <v>3.3612000000000002</v>
      </c>
      <c r="K251" s="119">
        <v>66.400000000000006</v>
      </c>
      <c r="L251" s="119">
        <v>7.0000000000000007E-2</v>
      </c>
      <c r="M251" s="119">
        <v>33.808</v>
      </c>
      <c r="N251" s="119">
        <v>7.35</v>
      </c>
      <c r="O251" s="157"/>
      <c r="P251" s="151"/>
      <c r="Q251" s="151"/>
      <c r="R251" s="175"/>
      <c r="S251" s="175"/>
      <c r="T251" s="175"/>
      <c r="U251" s="173"/>
      <c r="V251" s="158"/>
      <c r="W251" s="173"/>
      <c r="X251" s="173"/>
      <c r="Y251" s="175"/>
      <c r="Z251" s="177"/>
      <c r="AA251" s="177"/>
      <c r="AB251" s="152"/>
    </row>
    <row r="252" spans="1:28" s="159" customFormat="1" ht="14.5">
      <c r="A252" s="119">
        <v>58</v>
      </c>
      <c r="B252" s="119" t="s">
        <v>172</v>
      </c>
      <c r="C252" s="119">
        <v>10</v>
      </c>
      <c r="D252" s="119">
        <v>10</v>
      </c>
      <c r="E252" s="119">
        <v>250</v>
      </c>
      <c r="F252" s="119">
        <v>4.4260000000000002</v>
      </c>
      <c r="G252" s="119">
        <v>201.5</v>
      </c>
      <c r="H252" s="119">
        <v>199.1</v>
      </c>
      <c r="I252" s="119">
        <v>7.1167999999999996</v>
      </c>
      <c r="J252" s="119">
        <v>3.4403999999999999</v>
      </c>
      <c r="K252" s="119">
        <v>66.5</v>
      </c>
      <c r="L252" s="119">
        <v>7.0000000000000007E-2</v>
      </c>
      <c r="M252" s="119">
        <v>33.817100000000003</v>
      </c>
      <c r="N252" s="119">
        <v>7.43</v>
      </c>
      <c r="O252" s="248"/>
      <c r="P252" s="173"/>
      <c r="Q252" s="247"/>
      <c r="R252" s="173"/>
      <c r="S252" s="247"/>
      <c r="T252" s="175"/>
      <c r="U252" s="247"/>
      <c r="V252" s="158"/>
      <c r="W252" s="247"/>
      <c r="Y252" s="179"/>
      <c r="AA252" s="180"/>
    </row>
    <row r="253" spans="1:28" s="159" customFormat="1" ht="14.5">
      <c r="A253" s="119">
        <v>58</v>
      </c>
      <c r="B253" s="119" t="s">
        <v>172</v>
      </c>
      <c r="C253" s="119">
        <v>11</v>
      </c>
      <c r="D253" s="119">
        <v>11</v>
      </c>
      <c r="E253" s="119">
        <v>251</v>
      </c>
      <c r="F253" s="119">
        <v>4.8899999999999997</v>
      </c>
      <c r="G253" s="119">
        <v>176</v>
      </c>
      <c r="H253" s="119">
        <v>173.8</v>
      </c>
      <c r="I253" s="119">
        <v>7.3377999999999997</v>
      </c>
      <c r="J253" s="119">
        <v>3.4533</v>
      </c>
      <c r="K253" s="119">
        <v>66.5</v>
      </c>
      <c r="L253" s="119">
        <v>7.0000000000000007E-2</v>
      </c>
      <c r="M253" s="119">
        <v>33.7547</v>
      </c>
      <c r="N253" s="119">
        <v>7.47</v>
      </c>
      <c r="O253" s="248"/>
      <c r="P253" s="173"/>
      <c r="Q253" s="247"/>
      <c r="R253" s="173"/>
      <c r="S253" s="247"/>
      <c r="T253" s="175"/>
      <c r="U253" s="247"/>
      <c r="V253" s="181"/>
      <c r="W253" s="247"/>
      <c r="X253" s="182"/>
      <c r="Y253" s="183"/>
      <c r="AA253" s="180"/>
    </row>
    <row r="254" spans="1:28" s="190" customFormat="1" ht="14.5">
      <c r="A254" s="119">
        <v>58</v>
      </c>
      <c r="B254" s="119" t="s">
        <v>172</v>
      </c>
      <c r="C254" s="119">
        <v>12</v>
      </c>
      <c r="D254" s="119">
        <v>12</v>
      </c>
      <c r="E254" s="119">
        <v>252</v>
      </c>
      <c r="F254" s="119">
        <v>5.4870000000000001</v>
      </c>
      <c r="G254" s="119">
        <v>150.9</v>
      </c>
      <c r="H254" s="119">
        <v>149</v>
      </c>
      <c r="I254" s="119">
        <v>7.1776</v>
      </c>
      <c r="J254" s="119">
        <v>3.4125999999999999</v>
      </c>
      <c r="K254" s="119">
        <v>66.400000000000006</v>
      </c>
      <c r="L254" s="119">
        <v>0.08</v>
      </c>
      <c r="M254" s="119">
        <v>33.479100000000003</v>
      </c>
      <c r="N254" s="119">
        <v>7.51</v>
      </c>
      <c r="O254" s="184"/>
      <c r="P254" s="185"/>
      <c r="Q254" s="185"/>
      <c r="R254" s="185"/>
      <c r="S254" s="185"/>
      <c r="T254" s="187"/>
      <c r="U254" s="187"/>
      <c r="V254" s="185"/>
      <c r="W254" s="189"/>
      <c r="Y254" s="191"/>
      <c r="AA254" s="189"/>
      <c r="AB254" s="186"/>
    </row>
    <row r="255" spans="1:28" ht="14.5">
      <c r="A255" s="119">
        <v>58</v>
      </c>
      <c r="B255" s="119" t="s">
        <v>172</v>
      </c>
      <c r="C255" s="119">
        <v>13</v>
      </c>
      <c r="D255" s="119">
        <v>13</v>
      </c>
      <c r="E255" s="119">
        <v>253</v>
      </c>
      <c r="F255" s="119">
        <v>6.0129999999999999</v>
      </c>
      <c r="G255" s="119">
        <v>124.9</v>
      </c>
      <c r="H255" s="119">
        <v>123.2</v>
      </c>
      <c r="I255" s="119">
        <v>7.5011000000000001</v>
      </c>
      <c r="J255" s="119">
        <v>3.4155000000000002</v>
      </c>
      <c r="K255" s="119">
        <v>66.400000000000006</v>
      </c>
      <c r="L255" s="119">
        <v>0.08</v>
      </c>
      <c r="M255" s="119">
        <v>33.211599999999997</v>
      </c>
      <c r="N255" s="119">
        <v>7.56</v>
      </c>
    </row>
    <row r="256" spans="1:28" ht="14.5">
      <c r="A256" s="119">
        <v>58</v>
      </c>
      <c r="B256" s="119" t="s">
        <v>172</v>
      </c>
      <c r="C256" s="119">
        <v>14</v>
      </c>
      <c r="D256" s="119">
        <v>14</v>
      </c>
      <c r="E256" s="119">
        <v>254</v>
      </c>
      <c r="F256" s="119">
        <v>6.4290000000000003</v>
      </c>
      <c r="G256" s="119">
        <v>101.5</v>
      </c>
      <c r="H256" s="119">
        <v>100.1</v>
      </c>
      <c r="I256" s="119">
        <v>7.8255999999999997</v>
      </c>
      <c r="J256" s="119">
        <v>3.4005999999999998</v>
      </c>
      <c r="K256" s="119">
        <v>65.599999999999994</v>
      </c>
      <c r="L256" s="119">
        <v>0.09</v>
      </c>
      <c r="M256" s="119">
        <v>32.755200000000002</v>
      </c>
      <c r="N256" s="119">
        <v>7.61</v>
      </c>
    </row>
    <row r="257" spans="1:28" ht="14.5">
      <c r="A257" s="119">
        <v>58</v>
      </c>
      <c r="B257" s="119" t="s">
        <v>172</v>
      </c>
      <c r="C257" s="119">
        <v>15</v>
      </c>
      <c r="D257" s="119">
        <v>15</v>
      </c>
      <c r="E257" s="119">
        <v>255</v>
      </c>
      <c r="F257" s="119">
        <v>6.5970000000000004</v>
      </c>
      <c r="G257" s="119">
        <v>75.8</v>
      </c>
      <c r="H257" s="119">
        <v>74.5</v>
      </c>
      <c r="I257" s="119">
        <v>8.0685000000000002</v>
      </c>
      <c r="J257" s="119">
        <v>3.4074</v>
      </c>
      <c r="K257" s="119">
        <v>64.7</v>
      </c>
      <c r="L257" s="119">
        <v>0.1</v>
      </c>
      <c r="M257" s="119">
        <v>32.612299999999998</v>
      </c>
      <c r="N257" s="119">
        <v>7.63</v>
      </c>
    </row>
    <row r="258" spans="1:28" s="159" customFormat="1" ht="14.5">
      <c r="A258" s="119">
        <v>58</v>
      </c>
      <c r="B258" s="119" t="s">
        <v>172</v>
      </c>
      <c r="C258" s="119">
        <v>16</v>
      </c>
      <c r="D258" s="119">
        <v>16</v>
      </c>
      <c r="E258" s="119">
        <v>256</v>
      </c>
      <c r="F258" s="119">
        <v>6.6840000000000002</v>
      </c>
      <c r="G258" s="119">
        <v>59.7</v>
      </c>
      <c r="H258" s="119">
        <v>58.6</v>
      </c>
      <c r="I258" s="119">
        <v>8.1472999999999995</v>
      </c>
      <c r="J258" s="119">
        <v>3.4112</v>
      </c>
      <c r="K258" s="119">
        <v>60</v>
      </c>
      <c r="L258" s="119">
        <v>0.23</v>
      </c>
      <c r="M258" s="119">
        <v>32.5869</v>
      </c>
      <c r="N258" s="119">
        <v>7.64</v>
      </c>
      <c r="O258" s="165"/>
      <c r="P258" s="165"/>
      <c r="Q258" s="167"/>
      <c r="R258" s="167"/>
      <c r="S258" s="167"/>
      <c r="T258" s="167"/>
      <c r="U258" s="170"/>
      <c r="V258" s="170"/>
      <c r="W258" s="172"/>
      <c r="X258" s="168"/>
      <c r="Y258" s="167"/>
    </row>
    <row r="259" spans="1:28" s="159" customFormat="1" ht="14.5">
      <c r="A259" s="119">
        <v>58</v>
      </c>
      <c r="B259" s="119" t="s">
        <v>172</v>
      </c>
      <c r="C259" s="119">
        <v>17</v>
      </c>
      <c r="D259" s="119">
        <v>17</v>
      </c>
      <c r="E259" s="119">
        <v>257</v>
      </c>
      <c r="F259" s="119">
        <v>6.69</v>
      </c>
      <c r="G259" s="119">
        <v>50.9</v>
      </c>
      <c r="H259" s="119">
        <v>49.9</v>
      </c>
      <c r="I259" s="119">
        <v>8.1494999999999997</v>
      </c>
      <c r="J259" s="119">
        <v>3.411</v>
      </c>
      <c r="K259" s="119">
        <v>59.8</v>
      </c>
      <c r="L259" s="119">
        <v>0.23</v>
      </c>
      <c r="M259" s="119">
        <v>32.586599999999997</v>
      </c>
      <c r="N259" s="119">
        <v>7.64</v>
      </c>
      <c r="O259" s="165"/>
      <c r="P259" s="165"/>
      <c r="Q259" s="167"/>
      <c r="R259" s="167"/>
      <c r="S259" s="167"/>
      <c r="T259" s="167"/>
      <c r="U259" s="170"/>
      <c r="V259" s="170"/>
      <c r="W259" s="172"/>
      <c r="X259" s="168"/>
      <c r="Y259" s="167"/>
    </row>
    <row r="260" spans="1:28" s="159" customFormat="1" ht="14.5">
      <c r="A260" s="119">
        <v>58</v>
      </c>
      <c r="B260" s="119" t="s">
        <v>172</v>
      </c>
      <c r="C260" s="119">
        <v>18</v>
      </c>
      <c r="D260" s="119">
        <v>18</v>
      </c>
      <c r="E260" s="119">
        <v>258</v>
      </c>
      <c r="F260" s="119">
        <v>6.7140000000000004</v>
      </c>
      <c r="G260" s="119">
        <v>24.5</v>
      </c>
      <c r="H260" s="119">
        <v>23.7</v>
      </c>
      <c r="I260" s="119">
        <v>8.1696000000000009</v>
      </c>
      <c r="J260" s="119">
        <v>3.4116</v>
      </c>
      <c r="K260" s="119">
        <v>59.2</v>
      </c>
      <c r="L260" s="119">
        <v>0.25</v>
      </c>
      <c r="M260" s="119">
        <v>32.587400000000002</v>
      </c>
      <c r="N260" s="119">
        <v>7.65</v>
      </c>
      <c r="O260" s="165"/>
      <c r="P260" s="165"/>
      <c r="Q260" s="167"/>
      <c r="R260" s="167"/>
      <c r="S260" s="167"/>
      <c r="T260" s="167"/>
      <c r="U260" s="170"/>
      <c r="V260" s="170"/>
      <c r="W260" s="172"/>
      <c r="X260" s="168"/>
      <c r="Y260" s="167"/>
    </row>
    <row r="261" spans="1:28" s="159" customFormat="1" ht="14.5">
      <c r="A261" s="119">
        <v>58</v>
      </c>
      <c r="B261" s="119" t="s">
        <v>172</v>
      </c>
      <c r="C261" s="119">
        <v>19</v>
      </c>
      <c r="D261" s="119">
        <v>19</v>
      </c>
      <c r="E261" s="119">
        <v>259</v>
      </c>
      <c r="F261" s="119">
        <v>6.7089999999999996</v>
      </c>
      <c r="G261" s="119">
        <v>10</v>
      </c>
      <c r="H261" s="119">
        <v>9.3000000000000007</v>
      </c>
      <c r="I261" s="119">
        <v>8.1674000000000007</v>
      </c>
      <c r="J261" s="119">
        <v>3.4108999999999998</v>
      </c>
      <c r="K261" s="119">
        <v>59.1</v>
      </c>
      <c r="L261" s="119">
        <v>0.26</v>
      </c>
      <c r="M261" s="119">
        <v>32.587699999999998</v>
      </c>
      <c r="N261" s="119">
        <v>7.65</v>
      </c>
      <c r="O261" s="157"/>
      <c r="P261" s="157"/>
      <c r="Q261" s="151"/>
      <c r="R261" s="151"/>
      <c r="S261" s="151"/>
      <c r="T261" s="151"/>
      <c r="U261" s="155"/>
      <c r="V261" s="155"/>
      <c r="W261" s="158"/>
      <c r="X261" s="152"/>
      <c r="Y261" s="151"/>
    </row>
    <row r="262" spans="1:28" s="159" customFormat="1" ht="14.5">
      <c r="A262" s="119">
        <v>58</v>
      </c>
      <c r="B262" s="119" t="s">
        <v>172</v>
      </c>
      <c r="C262" s="119">
        <v>20</v>
      </c>
      <c r="D262" s="119">
        <v>20</v>
      </c>
      <c r="E262" s="119">
        <v>260</v>
      </c>
      <c r="F262" s="119">
        <v>6.7060000000000004</v>
      </c>
      <c r="G262" s="119">
        <v>5.2</v>
      </c>
      <c r="H262" s="119">
        <v>4.5999999999999996</v>
      </c>
      <c r="I262" s="119">
        <v>8.1653000000000002</v>
      </c>
      <c r="J262" s="119">
        <v>3.4104999999999999</v>
      </c>
      <c r="K262" s="119">
        <v>59.1</v>
      </c>
      <c r="L262" s="119">
        <v>0.26</v>
      </c>
      <c r="M262" s="119">
        <v>32.587699999999998</v>
      </c>
      <c r="N262" s="119">
        <v>7.65</v>
      </c>
      <c r="O262" s="157"/>
      <c r="P262" s="151"/>
      <c r="Q262" s="151"/>
      <c r="R262" s="175"/>
      <c r="S262" s="175"/>
      <c r="T262" s="175"/>
      <c r="U262" s="173"/>
      <c r="V262" s="158"/>
      <c r="W262" s="173"/>
      <c r="X262" s="173"/>
      <c r="Y262" s="175"/>
      <c r="Z262" s="177"/>
      <c r="AA262" s="177"/>
      <c r="AB262" s="152"/>
    </row>
    <row r="263" spans="1:28" s="159" customFormat="1" ht="14.5">
      <c r="A263" s="119">
        <v>58</v>
      </c>
      <c r="B263" s="119" t="s">
        <v>172</v>
      </c>
      <c r="C263" s="119">
        <v>21</v>
      </c>
      <c r="D263" s="119">
        <v>21</v>
      </c>
      <c r="E263" s="119">
        <v>261</v>
      </c>
      <c r="F263" s="119">
        <v>6.7220000000000004</v>
      </c>
      <c r="G263" s="119">
        <v>5.7</v>
      </c>
      <c r="H263" s="119">
        <v>5.0999999999999996</v>
      </c>
      <c r="I263" s="119">
        <v>8.1653000000000002</v>
      </c>
      <c r="J263" s="119">
        <v>3.4104999999999999</v>
      </c>
      <c r="K263" s="119">
        <v>59.2</v>
      </c>
      <c r="L263" s="119">
        <v>0.27</v>
      </c>
      <c r="M263" s="119">
        <v>32.587800000000001</v>
      </c>
      <c r="N263" s="119">
        <v>7.65</v>
      </c>
      <c r="O263" s="248"/>
      <c r="P263" s="173"/>
      <c r="Q263" s="247"/>
      <c r="R263" s="173"/>
      <c r="S263" s="247"/>
      <c r="T263" s="175"/>
      <c r="U263" s="247"/>
      <c r="V263" s="158"/>
      <c r="W263" s="247"/>
      <c r="Y263" s="179"/>
      <c r="AA263" s="180"/>
    </row>
    <row r="264" spans="1:28" s="159" customFormat="1" ht="14.5">
      <c r="A264" s="119">
        <v>58</v>
      </c>
      <c r="B264" s="119" t="s">
        <v>172</v>
      </c>
      <c r="C264" s="119">
        <v>22</v>
      </c>
      <c r="D264" s="119">
        <v>22</v>
      </c>
      <c r="E264" s="119">
        <v>262</v>
      </c>
      <c r="F264" s="119">
        <v>6.73</v>
      </c>
      <c r="G264" s="119">
        <v>6.7</v>
      </c>
      <c r="H264" s="119">
        <v>6.1</v>
      </c>
      <c r="I264" s="119">
        <v>8.1648999999999994</v>
      </c>
      <c r="J264" s="119">
        <v>3.4104999999999999</v>
      </c>
      <c r="K264" s="119">
        <v>59.2</v>
      </c>
      <c r="L264" s="119">
        <v>0.26</v>
      </c>
      <c r="M264" s="119">
        <v>32.587699999999998</v>
      </c>
      <c r="N264" s="119">
        <v>7.65</v>
      </c>
      <c r="O264" s="248"/>
      <c r="P264" s="173"/>
      <c r="Q264" s="247"/>
      <c r="R264" s="173"/>
      <c r="S264" s="247"/>
      <c r="T264" s="175"/>
      <c r="U264" s="247"/>
      <c r="V264" s="181"/>
      <c r="W264" s="247"/>
      <c r="X264" s="182"/>
      <c r="Y264" s="183"/>
      <c r="AA264" s="180"/>
    </row>
    <row r="265" spans="1:28" s="190" customFormat="1" ht="14.5">
      <c r="A265" s="119">
        <v>58</v>
      </c>
      <c r="B265" s="119" t="s">
        <v>172</v>
      </c>
      <c r="C265" s="119">
        <v>23</v>
      </c>
      <c r="D265" s="119">
        <v>23</v>
      </c>
      <c r="E265" s="119">
        <v>263</v>
      </c>
      <c r="F265" s="119">
        <v>6.7149999999999999</v>
      </c>
      <c r="G265" s="119">
        <v>6.1</v>
      </c>
      <c r="H265" s="119">
        <v>5.5</v>
      </c>
      <c r="I265" s="119">
        <v>8.1656999999999993</v>
      </c>
      <c r="J265" s="119">
        <v>3.4104999999999999</v>
      </c>
      <c r="K265" s="119">
        <v>59.2</v>
      </c>
      <c r="L265" s="119">
        <v>0.26</v>
      </c>
      <c r="M265" s="119">
        <v>32.587600000000002</v>
      </c>
      <c r="N265" s="119">
        <v>7.65</v>
      </c>
      <c r="O265" s="184"/>
      <c r="P265" s="185"/>
      <c r="Q265" s="185"/>
      <c r="R265" s="185"/>
      <c r="S265" s="185"/>
      <c r="T265" s="187"/>
      <c r="U265" s="187"/>
      <c r="V265" s="185"/>
      <c r="W265" s="189"/>
      <c r="Y265" s="191"/>
      <c r="AA265" s="189"/>
      <c r="AB265" s="186"/>
    </row>
    <row r="266" spans="1:28" ht="14.5">
      <c r="A266" s="119">
        <v>58</v>
      </c>
      <c r="B266" s="119" t="s">
        <v>172</v>
      </c>
      <c r="C266" s="119">
        <v>24</v>
      </c>
      <c r="D266" s="119">
        <v>24</v>
      </c>
      <c r="E266" s="119">
        <v>264</v>
      </c>
      <c r="F266" s="119">
        <v>6.7119999999999997</v>
      </c>
      <c r="G266" s="119">
        <v>3.4</v>
      </c>
      <c r="H266" s="119">
        <v>2.8</v>
      </c>
      <c r="I266" s="119">
        <v>8.1621000000000006</v>
      </c>
      <c r="J266" s="119">
        <v>3.4100999999999999</v>
      </c>
      <c r="K266" s="119">
        <v>59</v>
      </c>
      <c r="L266" s="119">
        <v>0.26</v>
      </c>
      <c r="M266" s="119">
        <v>32.587899999999998</v>
      </c>
      <c r="N266" s="119">
        <v>7.65</v>
      </c>
    </row>
    <row r="267" spans="1:28" ht="14.5">
      <c r="A267" s="119">
        <v>62</v>
      </c>
      <c r="B267" s="119" t="s">
        <v>173</v>
      </c>
      <c r="C267" s="119">
        <v>1</v>
      </c>
      <c r="D267" s="119">
        <v>1</v>
      </c>
      <c r="E267" s="119">
        <v>265</v>
      </c>
      <c r="F267" s="119">
        <v>2.1579999999999999</v>
      </c>
      <c r="G267" s="119">
        <v>300.5</v>
      </c>
      <c r="H267" s="119">
        <v>297.2</v>
      </c>
      <c r="I267" s="119">
        <v>4.4938000000000002</v>
      </c>
      <c r="J267" s="119">
        <v>3.2113999999999998</v>
      </c>
      <c r="K267" s="119">
        <v>66.3</v>
      </c>
      <c r="L267" s="119">
        <v>7.0000000000000007E-2</v>
      </c>
      <c r="M267" s="119">
        <v>33.805599999999998</v>
      </c>
      <c r="N267" s="119">
        <v>7.16</v>
      </c>
    </row>
    <row r="268" spans="1:28" ht="14.5">
      <c r="A268" s="119">
        <v>62</v>
      </c>
      <c r="B268" s="119" t="s">
        <v>173</v>
      </c>
      <c r="C268" s="119">
        <v>2</v>
      </c>
      <c r="D268" s="119">
        <v>2</v>
      </c>
      <c r="E268" s="119">
        <v>266</v>
      </c>
      <c r="F268" s="119">
        <v>3.601</v>
      </c>
      <c r="G268" s="119">
        <v>200.7</v>
      </c>
      <c r="H268" s="119">
        <v>198.3</v>
      </c>
      <c r="I268" s="119">
        <v>5.2230999999999996</v>
      </c>
      <c r="J268" s="119">
        <v>3.2616999999999998</v>
      </c>
      <c r="K268" s="119">
        <v>66</v>
      </c>
      <c r="L268" s="119">
        <v>0.06</v>
      </c>
      <c r="M268" s="119">
        <v>33.698599999999999</v>
      </c>
      <c r="N268" s="119">
        <v>7.3</v>
      </c>
    </row>
    <row r="269" spans="1:28" ht="14.5">
      <c r="A269" s="119">
        <v>62</v>
      </c>
      <c r="B269" s="119" t="s">
        <v>173</v>
      </c>
      <c r="C269" s="119">
        <v>3</v>
      </c>
      <c r="D269" s="119">
        <v>3</v>
      </c>
      <c r="E269" s="119">
        <v>267</v>
      </c>
      <c r="F269" s="119">
        <v>4.931</v>
      </c>
      <c r="G269" s="119">
        <v>151.69999999999999</v>
      </c>
      <c r="H269" s="119">
        <v>149.80000000000001</v>
      </c>
      <c r="I269" s="119">
        <v>5.7789999999999999</v>
      </c>
      <c r="J269" s="119">
        <v>3.2951000000000001</v>
      </c>
      <c r="K269" s="119">
        <v>66.099999999999994</v>
      </c>
      <c r="L269" s="119">
        <v>0.06</v>
      </c>
      <c r="M269" s="119">
        <v>33.547600000000003</v>
      </c>
      <c r="N269" s="119">
        <v>7.42</v>
      </c>
    </row>
    <row r="270" spans="1:28" ht="14.5">
      <c r="A270" s="119">
        <v>62</v>
      </c>
      <c r="B270" s="119" t="s">
        <v>173</v>
      </c>
      <c r="C270" s="119">
        <v>4</v>
      </c>
      <c r="D270" s="119">
        <v>4</v>
      </c>
      <c r="E270" s="119">
        <v>268</v>
      </c>
      <c r="F270" s="119">
        <v>4.931</v>
      </c>
      <c r="G270" s="119">
        <v>150.80000000000001</v>
      </c>
      <c r="H270" s="119">
        <v>148.80000000000001</v>
      </c>
      <c r="I270" s="119">
        <v>5.7823000000000002</v>
      </c>
      <c r="J270" s="119">
        <v>3.2949000000000002</v>
      </c>
      <c r="K270" s="119">
        <v>66</v>
      </c>
      <c r="L270" s="119">
        <v>0.06</v>
      </c>
      <c r="M270" s="119">
        <v>33.542700000000004</v>
      </c>
      <c r="N270" s="119">
        <v>7.42</v>
      </c>
    </row>
    <row r="271" spans="1:28" s="199" customFormat="1" ht="14.5">
      <c r="A271" s="119">
        <v>62</v>
      </c>
      <c r="B271" s="119" t="s">
        <v>173</v>
      </c>
      <c r="C271" s="119">
        <v>5</v>
      </c>
      <c r="D271" s="119">
        <v>5</v>
      </c>
      <c r="E271" s="119">
        <v>269</v>
      </c>
      <c r="F271" s="119">
        <v>5.5179999999999998</v>
      </c>
      <c r="G271" s="119">
        <v>126.3</v>
      </c>
      <c r="H271" s="119">
        <v>124.6</v>
      </c>
      <c r="I271" s="119">
        <v>5.9339000000000004</v>
      </c>
      <c r="J271" s="119">
        <v>3.2704</v>
      </c>
      <c r="K271" s="119">
        <v>66.2</v>
      </c>
      <c r="L271" s="119">
        <v>0.06</v>
      </c>
      <c r="M271" s="119">
        <v>33.129600000000003</v>
      </c>
      <c r="N271" s="119">
        <v>7.47</v>
      </c>
      <c r="W271" s="200"/>
    </row>
    <row r="272" spans="1:28" ht="14.5">
      <c r="A272" s="119">
        <v>62</v>
      </c>
      <c r="B272" s="119" t="s">
        <v>173</v>
      </c>
      <c r="C272" s="119">
        <v>6</v>
      </c>
      <c r="D272" s="119">
        <v>6</v>
      </c>
      <c r="E272" s="119">
        <v>270</v>
      </c>
      <c r="F272" s="119">
        <v>6.6020000000000003</v>
      </c>
      <c r="G272" s="119">
        <v>102.1</v>
      </c>
      <c r="H272" s="119">
        <v>100.6</v>
      </c>
      <c r="I272" s="119">
        <v>6.4717000000000002</v>
      </c>
      <c r="J272" s="119">
        <v>3.2686000000000002</v>
      </c>
      <c r="K272" s="119">
        <v>65.8</v>
      </c>
      <c r="L272" s="119">
        <v>7.0000000000000007E-2</v>
      </c>
      <c r="M272" s="119">
        <v>32.600700000000003</v>
      </c>
      <c r="N272" s="119">
        <v>7.58</v>
      </c>
    </row>
    <row r="273" spans="1:28" ht="14.5">
      <c r="A273" s="119">
        <v>62</v>
      </c>
      <c r="B273" s="119" t="s">
        <v>173</v>
      </c>
      <c r="C273" s="119">
        <v>7</v>
      </c>
      <c r="D273" s="119">
        <v>7</v>
      </c>
      <c r="E273" s="119">
        <v>271</v>
      </c>
      <c r="F273" s="119">
        <v>6.6050000000000004</v>
      </c>
      <c r="G273" s="119">
        <v>101.5</v>
      </c>
      <c r="H273" s="119">
        <v>100.1</v>
      </c>
      <c r="I273" s="119">
        <v>6.4710999999999999</v>
      </c>
      <c r="J273" s="119">
        <v>3.2684000000000002</v>
      </c>
      <c r="K273" s="119">
        <v>65.8</v>
      </c>
      <c r="L273" s="119">
        <v>7.0000000000000007E-2</v>
      </c>
      <c r="M273" s="119">
        <v>32.599800000000002</v>
      </c>
      <c r="N273" s="119">
        <v>7.58</v>
      </c>
    </row>
    <row r="274" spans="1:28" ht="14.5">
      <c r="A274" s="119">
        <v>62</v>
      </c>
      <c r="B274" s="119" t="s">
        <v>173</v>
      </c>
      <c r="C274" s="119">
        <v>8</v>
      </c>
      <c r="D274" s="119">
        <v>8</v>
      </c>
      <c r="E274" s="119">
        <v>272</v>
      </c>
      <c r="F274" s="119">
        <v>6.609</v>
      </c>
      <c r="G274" s="119">
        <v>101.4</v>
      </c>
      <c r="H274" s="119">
        <v>99.9</v>
      </c>
      <c r="I274" s="119">
        <v>6.4802</v>
      </c>
      <c r="J274" s="119">
        <v>3.2686999999999999</v>
      </c>
      <c r="K274" s="119">
        <v>65.8</v>
      </c>
      <c r="L274" s="119">
        <v>7.0000000000000007E-2</v>
      </c>
      <c r="M274" s="119">
        <v>32.594499999999996</v>
      </c>
      <c r="N274" s="119">
        <v>7.58</v>
      </c>
    </row>
    <row r="275" spans="1:28" ht="14.5">
      <c r="A275" s="119">
        <v>62</v>
      </c>
      <c r="B275" s="119" t="s">
        <v>173</v>
      </c>
      <c r="C275" s="119">
        <v>9</v>
      </c>
      <c r="D275" s="119">
        <v>9</v>
      </c>
      <c r="E275" s="119">
        <v>273</v>
      </c>
      <c r="F275" s="119">
        <v>6.8789999999999996</v>
      </c>
      <c r="G275" s="119">
        <v>74.900000000000006</v>
      </c>
      <c r="H275" s="119">
        <v>73.7</v>
      </c>
      <c r="I275" s="119">
        <v>7.0019</v>
      </c>
      <c r="J275" s="119">
        <v>3.3008999999999999</v>
      </c>
      <c r="K275" s="119">
        <v>60.3</v>
      </c>
      <c r="L275" s="119">
        <v>0.2</v>
      </c>
      <c r="M275" s="119">
        <v>32.465499999999999</v>
      </c>
      <c r="N275" s="119">
        <v>7.62</v>
      </c>
    </row>
    <row r="276" spans="1:28" ht="14.5">
      <c r="A276" s="119">
        <v>62</v>
      </c>
      <c r="B276" s="119" t="s">
        <v>173</v>
      </c>
      <c r="C276" s="119">
        <v>10</v>
      </c>
      <c r="D276" s="119">
        <v>10</v>
      </c>
      <c r="E276" s="119">
        <v>274</v>
      </c>
      <c r="F276" s="119">
        <v>6.8819999999999997</v>
      </c>
      <c r="G276" s="119">
        <v>50.8</v>
      </c>
      <c r="H276" s="119">
        <v>49.7</v>
      </c>
      <c r="I276" s="119">
        <v>7.0030999999999999</v>
      </c>
      <c r="J276" s="119">
        <v>3.2999000000000001</v>
      </c>
      <c r="K276" s="119">
        <v>60.4</v>
      </c>
      <c r="L276" s="119">
        <v>0.2</v>
      </c>
      <c r="M276" s="119">
        <v>32.465600000000002</v>
      </c>
      <c r="N276" s="119">
        <v>7.62</v>
      </c>
    </row>
    <row r="277" spans="1:28" ht="14.5">
      <c r="A277" s="119">
        <v>62</v>
      </c>
      <c r="B277" s="119" t="s">
        <v>173</v>
      </c>
      <c r="C277" s="119">
        <v>11</v>
      </c>
      <c r="D277" s="119">
        <v>11</v>
      </c>
      <c r="E277" s="119">
        <v>275</v>
      </c>
      <c r="F277" s="119">
        <v>6.8810000000000002</v>
      </c>
      <c r="G277" s="119">
        <v>50.6</v>
      </c>
      <c r="H277" s="119">
        <v>49.6</v>
      </c>
      <c r="I277" s="119">
        <v>7.0030999999999999</v>
      </c>
      <c r="J277" s="119">
        <v>3.2999000000000001</v>
      </c>
      <c r="K277" s="119">
        <v>60.3</v>
      </c>
      <c r="L277" s="119">
        <v>0.2</v>
      </c>
      <c r="M277" s="119">
        <v>32.465499999999999</v>
      </c>
      <c r="N277" s="119">
        <v>7.62</v>
      </c>
    </row>
    <row r="278" spans="1:28" ht="14.5">
      <c r="A278" s="119">
        <v>62</v>
      </c>
      <c r="B278" s="119" t="s">
        <v>173</v>
      </c>
      <c r="C278" s="119">
        <v>12</v>
      </c>
      <c r="D278" s="119">
        <v>12</v>
      </c>
      <c r="E278" s="119">
        <v>276</v>
      </c>
      <c r="F278" s="119">
        <v>6.8719999999999999</v>
      </c>
      <c r="G278" s="119">
        <v>50.8</v>
      </c>
      <c r="H278" s="119">
        <v>49.8</v>
      </c>
      <c r="I278" s="119">
        <v>7.0030999999999999</v>
      </c>
      <c r="J278" s="119">
        <v>3.2999000000000001</v>
      </c>
      <c r="K278" s="119">
        <v>60.3</v>
      </c>
      <c r="L278" s="119">
        <v>0.2</v>
      </c>
      <c r="M278" s="119">
        <v>32.465499999999999</v>
      </c>
      <c r="N278" s="119">
        <v>7.62</v>
      </c>
    </row>
    <row r="279" spans="1:28" ht="14.5">
      <c r="A279" s="119">
        <v>62</v>
      </c>
      <c r="B279" s="119" t="s">
        <v>173</v>
      </c>
      <c r="C279" s="119">
        <v>13</v>
      </c>
      <c r="D279" s="119">
        <v>13</v>
      </c>
      <c r="E279" s="119">
        <v>277</v>
      </c>
      <c r="F279" s="119">
        <v>6.891</v>
      </c>
      <c r="G279" s="119">
        <v>25.7</v>
      </c>
      <c r="H279" s="119">
        <v>24.9</v>
      </c>
      <c r="I279" s="119">
        <v>7.0026000000000002</v>
      </c>
      <c r="J279" s="119">
        <v>3.2988</v>
      </c>
      <c r="K279" s="119">
        <v>60.1</v>
      </c>
      <c r="L279" s="119">
        <v>0.21</v>
      </c>
      <c r="M279" s="119">
        <v>32.465899999999998</v>
      </c>
      <c r="N279" s="119">
        <v>7.63</v>
      </c>
    </row>
    <row r="280" spans="1:28" s="159" customFormat="1" ht="14.5">
      <c r="A280" s="119">
        <v>62</v>
      </c>
      <c r="B280" s="119" t="s">
        <v>173</v>
      </c>
      <c r="C280" s="119">
        <v>14</v>
      </c>
      <c r="D280" s="119">
        <v>14</v>
      </c>
      <c r="E280" s="119">
        <v>278</v>
      </c>
      <c r="F280" s="119">
        <v>6.8710000000000004</v>
      </c>
      <c r="G280" s="119">
        <v>25.1</v>
      </c>
      <c r="H280" s="119">
        <v>24.3</v>
      </c>
      <c r="I280" s="119">
        <v>7.0025000000000004</v>
      </c>
      <c r="J280" s="119">
        <v>3.2988</v>
      </c>
      <c r="K280" s="119">
        <v>60.2</v>
      </c>
      <c r="L280" s="119">
        <v>0.21</v>
      </c>
      <c r="M280" s="119">
        <v>32.466000000000001</v>
      </c>
      <c r="N280" s="119">
        <v>7.63</v>
      </c>
      <c r="O280" s="165"/>
      <c r="P280" s="165"/>
      <c r="Q280" s="167"/>
      <c r="R280" s="167"/>
      <c r="S280" s="167"/>
      <c r="T280" s="167"/>
      <c r="U280" s="170"/>
      <c r="V280" s="170"/>
      <c r="W280" s="172"/>
      <c r="X280" s="168"/>
      <c r="Y280" s="167"/>
    </row>
    <row r="281" spans="1:28" s="159" customFormat="1" ht="14.5">
      <c r="A281" s="119">
        <v>62</v>
      </c>
      <c r="B281" s="119" t="s">
        <v>173</v>
      </c>
      <c r="C281" s="119">
        <v>15</v>
      </c>
      <c r="D281" s="119">
        <v>15</v>
      </c>
      <c r="E281" s="119">
        <v>279</v>
      </c>
      <c r="F281" s="119">
        <v>6.8869999999999996</v>
      </c>
      <c r="G281" s="119">
        <v>25.9</v>
      </c>
      <c r="H281" s="119">
        <v>25.1</v>
      </c>
      <c r="I281" s="119">
        <v>7.0030000000000001</v>
      </c>
      <c r="J281" s="119">
        <v>3.2989000000000002</v>
      </c>
      <c r="K281" s="119">
        <v>60.1</v>
      </c>
      <c r="L281" s="119">
        <v>0.21</v>
      </c>
      <c r="M281" s="119">
        <v>32.466000000000001</v>
      </c>
      <c r="N281" s="119">
        <v>7.63</v>
      </c>
      <c r="O281" s="165"/>
      <c r="P281" s="165"/>
      <c r="Q281" s="167"/>
      <c r="R281" s="167"/>
      <c r="S281" s="167"/>
      <c r="T281" s="167"/>
      <c r="U281" s="170"/>
      <c r="V281" s="170"/>
      <c r="W281" s="172"/>
      <c r="X281" s="168"/>
      <c r="Y281" s="167"/>
    </row>
    <row r="282" spans="1:28" s="159" customFormat="1" ht="14.5">
      <c r="A282" s="119">
        <v>62</v>
      </c>
      <c r="B282" s="119" t="s">
        <v>173</v>
      </c>
      <c r="C282" s="119">
        <v>16</v>
      </c>
      <c r="D282" s="119">
        <v>16</v>
      </c>
      <c r="E282" s="119">
        <v>280</v>
      </c>
      <c r="F282" s="119">
        <v>6.8929999999999998</v>
      </c>
      <c r="G282" s="119">
        <v>5.4</v>
      </c>
      <c r="H282" s="119">
        <v>4.8</v>
      </c>
      <c r="I282" s="119">
        <v>6.9965000000000002</v>
      </c>
      <c r="J282" s="119">
        <v>3.2974999999999999</v>
      </c>
      <c r="K282" s="119">
        <v>60.2</v>
      </c>
      <c r="L282" s="119">
        <v>0.21</v>
      </c>
      <c r="M282" s="119">
        <v>32.466299999999997</v>
      </c>
      <c r="N282" s="119">
        <v>7.63</v>
      </c>
      <c r="O282" s="165"/>
      <c r="P282" s="165"/>
      <c r="Q282" s="167"/>
      <c r="R282" s="167"/>
      <c r="S282" s="167"/>
      <c r="T282" s="167"/>
      <c r="U282" s="170"/>
      <c r="V282" s="170"/>
      <c r="W282" s="172"/>
      <c r="X282" s="168"/>
      <c r="Y282" s="167"/>
    </row>
    <row r="283" spans="1:28" s="159" customFormat="1" ht="14.5">
      <c r="A283" s="119">
        <v>62</v>
      </c>
      <c r="B283" s="119" t="s">
        <v>173</v>
      </c>
      <c r="C283" s="119">
        <v>17</v>
      </c>
      <c r="D283" s="119">
        <v>17</v>
      </c>
      <c r="E283" s="119">
        <v>281</v>
      </c>
      <c r="F283" s="119">
        <v>6.9050000000000002</v>
      </c>
      <c r="G283" s="119">
        <v>6.2</v>
      </c>
      <c r="H283" s="119">
        <v>5.5</v>
      </c>
      <c r="I283" s="119">
        <v>6.9965000000000002</v>
      </c>
      <c r="J283" s="119">
        <v>3.2974999999999999</v>
      </c>
      <c r="K283" s="119">
        <v>60.2</v>
      </c>
      <c r="L283" s="119">
        <v>0.21</v>
      </c>
      <c r="M283" s="119">
        <v>32.466099999999997</v>
      </c>
      <c r="N283" s="119">
        <v>7.63</v>
      </c>
      <c r="O283" s="157"/>
      <c r="P283" s="157"/>
      <c r="Q283" s="151"/>
      <c r="R283" s="151"/>
      <c r="S283" s="151"/>
      <c r="T283" s="151"/>
      <c r="U283" s="155"/>
      <c r="V283" s="155"/>
      <c r="W283" s="158"/>
      <c r="X283" s="152"/>
      <c r="Y283" s="151"/>
    </row>
    <row r="284" spans="1:28" s="159" customFormat="1" ht="14.5">
      <c r="A284" s="119">
        <v>62</v>
      </c>
      <c r="B284" s="119" t="s">
        <v>173</v>
      </c>
      <c r="C284" s="119">
        <v>18</v>
      </c>
      <c r="D284" s="119">
        <v>18</v>
      </c>
      <c r="E284" s="119">
        <v>282</v>
      </c>
      <c r="F284" s="119">
        <v>6.907</v>
      </c>
      <c r="G284" s="119">
        <v>6.8</v>
      </c>
      <c r="H284" s="119">
        <v>6.1</v>
      </c>
      <c r="I284" s="119">
        <v>6.9966999999999997</v>
      </c>
      <c r="J284" s="119">
        <v>3.2974999999999999</v>
      </c>
      <c r="K284" s="119">
        <v>60.2</v>
      </c>
      <c r="L284" s="119">
        <v>0.22</v>
      </c>
      <c r="M284" s="119">
        <v>32.466099999999997</v>
      </c>
      <c r="N284" s="119">
        <v>7.63</v>
      </c>
      <c r="O284" s="157"/>
      <c r="P284" s="151"/>
      <c r="Q284" s="151"/>
      <c r="R284" s="175"/>
      <c r="S284" s="175"/>
      <c r="T284" s="175"/>
      <c r="U284" s="173"/>
      <c r="V284" s="158"/>
      <c r="W284" s="173"/>
      <c r="X284" s="173"/>
      <c r="Y284" s="175"/>
      <c r="Z284" s="177"/>
      <c r="AA284" s="177"/>
      <c r="AB284" s="152"/>
    </row>
    <row r="285" spans="1:28" s="159" customFormat="1" ht="14.5">
      <c r="A285" s="119">
        <v>62</v>
      </c>
      <c r="B285" s="119" t="s">
        <v>173</v>
      </c>
      <c r="C285" s="119">
        <v>19</v>
      </c>
      <c r="D285" s="119">
        <v>19</v>
      </c>
      <c r="E285" s="119">
        <v>283</v>
      </c>
      <c r="F285" s="119">
        <v>6.883</v>
      </c>
      <c r="G285" s="119">
        <v>6.3</v>
      </c>
      <c r="H285" s="119">
        <v>5.6</v>
      </c>
      <c r="I285" s="119">
        <v>6.9965999999999999</v>
      </c>
      <c r="J285" s="119">
        <v>3.2974999999999999</v>
      </c>
      <c r="K285" s="119">
        <v>60</v>
      </c>
      <c r="L285" s="119">
        <v>0.21</v>
      </c>
      <c r="M285" s="119">
        <v>32.466200000000001</v>
      </c>
      <c r="N285" s="119">
        <v>7.63</v>
      </c>
      <c r="O285" s="248"/>
      <c r="P285" s="173"/>
      <c r="Q285" s="247"/>
      <c r="R285" s="173"/>
      <c r="S285" s="247"/>
      <c r="T285" s="175"/>
      <c r="U285" s="247"/>
      <c r="V285" s="158"/>
      <c r="W285" s="247"/>
      <c r="Y285" s="179"/>
      <c r="AA285" s="180"/>
    </row>
    <row r="286" spans="1:28" s="159" customFormat="1" ht="14.5">
      <c r="A286" s="119">
        <v>62</v>
      </c>
      <c r="B286" s="119" t="s">
        <v>173</v>
      </c>
      <c r="C286" s="119">
        <v>20</v>
      </c>
      <c r="D286" s="119">
        <v>20</v>
      </c>
      <c r="E286" s="119">
        <v>284</v>
      </c>
      <c r="F286" s="119">
        <v>6.8929999999999998</v>
      </c>
      <c r="G286" s="119">
        <v>6.1</v>
      </c>
      <c r="H286" s="119">
        <v>5.5</v>
      </c>
      <c r="I286" s="119">
        <v>6.9964000000000004</v>
      </c>
      <c r="J286" s="119">
        <v>3.2974999999999999</v>
      </c>
      <c r="K286" s="119">
        <v>60.1</v>
      </c>
      <c r="L286" s="119">
        <v>0.21</v>
      </c>
      <c r="M286" s="119">
        <v>32.466299999999997</v>
      </c>
      <c r="N286" s="119">
        <v>7.63</v>
      </c>
      <c r="O286" s="248"/>
      <c r="P286" s="173"/>
      <c r="Q286" s="247"/>
      <c r="R286" s="173"/>
      <c r="S286" s="247"/>
      <c r="T286" s="175"/>
      <c r="U286" s="247"/>
      <c r="V286" s="181"/>
      <c r="W286" s="247"/>
      <c r="X286" s="182"/>
      <c r="Y286" s="183"/>
      <c r="AA286" s="180"/>
    </row>
    <row r="287" spans="1:28" s="190" customFormat="1" ht="14.5">
      <c r="A287" s="119">
        <v>65</v>
      </c>
      <c r="B287" s="119" t="s">
        <v>174</v>
      </c>
      <c r="C287" s="119">
        <v>1</v>
      </c>
      <c r="D287" s="119">
        <v>1</v>
      </c>
      <c r="E287" s="119">
        <v>285</v>
      </c>
      <c r="F287" s="119">
        <v>1.1220000000000001</v>
      </c>
      <c r="G287" s="119">
        <v>1999.2</v>
      </c>
      <c r="H287" s="119">
        <v>1972.2</v>
      </c>
      <c r="I287" s="119">
        <v>1.9569000000000001</v>
      </c>
      <c r="J287" s="119">
        <v>3.1261999999999999</v>
      </c>
      <c r="K287" s="119">
        <v>67</v>
      </c>
      <c r="L287" s="119">
        <v>0.06</v>
      </c>
      <c r="M287" s="119">
        <v>34.5747</v>
      </c>
      <c r="N287" s="119">
        <v>7.12</v>
      </c>
      <c r="O287" s="184"/>
      <c r="P287" s="185"/>
      <c r="Q287" s="185"/>
      <c r="R287" s="185"/>
      <c r="S287" s="185"/>
      <c r="T287" s="187"/>
      <c r="U287" s="187"/>
      <c r="V287" s="185"/>
      <c r="W287" s="189"/>
      <c r="Y287" s="191"/>
      <c r="AA287" s="189"/>
      <c r="AB287" s="186"/>
    </row>
    <row r="288" spans="1:28" ht="14.5">
      <c r="A288" s="119">
        <v>65</v>
      </c>
      <c r="B288" s="119" t="s">
        <v>174</v>
      </c>
      <c r="C288" s="119">
        <v>2</v>
      </c>
      <c r="D288" s="119">
        <v>2</v>
      </c>
      <c r="E288" s="119">
        <v>286</v>
      </c>
      <c r="F288" s="119">
        <v>0.56399999999999995</v>
      </c>
      <c r="G288" s="119">
        <v>1502.5</v>
      </c>
      <c r="H288" s="119">
        <v>1483.9</v>
      </c>
      <c r="I288" s="119">
        <v>2.3094999999999999</v>
      </c>
      <c r="J288" s="119">
        <v>3.1305000000000001</v>
      </c>
      <c r="K288" s="119">
        <v>66.900000000000006</v>
      </c>
      <c r="L288" s="119">
        <v>0.06</v>
      </c>
      <c r="M288" s="119">
        <v>34.499299999999998</v>
      </c>
      <c r="N288" s="119">
        <v>7.08</v>
      </c>
    </row>
    <row r="289" spans="1:28" ht="14.5">
      <c r="A289" s="119">
        <v>65</v>
      </c>
      <c r="B289" s="119" t="s">
        <v>174</v>
      </c>
      <c r="C289" s="119">
        <v>3</v>
      </c>
      <c r="D289" s="119">
        <v>3</v>
      </c>
      <c r="E289" s="119">
        <v>287</v>
      </c>
      <c r="F289" s="119">
        <v>0.42</v>
      </c>
      <c r="G289" s="119">
        <v>1250.9000000000001</v>
      </c>
      <c r="H289" s="119">
        <v>1235.9000000000001</v>
      </c>
      <c r="I289" s="119">
        <v>2.5741000000000001</v>
      </c>
      <c r="J289" s="119">
        <v>3.1383999999999999</v>
      </c>
      <c r="K289" s="119">
        <v>66.8</v>
      </c>
      <c r="L289" s="119">
        <v>0.06</v>
      </c>
      <c r="M289" s="119">
        <v>34.443800000000003</v>
      </c>
      <c r="N289" s="119">
        <v>7.07</v>
      </c>
    </row>
    <row r="290" spans="1:28" ht="14.5">
      <c r="A290" s="119">
        <v>65</v>
      </c>
      <c r="B290" s="119" t="s">
        <v>174</v>
      </c>
      <c r="C290" s="119">
        <v>4</v>
      </c>
      <c r="D290" s="119">
        <v>4</v>
      </c>
      <c r="E290" s="119">
        <v>288</v>
      </c>
      <c r="F290" s="119">
        <v>0.36299999999999999</v>
      </c>
      <c r="G290" s="119">
        <v>999.8</v>
      </c>
      <c r="H290" s="119">
        <v>988.4</v>
      </c>
      <c r="I290" s="119">
        <v>2.9285000000000001</v>
      </c>
      <c r="J290" s="119">
        <v>3.1526999999999998</v>
      </c>
      <c r="K290" s="119">
        <v>66.8</v>
      </c>
      <c r="L290" s="119">
        <v>0.06</v>
      </c>
      <c r="M290" s="119">
        <v>34.371200000000002</v>
      </c>
      <c r="N290" s="119">
        <v>7.07</v>
      </c>
    </row>
    <row r="291" spans="1:28" ht="14.5">
      <c r="A291" s="119">
        <v>65</v>
      </c>
      <c r="B291" s="119" t="s">
        <v>174</v>
      </c>
      <c r="C291" s="119">
        <v>5</v>
      </c>
      <c r="D291" s="119">
        <v>5</v>
      </c>
      <c r="E291" s="119">
        <v>289</v>
      </c>
      <c r="F291" s="119">
        <v>0.36199999999999999</v>
      </c>
      <c r="G291" s="119">
        <v>801.6</v>
      </c>
      <c r="H291" s="119">
        <v>792.6</v>
      </c>
      <c r="I291" s="119">
        <v>3.2774000000000001</v>
      </c>
      <c r="J291" s="119">
        <v>3.1686999999999999</v>
      </c>
      <c r="K291" s="119">
        <v>66.7</v>
      </c>
      <c r="L291" s="119">
        <v>0.06</v>
      </c>
      <c r="M291" s="119">
        <v>34.298900000000003</v>
      </c>
      <c r="N291" s="119">
        <v>7.07</v>
      </c>
    </row>
    <row r="292" spans="1:28" ht="14.5">
      <c r="A292" s="119">
        <v>65</v>
      </c>
      <c r="B292" s="119" t="s">
        <v>174</v>
      </c>
      <c r="C292" s="119">
        <v>6</v>
      </c>
      <c r="D292" s="119">
        <v>6</v>
      </c>
      <c r="E292" s="119">
        <v>290</v>
      </c>
      <c r="F292" s="119">
        <v>0.47899999999999998</v>
      </c>
      <c r="G292" s="119">
        <v>599</v>
      </c>
      <c r="H292" s="119">
        <v>592.4</v>
      </c>
      <c r="I292" s="119">
        <v>3.7517999999999998</v>
      </c>
      <c r="J292" s="119">
        <v>3.1909999999999998</v>
      </c>
      <c r="K292" s="119">
        <v>66.8</v>
      </c>
      <c r="L292" s="119">
        <v>0.05</v>
      </c>
      <c r="M292" s="119">
        <v>34.174999999999997</v>
      </c>
      <c r="N292" s="119">
        <v>7.07</v>
      </c>
    </row>
    <row r="293" spans="1:28" ht="14.5">
      <c r="A293" s="119">
        <v>65</v>
      </c>
      <c r="B293" s="119" t="s">
        <v>174</v>
      </c>
      <c r="C293" s="119">
        <v>7</v>
      </c>
      <c r="D293" s="119">
        <v>7</v>
      </c>
      <c r="E293" s="119">
        <v>291</v>
      </c>
      <c r="F293" s="119">
        <v>0.93899999999999995</v>
      </c>
      <c r="G293" s="119">
        <v>401.6</v>
      </c>
      <c r="H293" s="119">
        <v>397.2</v>
      </c>
      <c r="I293" s="119">
        <v>4.0730000000000004</v>
      </c>
      <c r="J293" s="119">
        <v>3.1949999999999998</v>
      </c>
      <c r="K293" s="119">
        <v>66.599999999999994</v>
      </c>
      <c r="L293" s="119">
        <v>0.05</v>
      </c>
      <c r="M293" s="119">
        <v>33.9923</v>
      </c>
      <c r="N293" s="119">
        <v>7.08</v>
      </c>
    </row>
    <row r="294" spans="1:28" s="159" customFormat="1" ht="14.5">
      <c r="A294" s="119">
        <v>65</v>
      </c>
      <c r="B294" s="119" t="s">
        <v>174</v>
      </c>
      <c r="C294" s="119">
        <v>8</v>
      </c>
      <c r="D294" s="119">
        <v>8</v>
      </c>
      <c r="E294" s="119">
        <v>292</v>
      </c>
      <c r="F294" s="119">
        <v>1.5720000000000001</v>
      </c>
      <c r="G294" s="119">
        <v>301</v>
      </c>
      <c r="H294" s="119">
        <v>297.7</v>
      </c>
      <c r="I294" s="119">
        <v>4.2092999999999998</v>
      </c>
      <c r="J294" s="119">
        <v>3.1903000000000001</v>
      </c>
      <c r="K294" s="119">
        <v>66.3</v>
      </c>
      <c r="L294" s="119">
        <v>0.05</v>
      </c>
      <c r="M294" s="119">
        <v>33.848300000000002</v>
      </c>
      <c r="N294" s="119">
        <v>7.11</v>
      </c>
      <c r="O294" s="165"/>
      <c r="P294" s="165"/>
      <c r="Q294" s="167"/>
      <c r="R294" s="167"/>
      <c r="S294" s="167"/>
      <c r="T294" s="167"/>
      <c r="U294" s="170"/>
      <c r="V294" s="170"/>
      <c r="W294" s="172"/>
      <c r="X294" s="168"/>
      <c r="Y294" s="167"/>
    </row>
    <row r="295" spans="1:28" s="159" customFormat="1" ht="14.5">
      <c r="A295" s="119">
        <v>65</v>
      </c>
      <c r="B295" s="119" t="s">
        <v>174</v>
      </c>
      <c r="C295" s="119">
        <v>9</v>
      </c>
      <c r="D295" s="119">
        <v>9</v>
      </c>
      <c r="E295" s="119">
        <v>293</v>
      </c>
      <c r="F295" s="119">
        <v>1.954</v>
      </c>
      <c r="G295" s="119">
        <v>251</v>
      </c>
      <c r="H295" s="119">
        <v>248.1</v>
      </c>
      <c r="I295" s="119">
        <v>4.2941000000000003</v>
      </c>
      <c r="J295" s="119">
        <v>3.1907000000000001</v>
      </c>
      <c r="K295" s="119">
        <v>66.2</v>
      </c>
      <c r="L295" s="119">
        <v>0.05</v>
      </c>
      <c r="M295" s="119">
        <v>33.792400000000001</v>
      </c>
      <c r="N295" s="119">
        <v>7.14</v>
      </c>
      <c r="O295" s="165"/>
      <c r="P295" s="165"/>
      <c r="Q295" s="167"/>
      <c r="R295" s="167"/>
      <c r="S295" s="167"/>
      <c r="T295" s="167"/>
      <c r="U295" s="170"/>
      <c r="V295" s="170"/>
      <c r="W295" s="172"/>
      <c r="X295" s="168"/>
      <c r="Y295" s="167"/>
    </row>
    <row r="296" spans="1:28" s="159" customFormat="1" ht="14.5">
      <c r="A296" s="119">
        <v>65</v>
      </c>
      <c r="B296" s="119" t="s">
        <v>174</v>
      </c>
      <c r="C296" s="119">
        <v>10</v>
      </c>
      <c r="D296" s="119">
        <v>10</v>
      </c>
      <c r="E296" s="119">
        <v>294</v>
      </c>
      <c r="F296" s="119">
        <v>2.6059999999999999</v>
      </c>
      <c r="G296" s="119">
        <v>200.9</v>
      </c>
      <c r="H296" s="119">
        <v>198.5</v>
      </c>
      <c r="I296" s="119">
        <v>4.4715999999999996</v>
      </c>
      <c r="J296" s="119">
        <v>3.1987000000000001</v>
      </c>
      <c r="K296" s="119">
        <v>66.099999999999994</v>
      </c>
      <c r="L296" s="119">
        <v>0.06</v>
      </c>
      <c r="M296" s="119">
        <v>33.731200000000001</v>
      </c>
      <c r="N296" s="119">
        <v>7.2</v>
      </c>
      <c r="O296" s="165"/>
      <c r="P296" s="165"/>
      <c r="Q296" s="167"/>
      <c r="R296" s="167"/>
      <c r="S296" s="167"/>
      <c r="T296" s="167"/>
      <c r="U296" s="170"/>
      <c r="V296" s="170"/>
      <c r="W296" s="172"/>
      <c r="X296" s="168"/>
      <c r="Y296" s="167"/>
    </row>
    <row r="297" spans="1:28" s="159" customFormat="1" ht="14.5">
      <c r="A297" s="119">
        <v>65</v>
      </c>
      <c r="B297" s="119" t="s">
        <v>174</v>
      </c>
      <c r="C297" s="119">
        <v>11</v>
      </c>
      <c r="D297" s="119">
        <v>11</v>
      </c>
      <c r="E297" s="119">
        <v>295</v>
      </c>
      <c r="F297" s="119">
        <v>2.9990000000000001</v>
      </c>
      <c r="G297" s="119">
        <v>174.7</v>
      </c>
      <c r="H297" s="119">
        <v>172.5</v>
      </c>
      <c r="I297" s="119">
        <v>4.7827999999999999</v>
      </c>
      <c r="J297" s="119">
        <v>3.2225000000000001</v>
      </c>
      <c r="K297" s="119">
        <v>66.099999999999994</v>
      </c>
      <c r="L297" s="119">
        <v>0.06</v>
      </c>
      <c r="M297" s="119">
        <v>33.704799999999999</v>
      </c>
      <c r="N297" s="119">
        <v>7.24</v>
      </c>
      <c r="O297" s="157"/>
      <c r="P297" s="157"/>
      <c r="Q297" s="151"/>
      <c r="R297" s="151"/>
      <c r="S297" s="151"/>
      <c r="T297" s="151"/>
      <c r="U297" s="155"/>
      <c r="V297" s="155"/>
      <c r="W297" s="158"/>
      <c r="X297" s="152"/>
      <c r="Y297" s="151"/>
    </row>
    <row r="298" spans="1:28" s="159" customFormat="1" ht="14.5">
      <c r="A298" s="119">
        <v>65</v>
      </c>
      <c r="B298" s="119" t="s">
        <v>174</v>
      </c>
      <c r="C298" s="119">
        <v>12</v>
      </c>
      <c r="D298" s="119">
        <v>12</v>
      </c>
      <c r="E298" s="119">
        <v>296</v>
      </c>
      <c r="F298" s="119">
        <v>3.5939999999999999</v>
      </c>
      <c r="G298" s="119">
        <v>149</v>
      </c>
      <c r="H298" s="119">
        <v>147.1</v>
      </c>
      <c r="I298" s="119">
        <v>4.9509999999999996</v>
      </c>
      <c r="J298" s="119">
        <v>3.2281</v>
      </c>
      <c r="K298" s="119">
        <v>66.2</v>
      </c>
      <c r="L298" s="119">
        <v>0.06</v>
      </c>
      <c r="M298" s="119">
        <v>33.612400000000001</v>
      </c>
      <c r="N298" s="119">
        <v>7.29</v>
      </c>
      <c r="O298" s="157"/>
      <c r="P298" s="151"/>
      <c r="Q298" s="151"/>
      <c r="R298" s="175"/>
      <c r="S298" s="175"/>
      <c r="T298" s="175"/>
      <c r="U298" s="173"/>
      <c r="V298" s="158"/>
      <c r="W298" s="173"/>
      <c r="X298" s="173"/>
      <c r="Y298" s="175"/>
      <c r="Z298" s="177"/>
      <c r="AA298" s="177"/>
      <c r="AB298" s="152"/>
    </row>
    <row r="299" spans="1:28" s="159" customFormat="1" ht="14.5">
      <c r="A299" s="119">
        <v>65</v>
      </c>
      <c r="B299" s="119" t="s">
        <v>174</v>
      </c>
      <c r="C299" s="119">
        <v>13</v>
      </c>
      <c r="D299" s="119">
        <v>13</v>
      </c>
      <c r="E299" s="119">
        <v>297</v>
      </c>
      <c r="F299" s="119">
        <v>4.3010000000000002</v>
      </c>
      <c r="G299" s="119">
        <v>125.6</v>
      </c>
      <c r="H299" s="119">
        <v>123.9</v>
      </c>
      <c r="I299" s="119">
        <v>5.2070999999999996</v>
      </c>
      <c r="J299" s="119">
        <v>3.2336999999999998</v>
      </c>
      <c r="K299" s="119">
        <v>66.2</v>
      </c>
      <c r="L299" s="119">
        <v>0.06</v>
      </c>
      <c r="M299" s="119">
        <v>33.432000000000002</v>
      </c>
      <c r="N299" s="119">
        <v>7.35</v>
      </c>
      <c r="O299" s="248"/>
      <c r="P299" s="173"/>
      <c r="Q299" s="247"/>
      <c r="R299" s="173"/>
      <c r="S299" s="247"/>
      <c r="T299" s="175"/>
      <c r="U299" s="247"/>
      <c r="V299" s="158"/>
      <c r="W299" s="247"/>
      <c r="Y299" s="179"/>
      <c r="AA299" s="180"/>
    </row>
    <row r="300" spans="1:28" s="159" customFormat="1" ht="14.5">
      <c r="A300" s="119">
        <v>65</v>
      </c>
      <c r="B300" s="119" t="s">
        <v>174</v>
      </c>
      <c r="C300" s="119">
        <v>14</v>
      </c>
      <c r="D300" s="119">
        <v>14</v>
      </c>
      <c r="E300" s="119">
        <v>298</v>
      </c>
      <c r="F300" s="119">
        <v>5.8259999999999996</v>
      </c>
      <c r="G300" s="119">
        <v>100.9</v>
      </c>
      <c r="H300" s="119">
        <v>99.4</v>
      </c>
      <c r="I300" s="119">
        <v>5.6013999999999999</v>
      </c>
      <c r="J300" s="119">
        <v>3.2191999999999998</v>
      </c>
      <c r="K300" s="119">
        <v>66</v>
      </c>
      <c r="L300" s="119">
        <v>7.0000000000000007E-2</v>
      </c>
      <c r="M300" s="119">
        <v>32.889899999999997</v>
      </c>
      <c r="N300" s="119">
        <v>7.5</v>
      </c>
      <c r="O300" s="248"/>
      <c r="P300" s="173"/>
      <c r="Q300" s="247"/>
      <c r="R300" s="173"/>
      <c r="S300" s="247"/>
      <c r="T300" s="175"/>
      <c r="U300" s="247"/>
      <c r="V300" s="181"/>
      <c r="W300" s="247"/>
      <c r="X300" s="182"/>
      <c r="Y300" s="183"/>
      <c r="AA300" s="180"/>
    </row>
    <row r="301" spans="1:28" s="190" customFormat="1" ht="14.5">
      <c r="A301" s="119">
        <v>65</v>
      </c>
      <c r="B301" s="119" t="s">
        <v>174</v>
      </c>
      <c r="C301" s="119">
        <v>15</v>
      </c>
      <c r="D301" s="119">
        <v>15</v>
      </c>
      <c r="E301" s="119">
        <v>299</v>
      </c>
      <c r="F301" s="119">
        <v>6.8760000000000003</v>
      </c>
      <c r="G301" s="119">
        <v>75.5</v>
      </c>
      <c r="H301" s="119">
        <v>74.2</v>
      </c>
      <c r="I301" s="119">
        <v>5.8131000000000004</v>
      </c>
      <c r="J301" s="119">
        <v>3.2004000000000001</v>
      </c>
      <c r="K301" s="119">
        <v>65.2</v>
      </c>
      <c r="L301" s="119">
        <v>0.1</v>
      </c>
      <c r="M301" s="119">
        <v>32.484499999999997</v>
      </c>
      <c r="N301" s="119">
        <v>7.59</v>
      </c>
      <c r="O301" s="184"/>
      <c r="P301" s="185"/>
      <c r="Q301" s="185"/>
      <c r="R301" s="185"/>
      <c r="S301" s="185"/>
      <c r="T301" s="187"/>
      <c r="U301" s="187"/>
      <c r="V301" s="185"/>
      <c r="W301" s="189"/>
      <c r="Y301" s="191"/>
      <c r="AA301" s="189"/>
      <c r="AB301" s="186"/>
    </row>
    <row r="302" spans="1:28" ht="14.5">
      <c r="A302" s="119">
        <v>65</v>
      </c>
      <c r="B302" s="119" t="s">
        <v>174</v>
      </c>
      <c r="C302" s="119">
        <v>16</v>
      </c>
      <c r="D302" s="119">
        <v>16</v>
      </c>
      <c r="E302" s="119">
        <v>300</v>
      </c>
      <c r="F302" s="119">
        <v>6.9710000000000001</v>
      </c>
      <c r="G302" s="119">
        <v>60.3</v>
      </c>
      <c r="H302" s="119">
        <v>59.2</v>
      </c>
      <c r="I302" s="119">
        <v>6.1595000000000004</v>
      </c>
      <c r="J302" s="119">
        <v>3.2246999999999999</v>
      </c>
      <c r="K302" s="119">
        <v>62.8</v>
      </c>
      <c r="L302" s="119">
        <v>0.15</v>
      </c>
      <c r="M302" s="119">
        <v>32.432000000000002</v>
      </c>
      <c r="N302" s="119">
        <v>7.6</v>
      </c>
    </row>
    <row r="303" spans="1:28" ht="14.5">
      <c r="A303" s="119">
        <v>65</v>
      </c>
      <c r="B303" s="119" t="s">
        <v>174</v>
      </c>
      <c r="C303" s="119">
        <v>17</v>
      </c>
      <c r="D303" s="119">
        <v>17</v>
      </c>
      <c r="E303" s="119">
        <v>301</v>
      </c>
      <c r="F303" s="119">
        <v>6.9950000000000001</v>
      </c>
      <c r="G303" s="119">
        <v>50.2</v>
      </c>
      <c r="H303" s="119">
        <v>49.1</v>
      </c>
      <c r="I303" s="119">
        <v>6.2888999999999999</v>
      </c>
      <c r="J303" s="119">
        <v>3.2341000000000002</v>
      </c>
      <c r="K303" s="119">
        <v>60.8</v>
      </c>
      <c r="L303" s="119">
        <v>0.18</v>
      </c>
      <c r="M303" s="119">
        <v>32.4176</v>
      </c>
      <c r="N303" s="119">
        <v>7.61</v>
      </c>
    </row>
    <row r="304" spans="1:28" ht="14.5">
      <c r="A304" s="119">
        <v>65</v>
      </c>
      <c r="B304" s="119" t="s">
        <v>174</v>
      </c>
      <c r="C304" s="119">
        <v>18</v>
      </c>
      <c r="D304" s="119">
        <v>18</v>
      </c>
      <c r="E304" s="119">
        <v>302</v>
      </c>
      <c r="F304" s="119">
        <v>7.0049999999999999</v>
      </c>
      <c r="G304" s="119">
        <v>10.4</v>
      </c>
      <c r="H304" s="119">
        <v>9.6999999999999993</v>
      </c>
      <c r="I304" s="119">
        <v>6.2972999999999999</v>
      </c>
      <c r="J304" s="119">
        <v>3.2328000000000001</v>
      </c>
      <c r="K304" s="119">
        <v>60.4</v>
      </c>
      <c r="L304" s="119">
        <v>0.19</v>
      </c>
      <c r="M304" s="119">
        <v>32.414900000000003</v>
      </c>
      <c r="N304" s="119">
        <v>7.62</v>
      </c>
    </row>
    <row r="305" spans="1:14" ht="14.5">
      <c r="A305" s="119">
        <v>65</v>
      </c>
      <c r="B305" s="119" t="s">
        <v>174</v>
      </c>
      <c r="C305" s="119">
        <v>19</v>
      </c>
      <c r="D305" s="119">
        <v>19</v>
      </c>
      <c r="E305" s="119">
        <v>303</v>
      </c>
      <c r="F305" s="119">
        <v>7.0259999999999998</v>
      </c>
      <c r="G305" s="119">
        <v>5.8</v>
      </c>
      <c r="H305" s="119">
        <v>5.0999999999999996</v>
      </c>
      <c r="I305" s="119">
        <v>6.2971000000000004</v>
      </c>
      <c r="J305" s="119">
        <v>3.2324999999999999</v>
      </c>
      <c r="K305" s="119">
        <v>60.4</v>
      </c>
      <c r="L305" s="119">
        <v>0.19</v>
      </c>
      <c r="M305" s="119">
        <v>32.413499999999999</v>
      </c>
      <c r="N305" s="119">
        <v>7.62</v>
      </c>
    </row>
    <row r="306" spans="1:14" ht="14.5">
      <c r="A306" s="119">
        <v>65</v>
      </c>
      <c r="B306" s="119" t="s">
        <v>174</v>
      </c>
      <c r="C306" s="119">
        <v>20</v>
      </c>
      <c r="D306" s="119">
        <v>20</v>
      </c>
      <c r="E306" s="119">
        <v>304</v>
      </c>
      <c r="F306" s="119">
        <v>7.0149999999999997</v>
      </c>
      <c r="G306" s="119">
        <v>6</v>
      </c>
      <c r="H306" s="119">
        <v>5.3</v>
      </c>
      <c r="I306" s="119">
        <v>6.2971000000000004</v>
      </c>
      <c r="J306" s="119">
        <v>3.2324999999999999</v>
      </c>
      <c r="K306" s="119">
        <v>60.5</v>
      </c>
      <c r="L306" s="119">
        <v>0.19</v>
      </c>
      <c r="M306" s="119">
        <v>32.413499999999999</v>
      </c>
      <c r="N306" s="119">
        <v>7.62</v>
      </c>
    </row>
    <row r="307" spans="1:14" ht="14.5">
      <c r="A307" s="119">
        <v>65</v>
      </c>
      <c r="B307" s="119" t="s">
        <v>174</v>
      </c>
      <c r="C307" s="119">
        <v>21</v>
      </c>
      <c r="D307" s="119">
        <v>21</v>
      </c>
      <c r="E307" s="119">
        <v>305</v>
      </c>
      <c r="F307" s="119">
        <v>7.01</v>
      </c>
      <c r="G307" s="119">
        <v>5.7</v>
      </c>
      <c r="H307" s="119">
        <v>5</v>
      </c>
      <c r="I307" s="119">
        <v>6.2968999999999999</v>
      </c>
      <c r="J307" s="119">
        <v>3.2324999999999999</v>
      </c>
      <c r="K307" s="119">
        <v>60.6</v>
      </c>
      <c r="L307" s="119">
        <v>0.19</v>
      </c>
      <c r="M307" s="119">
        <v>32.413600000000002</v>
      </c>
      <c r="N307" s="119">
        <v>7.62</v>
      </c>
    </row>
    <row r="308" spans="1:14" ht="14.5">
      <c r="A308" s="119">
        <v>65</v>
      </c>
      <c r="B308" s="119" t="s">
        <v>174</v>
      </c>
      <c r="C308" s="119">
        <v>22</v>
      </c>
      <c r="D308" s="119">
        <v>22</v>
      </c>
      <c r="E308" s="119">
        <v>306</v>
      </c>
      <c r="F308" s="119">
        <v>7.0129999999999999</v>
      </c>
      <c r="G308" s="119">
        <v>5.7</v>
      </c>
      <c r="H308" s="119">
        <v>5.0999999999999996</v>
      </c>
      <c r="I308" s="119">
        <v>6.2968999999999999</v>
      </c>
      <c r="J308" s="119">
        <v>3.2326000000000001</v>
      </c>
      <c r="K308" s="119">
        <v>60.5</v>
      </c>
      <c r="L308" s="119">
        <v>0.19</v>
      </c>
      <c r="M308" s="119">
        <v>32.4148</v>
      </c>
      <c r="N308" s="119">
        <v>7.62</v>
      </c>
    </row>
    <row r="309" spans="1:14" ht="14.5">
      <c r="A309" s="119">
        <v>65</v>
      </c>
      <c r="B309" s="119" t="s">
        <v>174</v>
      </c>
      <c r="C309" s="119">
        <v>23</v>
      </c>
      <c r="D309" s="119">
        <v>23</v>
      </c>
      <c r="E309" s="119">
        <v>307</v>
      </c>
      <c r="F309" s="119">
        <v>7.008</v>
      </c>
      <c r="G309" s="119">
        <v>5.8</v>
      </c>
      <c r="H309" s="119">
        <v>5.0999999999999996</v>
      </c>
      <c r="I309" s="119">
        <v>6.2969999999999997</v>
      </c>
      <c r="J309" s="119">
        <v>3.2326999999999999</v>
      </c>
      <c r="K309" s="119">
        <v>60.5</v>
      </c>
      <c r="L309" s="119">
        <v>0.19</v>
      </c>
      <c r="M309" s="119">
        <v>32.415900000000001</v>
      </c>
      <c r="N309" s="119">
        <v>7.62</v>
      </c>
    </row>
    <row r="310" spans="1:14" ht="14.5">
      <c r="A310" s="119">
        <v>65</v>
      </c>
      <c r="B310" s="119" t="s">
        <v>174</v>
      </c>
      <c r="C310" s="119">
        <v>24</v>
      </c>
      <c r="D310" s="119">
        <v>24</v>
      </c>
      <c r="E310" s="119">
        <v>308</v>
      </c>
      <c r="F310" s="119">
        <v>6.9969999999999999</v>
      </c>
      <c r="G310" s="119">
        <v>3.4</v>
      </c>
      <c r="H310" s="119">
        <v>2.8</v>
      </c>
      <c r="I310" s="119">
        <v>6.2958999999999996</v>
      </c>
      <c r="J310" s="119">
        <v>3.2324999999999999</v>
      </c>
      <c r="K310" s="119">
        <v>60.4</v>
      </c>
      <c r="L310" s="119">
        <v>0.19</v>
      </c>
      <c r="M310" s="119">
        <v>32.415999999999997</v>
      </c>
      <c r="N310" s="119">
        <v>7.62</v>
      </c>
    </row>
    <row r="311" spans="1:14" ht="14.5">
      <c r="A311" s="119">
        <v>68</v>
      </c>
      <c r="B311" s="119" t="s">
        <v>175</v>
      </c>
      <c r="C311" s="119">
        <v>1</v>
      </c>
      <c r="D311" s="119">
        <v>1</v>
      </c>
      <c r="E311" s="119">
        <v>309</v>
      </c>
      <c r="F311" s="119">
        <v>1.3029999999999999</v>
      </c>
      <c r="G311" s="119">
        <v>300.8</v>
      </c>
      <c r="H311" s="119">
        <v>297.39999999999998</v>
      </c>
      <c r="I311" s="119">
        <v>4.3098999999999998</v>
      </c>
      <c r="J311" s="119">
        <v>3.2035</v>
      </c>
      <c r="K311" s="119">
        <v>65.900000000000006</v>
      </c>
      <c r="L311" s="119">
        <v>0.06</v>
      </c>
      <c r="M311" s="119">
        <v>33.901200000000003</v>
      </c>
      <c r="N311" s="119">
        <v>7.13</v>
      </c>
    </row>
    <row r="312" spans="1:14" ht="14.5">
      <c r="A312" s="119">
        <v>68</v>
      </c>
      <c r="B312" s="119" t="s">
        <v>175</v>
      </c>
      <c r="C312" s="119">
        <v>2</v>
      </c>
      <c r="D312" s="119">
        <v>2</v>
      </c>
      <c r="E312" s="119">
        <v>310</v>
      </c>
      <c r="F312" s="119">
        <v>2.3279999999999998</v>
      </c>
      <c r="G312" s="119">
        <v>201.6</v>
      </c>
      <c r="H312" s="119">
        <v>199.2</v>
      </c>
      <c r="I312" s="119">
        <v>4.4730999999999996</v>
      </c>
      <c r="J312" s="119">
        <v>3.2008000000000001</v>
      </c>
      <c r="K312" s="119">
        <v>65.8</v>
      </c>
      <c r="L312" s="119">
        <v>0.06</v>
      </c>
      <c r="M312" s="119">
        <v>33.753500000000003</v>
      </c>
      <c r="N312" s="119">
        <v>7.2</v>
      </c>
    </row>
    <row r="313" spans="1:14" ht="14.5">
      <c r="A313" s="119">
        <v>68</v>
      </c>
      <c r="B313" s="119" t="s">
        <v>175</v>
      </c>
      <c r="C313" s="119">
        <v>3</v>
      </c>
      <c r="D313" s="119">
        <v>3</v>
      </c>
      <c r="E313" s="119">
        <v>311</v>
      </c>
      <c r="F313" s="119">
        <v>3.67</v>
      </c>
      <c r="G313" s="119">
        <v>151.69999999999999</v>
      </c>
      <c r="H313" s="119">
        <v>149.69999999999999</v>
      </c>
      <c r="I313" s="119">
        <v>4.8510999999999997</v>
      </c>
      <c r="J313" s="119">
        <v>3.2153</v>
      </c>
      <c r="K313" s="119">
        <v>66</v>
      </c>
      <c r="L313" s="119">
        <v>0.06</v>
      </c>
      <c r="M313" s="119">
        <v>33.563699999999997</v>
      </c>
      <c r="N313" s="119">
        <v>7.32</v>
      </c>
    </row>
    <row r="314" spans="1:14" ht="14.5">
      <c r="A314" s="119">
        <v>68</v>
      </c>
      <c r="B314" s="119" t="s">
        <v>175</v>
      </c>
      <c r="C314" s="119">
        <v>4</v>
      </c>
      <c r="D314" s="119">
        <v>4</v>
      </c>
      <c r="E314" s="119">
        <v>312</v>
      </c>
      <c r="F314" s="119">
        <v>3.6669999999999998</v>
      </c>
      <c r="G314" s="119">
        <v>151.6</v>
      </c>
      <c r="H314" s="119">
        <v>149.6</v>
      </c>
      <c r="I314" s="119">
        <v>4.8494000000000002</v>
      </c>
      <c r="J314" s="119">
        <v>3.2151999999999998</v>
      </c>
      <c r="K314" s="119">
        <v>66</v>
      </c>
      <c r="L314" s="119">
        <v>0.06</v>
      </c>
      <c r="M314" s="119">
        <v>33.564500000000002</v>
      </c>
      <c r="N314" s="119">
        <v>7.32</v>
      </c>
    </row>
    <row r="315" spans="1:14" ht="14.5">
      <c r="A315" s="119">
        <v>68</v>
      </c>
      <c r="B315" s="119" t="s">
        <v>175</v>
      </c>
      <c r="C315" s="119">
        <v>5</v>
      </c>
      <c r="D315" s="119">
        <v>5</v>
      </c>
      <c r="E315" s="119">
        <v>313</v>
      </c>
      <c r="F315" s="119">
        <v>4.68</v>
      </c>
      <c r="G315" s="119">
        <v>123.8</v>
      </c>
      <c r="H315" s="119">
        <v>122.1</v>
      </c>
      <c r="I315" s="119">
        <v>5.1905999999999999</v>
      </c>
      <c r="J315" s="119">
        <v>3.2141999999999999</v>
      </c>
      <c r="K315" s="119">
        <v>66</v>
      </c>
      <c r="L315" s="119">
        <v>0.06</v>
      </c>
      <c r="M315" s="119">
        <v>33.225900000000003</v>
      </c>
      <c r="N315" s="119">
        <v>7.41</v>
      </c>
    </row>
    <row r="316" spans="1:14" ht="14.5">
      <c r="A316" s="119">
        <v>68</v>
      </c>
      <c r="B316" s="119" t="s">
        <v>175</v>
      </c>
      <c r="C316" s="119">
        <v>6</v>
      </c>
      <c r="D316" s="119">
        <v>6</v>
      </c>
      <c r="E316" s="119">
        <v>314</v>
      </c>
      <c r="F316" s="119">
        <v>6.56</v>
      </c>
      <c r="G316" s="119">
        <v>102.8</v>
      </c>
      <c r="H316" s="119">
        <v>101.3</v>
      </c>
      <c r="I316" s="119">
        <v>5.4806999999999997</v>
      </c>
      <c r="J316" s="119">
        <v>3.1844000000000001</v>
      </c>
      <c r="K316" s="119">
        <v>65.599999999999994</v>
      </c>
      <c r="L316" s="119">
        <v>7.0000000000000007E-2</v>
      </c>
      <c r="M316" s="119">
        <v>32.6113</v>
      </c>
      <c r="N316" s="119">
        <v>7.58</v>
      </c>
    </row>
    <row r="317" spans="1:14" ht="14.5">
      <c r="A317" s="119">
        <v>68</v>
      </c>
      <c r="B317" s="119" t="s">
        <v>175</v>
      </c>
      <c r="C317" s="119">
        <v>7</v>
      </c>
      <c r="D317" s="119">
        <v>7</v>
      </c>
      <c r="E317" s="119">
        <v>315</v>
      </c>
      <c r="F317" s="119">
        <v>6.5540000000000003</v>
      </c>
      <c r="G317" s="119">
        <v>102.9</v>
      </c>
      <c r="H317" s="119">
        <v>101.4</v>
      </c>
      <c r="I317" s="119">
        <v>5.4802999999999997</v>
      </c>
      <c r="J317" s="119">
        <v>3.1844999999999999</v>
      </c>
      <c r="K317" s="119">
        <v>65.599999999999994</v>
      </c>
      <c r="L317" s="119">
        <v>7.0000000000000007E-2</v>
      </c>
      <c r="M317" s="119">
        <v>32.613799999999998</v>
      </c>
      <c r="N317" s="119">
        <v>7.57</v>
      </c>
    </row>
    <row r="318" spans="1:14" ht="14.5">
      <c r="A318" s="119">
        <v>68</v>
      </c>
      <c r="B318" s="119" t="s">
        <v>175</v>
      </c>
      <c r="C318" s="119">
        <v>8</v>
      </c>
      <c r="D318" s="119">
        <v>8</v>
      </c>
      <c r="E318" s="119">
        <v>316</v>
      </c>
      <c r="F318" s="119">
        <v>6.5410000000000004</v>
      </c>
      <c r="G318" s="119">
        <v>102.5</v>
      </c>
      <c r="H318" s="119">
        <v>101</v>
      </c>
      <c r="I318" s="119">
        <v>5.4809000000000001</v>
      </c>
      <c r="J318" s="119">
        <v>3.1842999999999999</v>
      </c>
      <c r="K318" s="119">
        <v>65.599999999999994</v>
      </c>
      <c r="L318" s="119">
        <v>7.0000000000000007E-2</v>
      </c>
      <c r="M318" s="119">
        <v>32.610700000000001</v>
      </c>
      <c r="N318" s="119">
        <v>7.58</v>
      </c>
    </row>
    <row r="319" spans="1:14" ht="14.5">
      <c r="A319" s="119">
        <v>68</v>
      </c>
      <c r="B319" s="119" t="s">
        <v>175</v>
      </c>
      <c r="C319" s="119">
        <v>9</v>
      </c>
      <c r="D319" s="119">
        <v>9</v>
      </c>
      <c r="E319" s="119">
        <v>317</v>
      </c>
      <c r="F319" s="119">
        <v>7.0629999999999997</v>
      </c>
      <c r="G319" s="119">
        <v>75.900000000000006</v>
      </c>
      <c r="H319" s="119">
        <v>74.599999999999994</v>
      </c>
      <c r="I319" s="119">
        <v>5.7202000000000002</v>
      </c>
      <c r="J319" s="119">
        <v>3.1903000000000001</v>
      </c>
      <c r="K319" s="119">
        <v>62</v>
      </c>
      <c r="L319" s="119">
        <v>0.16</v>
      </c>
      <c r="M319" s="119">
        <v>32.459699999999998</v>
      </c>
      <c r="N319" s="119">
        <v>7.62</v>
      </c>
    </row>
    <row r="320" spans="1:14" ht="14.5">
      <c r="A320" s="119">
        <v>68</v>
      </c>
      <c r="B320" s="119" t="s">
        <v>175</v>
      </c>
      <c r="C320" s="119">
        <v>10</v>
      </c>
      <c r="D320" s="119">
        <v>10</v>
      </c>
      <c r="E320" s="119">
        <v>318</v>
      </c>
      <c r="F320" s="119">
        <v>7.0819999999999999</v>
      </c>
      <c r="G320" s="119">
        <v>49.5</v>
      </c>
      <c r="H320" s="119">
        <v>48.5</v>
      </c>
      <c r="I320" s="119">
        <v>5.7218</v>
      </c>
      <c r="J320" s="119">
        <v>3.1890999999999998</v>
      </c>
      <c r="K320" s="119">
        <v>61.5</v>
      </c>
      <c r="L320" s="119">
        <v>0.17</v>
      </c>
      <c r="M320" s="119">
        <v>32.458500000000001</v>
      </c>
      <c r="N320" s="119">
        <v>7.62</v>
      </c>
    </row>
    <row r="321" spans="1:28" ht="14.5">
      <c r="A321" s="119">
        <v>68</v>
      </c>
      <c r="B321" s="119" t="s">
        <v>175</v>
      </c>
      <c r="C321" s="119">
        <v>11</v>
      </c>
      <c r="D321" s="119">
        <v>11</v>
      </c>
      <c r="E321" s="119">
        <v>319</v>
      </c>
      <c r="F321" s="119">
        <v>7.0720000000000001</v>
      </c>
      <c r="G321" s="119">
        <v>50.2</v>
      </c>
      <c r="H321" s="119">
        <v>49.2</v>
      </c>
      <c r="I321" s="119">
        <v>5.7218</v>
      </c>
      <c r="J321" s="119">
        <v>3.1892</v>
      </c>
      <c r="K321" s="119">
        <v>61.5</v>
      </c>
      <c r="L321" s="119">
        <v>0.17</v>
      </c>
      <c r="M321" s="119">
        <v>32.458500000000001</v>
      </c>
      <c r="N321" s="119">
        <v>7.62</v>
      </c>
    </row>
    <row r="322" spans="1:28" ht="14.5">
      <c r="A322" s="119">
        <v>68</v>
      </c>
      <c r="B322" s="119" t="s">
        <v>175</v>
      </c>
      <c r="C322" s="119">
        <v>12</v>
      </c>
      <c r="D322" s="119">
        <v>12</v>
      </c>
      <c r="E322" s="119">
        <v>320</v>
      </c>
      <c r="F322" s="119">
        <v>7.0869999999999997</v>
      </c>
      <c r="G322" s="119">
        <v>50.7</v>
      </c>
      <c r="H322" s="119">
        <v>49.6</v>
      </c>
      <c r="I322" s="119">
        <v>5.7217000000000002</v>
      </c>
      <c r="J322" s="119">
        <v>3.1892</v>
      </c>
      <c r="K322" s="119">
        <v>61.5</v>
      </c>
      <c r="L322" s="119">
        <v>0.17</v>
      </c>
      <c r="M322" s="119">
        <v>32.458599999999997</v>
      </c>
      <c r="N322" s="119">
        <v>7.62</v>
      </c>
    </row>
    <row r="323" spans="1:28" ht="14.5">
      <c r="A323" s="119">
        <v>68</v>
      </c>
      <c r="B323" s="119" t="s">
        <v>175</v>
      </c>
      <c r="C323" s="119">
        <v>13</v>
      </c>
      <c r="D323" s="119">
        <v>13</v>
      </c>
      <c r="E323" s="119">
        <v>321</v>
      </c>
      <c r="F323" s="119">
        <v>7.0970000000000004</v>
      </c>
      <c r="G323" s="119">
        <v>25.6</v>
      </c>
      <c r="H323" s="119">
        <v>24.7</v>
      </c>
      <c r="I323" s="119">
        <v>5.7188999999999997</v>
      </c>
      <c r="J323" s="119">
        <v>3.1878000000000002</v>
      </c>
      <c r="K323" s="119">
        <v>61.4</v>
      </c>
      <c r="L323" s="119">
        <v>0.18</v>
      </c>
      <c r="M323" s="119">
        <v>32.458300000000001</v>
      </c>
      <c r="N323" s="119">
        <v>7.63</v>
      </c>
    </row>
    <row r="324" spans="1:28" ht="14.5">
      <c r="A324" s="119">
        <v>68</v>
      </c>
      <c r="B324" s="119" t="s">
        <v>175</v>
      </c>
      <c r="C324" s="119">
        <v>14</v>
      </c>
      <c r="D324" s="119">
        <v>14</v>
      </c>
      <c r="E324" s="119">
        <v>322</v>
      </c>
      <c r="F324" s="119">
        <v>7.0949999999999998</v>
      </c>
      <c r="G324" s="119">
        <v>27</v>
      </c>
      <c r="H324" s="119">
        <v>26.2</v>
      </c>
      <c r="I324" s="119">
        <v>5.7187999999999999</v>
      </c>
      <c r="J324" s="119">
        <v>3.1879</v>
      </c>
      <c r="K324" s="119">
        <v>61.4</v>
      </c>
      <c r="L324" s="119">
        <v>0.18</v>
      </c>
      <c r="M324" s="119">
        <v>32.458300000000001</v>
      </c>
      <c r="N324" s="119">
        <v>7.63</v>
      </c>
    </row>
    <row r="325" spans="1:28" ht="14.5">
      <c r="A325" s="119">
        <v>68</v>
      </c>
      <c r="B325" s="119" t="s">
        <v>175</v>
      </c>
      <c r="C325" s="119">
        <v>15</v>
      </c>
      <c r="D325" s="119">
        <v>15</v>
      </c>
      <c r="E325" s="119">
        <v>323</v>
      </c>
      <c r="F325" s="119">
        <v>7.0890000000000004</v>
      </c>
      <c r="G325" s="119">
        <v>26.3</v>
      </c>
      <c r="H325" s="119">
        <v>25.5</v>
      </c>
      <c r="I325" s="119">
        <v>5.7188999999999997</v>
      </c>
      <c r="J325" s="119">
        <v>3.1879</v>
      </c>
      <c r="K325" s="119">
        <v>61.4</v>
      </c>
      <c r="L325" s="119">
        <v>0.18</v>
      </c>
      <c r="M325" s="119">
        <v>32.458199999999998</v>
      </c>
      <c r="N325" s="119">
        <v>7.63</v>
      </c>
    </row>
    <row r="326" spans="1:28" ht="14.5">
      <c r="A326" s="119">
        <v>68</v>
      </c>
      <c r="B326" s="119" t="s">
        <v>175</v>
      </c>
      <c r="C326" s="119">
        <v>16</v>
      </c>
      <c r="D326" s="119">
        <v>16</v>
      </c>
      <c r="E326" s="119">
        <v>324</v>
      </c>
      <c r="F326" s="119">
        <v>7.04</v>
      </c>
      <c r="G326" s="119">
        <v>5.2</v>
      </c>
      <c r="H326" s="119">
        <v>4.5</v>
      </c>
      <c r="I326" s="119">
        <v>5.7176</v>
      </c>
      <c r="J326" s="119">
        <v>3.1867999999999999</v>
      </c>
      <c r="K326" s="119">
        <v>61.4</v>
      </c>
      <c r="L326" s="119">
        <v>0.18</v>
      </c>
      <c r="M326" s="119">
        <v>32.458199999999998</v>
      </c>
      <c r="N326" s="119">
        <v>7.63</v>
      </c>
    </row>
    <row r="327" spans="1:28" s="159" customFormat="1" ht="14.5">
      <c r="A327" s="119">
        <v>68</v>
      </c>
      <c r="B327" s="119" t="s">
        <v>175</v>
      </c>
      <c r="C327" s="119">
        <v>17</v>
      </c>
      <c r="D327" s="119">
        <v>17</v>
      </c>
      <c r="E327" s="119">
        <v>325</v>
      </c>
      <c r="F327" s="119">
        <v>7.0389999999999997</v>
      </c>
      <c r="G327" s="119">
        <v>5.5</v>
      </c>
      <c r="H327" s="119">
        <v>4.9000000000000004</v>
      </c>
      <c r="I327" s="119">
        <v>5.718</v>
      </c>
      <c r="J327" s="119">
        <v>3.1869000000000001</v>
      </c>
      <c r="K327" s="119">
        <v>61.4</v>
      </c>
      <c r="L327" s="119">
        <v>0.19</v>
      </c>
      <c r="M327" s="119">
        <v>32.458300000000001</v>
      </c>
      <c r="N327" s="119">
        <v>7.63</v>
      </c>
      <c r="O327" s="165"/>
      <c r="P327" s="165"/>
      <c r="Q327" s="167"/>
      <c r="R327" s="167"/>
      <c r="S327" s="167"/>
      <c r="T327" s="167"/>
      <c r="U327" s="170"/>
      <c r="V327" s="170"/>
      <c r="W327" s="172"/>
      <c r="X327" s="168"/>
      <c r="Y327" s="167"/>
    </row>
    <row r="328" spans="1:28" s="159" customFormat="1" ht="14.5">
      <c r="A328" s="119">
        <v>68</v>
      </c>
      <c r="B328" s="119" t="s">
        <v>175</v>
      </c>
      <c r="C328" s="119">
        <v>18</v>
      </c>
      <c r="D328" s="119">
        <v>18</v>
      </c>
      <c r="E328" s="119">
        <v>326</v>
      </c>
      <c r="F328" s="119">
        <v>7.05</v>
      </c>
      <c r="G328" s="119">
        <v>6.6</v>
      </c>
      <c r="H328" s="119">
        <v>5.9</v>
      </c>
      <c r="I328" s="119">
        <v>5.7188999999999997</v>
      </c>
      <c r="J328" s="119">
        <v>3.1869999999999998</v>
      </c>
      <c r="K328" s="119">
        <v>61.3</v>
      </c>
      <c r="L328" s="119">
        <v>0.19</v>
      </c>
      <c r="M328" s="119">
        <v>32.458199999999998</v>
      </c>
      <c r="N328" s="119">
        <v>7.63</v>
      </c>
      <c r="O328" s="165"/>
      <c r="P328" s="165"/>
      <c r="Q328" s="167"/>
      <c r="R328" s="167"/>
      <c r="S328" s="167"/>
      <c r="T328" s="167"/>
      <c r="U328" s="170"/>
      <c r="V328" s="170"/>
      <c r="W328" s="172"/>
      <c r="X328" s="168"/>
      <c r="Y328" s="167"/>
    </row>
    <row r="329" spans="1:28" s="159" customFormat="1" ht="14.5">
      <c r="A329" s="119">
        <v>68</v>
      </c>
      <c r="B329" s="119" t="s">
        <v>175</v>
      </c>
      <c r="C329" s="119">
        <v>19</v>
      </c>
      <c r="D329" s="119">
        <v>19</v>
      </c>
      <c r="E329" s="119">
        <v>327</v>
      </c>
      <c r="F329" s="119">
        <v>7.0389999999999997</v>
      </c>
      <c r="G329" s="119">
        <v>6.5</v>
      </c>
      <c r="H329" s="119">
        <v>5.8</v>
      </c>
      <c r="I329" s="119">
        <v>5.7187999999999999</v>
      </c>
      <c r="J329" s="119">
        <v>3.1869999999999998</v>
      </c>
      <c r="K329" s="119">
        <v>61.4</v>
      </c>
      <c r="L329" s="119">
        <v>0.18</v>
      </c>
      <c r="M329" s="119">
        <v>32.458100000000002</v>
      </c>
      <c r="N329" s="119">
        <v>7.63</v>
      </c>
      <c r="O329" s="165"/>
      <c r="P329" s="165"/>
      <c r="Q329" s="167"/>
      <c r="R329" s="167"/>
      <c r="S329" s="167"/>
      <c r="T329" s="167"/>
      <c r="U329" s="170"/>
      <c r="V329" s="170"/>
      <c r="W329" s="172"/>
      <c r="X329" s="168"/>
      <c r="Y329" s="167"/>
    </row>
    <row r="330" spans="1:28" s="159" customFormat="1" ht="14.5">
      <c r="A330" s="119">
        <v>68</v>
      </c>
      <c r="B330" s="119" t="s">
        <v>175</v>
      </c>
      <c r="C330" s="119">
        <v>20</v>
      </c>
      <c r="D330" s="119">
        <v>20</v>
      </c>
      <c r="E330" s="119">
        <v>328</v>
      </c>
      <c r="F330" s="119">
        <v>7.0410000000000004</v>
      </c>
      <c r="G330" s="119">
        <v>5.6</v>
      </c>
      <c r="H330" s="119">
        <v>5</v>
      </c>
      <c r="I330" s="119">
        <v>5.7184999999999997</v>
      </c>
      <c r="J330" s="119">
        <v>3.1869000000000001</v>
      </c>
      <c r="K330" s="119">
        <v>61.4</v>
      </c>
      <c r="L330" s="119">
        <v>0.19</v>
      </c>
      <c r="M330" s="119">
        <v>32.458199999999998</v>
      </c>
      <c r="N330" s="119">
        <v>7.63</v>
      </c>
      <c r="O330" s="157"/>
      <c r="P330" s="157"/>
      <c r="Q330" s="151"/>
      <c r="R330" s="151"/>
      <c r="S330" s="151"/>
      <c r="T330" s="151"/>
      <c r="U330" s="155"/>
      <c r="V330" s="155"/>
      <c r="W330" s="158"/>
      <c r="X330" s="152"/>
      <c r="Y330" s="151"/>
    </row>
    <row r="331" spans="1:28" s="159" customFormat="1" ht="14.5">
      <c r="A331" s="119">
        <v>72</v>
      </c>
      <c r="B331" s="119" t="s">
        <v>176</v>
      </c>
      <c r="C331" s="119">
        <v>1</v>
      </c>
      <c r="D331" s="119">
        <v>1</v>
      </c>
      <c r="E331" s="119">
        <v>329</v>
      </c>
      <c r="F331" s="119">
        <v>1.339</v>
      </c>
      <c r="G331" s="119">
        <v>301.60000000000002</v>
      </c>
      <c r="H331" s="119">
        <v>298.10000000000002</v>
      </c>
      <c r="I331" s="119">
        <v>4.0007999999999999</v>
      </c>
      <c r="J331" s="119">
        <v>3.1728999999999998</v>
      </c>
      <c r="K331" s="119">
        <v>65.2</v>
      </c>
      <c r="L331" s="119">
        <v>0.06</v>
      </c>
      <c r="M331" s="119">
        <v>33.857900000000001</v>
      </c>
      <c r="N331" s="119">
        <v>7.11</v>
      </c>
      <c r="O331" s="157"/>
      <c r="P331" s="151"/>
      <c r="Q331" s="151"/>
      <c r="R331" s="175"/>
      <c r="S331" s="175"/>
      <c r="T331" s="175"/>
      <c r="U331" s="173"/>
      <c r="V331" s="158"/>
      <c r="W331" s="173"/>
      <c r="X331" s="173"/>
      <c r="Y331" s="175"/>
      <c r="Z331" s="177"/>
      <c r="AA331" s="177"/>
      <c r="AB331" s="152"/>
    </row>
    <row r="332" spans="1:28" s="159" customFormat="1" ht="14.5">
      <c r="A332" s="119">
        <v>72</v>
      </c>
      <c r="B332" s="119" t="s">
        <v>176</v>
      </c>
      <c r="C332" s="119">
        <v>2</v>
      </c>
      <c r="D332" s="119">
        <v>2</v>
      </c>
      <c r="E332" s="119">
        <v>330</v>
      </c>
      <c r="F332" s="119">
        <v>2.3210000000000002</v>
      </c>
      <c r="G332" s="119">
        <v>200.7</v>
      </c>
      <c r="H332" s="119">
        <v>198.3</v>
      </c>
      <c r="I332" s="119">
        <v>4.3731</v>
      </c>
      <c r="J332" s="119">
        <v>3.1898</v>
      </c>
      <c r="K332" s="119">
        <v>65.400000000000006</v>
      </c>
      <c r="L332" s="119">
        <v>0.05</v>
      </c>
      <c r="M332" s="119">
        <v>33.7273</v>
      </c>
      <c r="N332" s="119">
        <v>7.19</v>
      </c>
      <c r="O332" s="248"/>
      <c r="P332" s="173"/>
      <c r="Q332" s="247"/>
      <c r="R332" s="173"/>
      <c r="S332" s="247"/>
      <c r="T332" s="175"/>
      <c r="U332" s="247"/>
      <c r="V332" s="158"/>
      <c r="W332" s="247"/>
      <c r="Y332" s="179"/>
      <c r="AA332" s="180"/>
    </row>
    <row r="333" spans="1:28" s="159" customFormat="1" ht="14.5">
      <c r="A333" s="119">
        <v>72</v>
      </c>
      <c r="B333" s="119" t="s">
        <v>176</v>
      </c>
      <c r="C333" s="119">
        <v>3</v>
      </c>
      <c r="D333" s="119">
        <v>3</v>
      </c>
      <c r="E333" s="119">
        <v>331</v>
      </c>
      <c r="F333" s="119">
        <v>3.64</v>
      </c>
      <c r="G333" s="119">
        <v>149.4</v>
      </c>
      <c r="H333" s="119">
        <v>147.5</v>
      </c>
      <c r="I333" s="119">
        <v>4.8341000000000003</v>
      </c>
      <c r="J333" s="119">
        <v>3.2113</v>
      </c>
      <c r="K333" s="119">
        <v>65.5</v>
      </c>
      <c r="L333" s="119">
        <v>0.05</v>
      </c>
      <c r="M333" s="119">
        <v>33.535899999999998</v>
      </c>
      <c r="N333" s="119">
        <v>7.31</v>
      </c>
      <c r="O333" s="248"/>
      <c r="P333" s="173"/>
      <c r="Q333" s="247"/>
      <c r="R333" s="173"/>
      <c r="S333" s="247"/>
      <c r="T333" s="175"/>
      <c r="U333" s="247"/>
      <c r="V333" s="181"/>
      <c r="W333" s="247"/>
      <c r="X333" s="182"/>
      <c r="Y333" s="183"/>
      <c r="AA333" s="180"/>
    </row>
    <row r="334" spans="1:28" s="190" customFormat="1" ht="14.5">
      <c r="A334" s="119">
        <v>72</v>
      </c>
      <c r="B334" s="119" t="s">
        <v>176</v>
      </c>
      <c r="C334" s="119">
        <v>4</v>
      </c>
      <c r="D334" s="119">
        <v>4</v>
      </c>
      <c r="E334" s="119">
        <v>332</v>
      </c>
      <c r="F334" s="119">
        <v>3.6549999999999998</v>
      </c>
      <c r="G334" s="119">
        <v>150</v>
      </c>
      <c r="H334" s="119">
        <v>148.1</v>
      </c>
      <c r="I334" s="119">
        <v>4.8358999999999996</v>
      </c>
      <c r="J334" s="119">
        <v>3.2115</v>
      </c>
      <c r="K334" s="119">
        <v>65.5</v>
      </c>
      <c r="L334" s="119">
        <v>0.05</v>
      </c>
      <c r="M334" s="119">
        <v>33.536099999999998</v>
      </c>
      <c r="N334" s="119">
        <v>7.31</v>
      </c>
      <c r="O334" s="184"/>
      <c r="P334" s="185"/>
      <c r="Q334" s="185"/>
      <c r="R334" s="185"/>
      <c r="S334" s="185"/>
      <c r="T334" s="187"/>
      <c r="U334" s="187"/>
      <c r="V334" s="185"/>
      <c r="W334" s="189"/>
      <c r="Y334" s="191"/>
      <c r="AA334" s="189"/>
      <c r="AB334" s="186"/>
    </row>
    <row r="335" spans="1:28" ht="14.5">
      <c r="A335" s="119">
        <v>72</v>
      </c>
      <c r="B335" s="119" t="s">
        <v>176</v>
      </c>
      <c r="C335" s="119">
        <v>5</v>
      </c>
      <c r="D335" s="119">
        <v>5</v>
      </c>
      <c r="E335" s="119">
        <v>333</v>
      </c>
      <c r="F335" s="119">
        <v>4.6210000000000004</v>
      </c>
      <c r="G335" s="119">
        <v>125.5</v>
      </c>
      <c r="H335" s="119">
        <v>123.8</v>
      </c>
      <c r="I335" s="119">
        <v>5.1115000000000004</v>
      </c>
      <c r="J335" s="119">
        <v>3.2094999999999998</v>
      </c>
      <c r="K335" s="119">
        <v>65.5</v>
      </c>
      <c r="L335" s="119">
        <v>0.05</v>
      </c>
      <c r="M335" s="119">
        <v>33.2502</v>
      </c>
      <c r="N335" s="119">
        <v>7.4</v>
      </c>
    </row>
    <row r="336" spans="1:28" ht="14.5">
      <c r="A336" s="119">
        <v>72</v>
      </c>
      <c r="B336" s="119" t="s">
        <v>176</v>
      </c>
      <c r="C336" s="119">
        <v>6</v>
      </c>
      <c r="D336" s="119">
        <v>6</v>
      </c>
      <c r="E336" s="119">
        <v>334</v>
      </c>
      <c r="F336" s="119">
        <v>6.968</v>
      </c>
      <c r="G336" s="119">
        <v>100.3</v>
      </c>
      <c r="H336" s="119">
        <v>98.8</v>
      </c>
      <c r="I336" s="119">
        <v>5.1612</v>
      </c>
      <c r="J336" s="119">
        <v>3.1480000000000001</v>
      </c>
      <c r="K336" s="119">
        <v>65.099999999999994</v>
      </c>
      <c r="L336" s="119">
        <v>7.0000000000000007E-2</v>
      </c>
      <c r="M336" s="119">
        <v>32.508699999999997</v>
      </c>
      <c r="N336" s="119">
        <v>7.59</v>
      </c>
    </row>
    <row r="337" spans="1:28" ht="14.5">
      <c r="A337" s="119">
        <v>72</v>
      </c>
      <c r="B337" s="119" t="s">
        <v>176</v>
      </c>
      <c r="C337" s="119">
        <v>7</v>
      </c>
      <c r="D337" s="119">
        <v>7</v>
      </c>
      <c r="E337" s="119">
        <v>335</v>
      </c>
      <c r="F337" s="119">
        <v>6.9809999999999999</v>
      </c>
      <c r="G337" s="119">
        <v>100.1</v>
      </c>
      <c r="H337" s="119">
        <v>98.6</v>
      </c>
      <c r="I337" s="119">
        <v>5.1612</v>
      </c>
      <c r="J337" s="119">
        <v>3.1480000000000001</v>
      </c>
      <c r="K337" s="119">
        <v>65</v>
      </c>
      <c r="L337" s="119">
        <v>7.0000000000000007E-2</v>
      </c>
      <c r="M337" s="119">
        <v>32.509099999999997</v>
      </c>
      <c r="N337" s="119">
        <v>7.59</v>
      </c>
    </row>
    <row r="338" spans="1:28" ht="14.5">
      <c r="A338" s="119">
        <v>72</v>
      </c>
      <c r="B338" s="119" t="s">
        <v>176</v>
      </c>
      <c r="C338" s="119">
        <v>8</v>
      </c>
      <c r="D338" s="119">
        <v>8</v>
      </c>
      <c r="E338" s="119">
        <v>336</v>
      </c>
      <c r="F338" s="119">
        <v>6.9740000000000002</v>
      </c>
      <c r="G338" s="119">
        <v>101.6</v>
      </c>
      <c r="H338" s="119">
        <v>100.1</v>
      </c>
      <c r="I338" s="119">
        <v>5.1615000000000002</v>
      </c>
      <c r="J338" s="119">
        <v>3.1480000000000001</v>
      </c>
      <c r="K338" s="119">
        <v>65</v>
      </c>
      <c r="L338" s="119">
        <v>7.0000000000000007E-2</v>
      </c>
      <c r="M338" s="119">
        <v>32.508200000000002</v>
      </c>
      <c r="N338" s="119">
        <v>7.59</v>
      </c>
    </row>
    <row r="339" spans="1:28" ht="14.5">
      <c r="A339" s="119">
        <v>72</v>
      </c>
      <c r="B339" s="119" t="s">
        <v>176</v>
      </c>
      <c r="C339" s="119">
        <v>9</v>
      </c>
      <c r="D339" s="119">
        <v>9</v>
      </c>
      <c r="E339" s="119">
        <v>337</v>
      </c>
      <c r="F339" s="119">
        <v>7.0720000000000001</v>
      </c>
      <c r="G339" s="119">
        <v>74.599999999999994</v>
      </c>
      <c r="H339" s="119">
        <v>73.400000000000006</v>
      </c>
      <c r="I339" s="119">
        <v>5.4012000000000002</v>
      </c>
      <c r="J339" s="119">
        <v>3.165</v>
      </c>
      <c r="K339" s="119">
        <v>64.099999999999994</v>
      </c>
      <c r="L339" s="119">
        <v>0.1</v>
      </c>
      <c r="M339" s="119">
        <v>32.482599999999998</v>
      </c>
      <c r="N339" s="119">
        <v>7.61</v>
      </c>
    </row>
    <row r="340" spans="1:28" ht="14.5">
      <c r="A340" s="119">
        <v>72</v>
      </c>
      <c r="B340" s="119" t="s">
        <v>176</v>
      </c>
      <c r="C340" s="119">
        <v>10</v>
      </c>
      <c r="D340" s="119">
        <v>10</v>
      </c>
      <c r="E340" s="119">
        <v>338</v>
      </c>
      <c r="F340" s="119">
        <v>7.0679999999999996</v>
      </c>
      <c r="G340" s="119">
        <v>74.3</v>
      </c>
      <c r="H340" s="119">
        <v>73</v>
      </c>
      <c r="I340" s="119">
        <v>5.4047000000000001</v>
      </c>
      <c r="J340" s="119">
        <v>3.1652999999999998</v>
      </c>
      <c r="K340" s="119">
        <v>64</v>
      </c>
      <c r="L340" s="119">
        <v>0.09</v>
      </c>
      <c r="M340" s="119">
        <v>32.482999999999997</v>
      </c>
      <c r="N340" s="119">
        <v>7.61</v>
      </c>
    </row>
    <row r="341" spans="1:28" ht="14.5">
      <c r="A341" s="119">
        <v>72</v>
      </c>
      <c r="B341" s="119" t="s">
        <v>176</v>
      </c>
      <c r="C341" s="119">
        <v>11</v>
      </c>
      <c r="D341" s="119">
        <v>11</v>
      </c>
      <c r="E341" s="119">
        <v>339</v>
      </c>
      <c r="F341" s="119">
        <v>7.0570000000000004</v>
      </c>
      <c r="G341" s="119">
        <v>75.099999999999994</v>
      </c>
      <c r="H341" s="119">
        <v>73.900000000000006</v>
      </c>
      <c r="I341" s="119">
        <v>5.3993000000000002</v>
      </c>
      <c r="J341" s="119">
        <v>3.165</v>
      </c>
      <c r="K341" s="119">
        <v>64.099999999999994</v>
      </c>
      <c r="L341" s="119">
        <v>0.09</v>
      </c>
      <c r="M341" s="119">
        <v>32.483800000000002</v>
      </c>
      <c r="N341" s="119">
        <v>7.61</v>
      </c>
    </row>
    <row r="342" spans="1:28" ht="14.5">
      <c r="A342" s="119">
        <v>72</v>
      </c>
      <c r="B342" s="119" t="s">
        <v>176</v>
      </c>
      <c r="C342" s="119">
        <v>12</v>
      </c>
      <c r="D342" s="119">
        <v>12</v>
      </c>
      <c r="E342" s="119">
        <v>340</v>
      </c>
      <c r="F342" s="119">
        <v>7.0659999999999998</v>
      </c>
      <c r="G342" s="119">
        <v>74.2</v>
      </c>
      <c r="H342" s="119">
        <v>73</v>
      </c>
      <c r="I342" s="119">
        <v>5.4024000000000001</v>
      </c>
      <c r="J342" s="119">
        <v>3.1650999999999998</v>
      </c>
      <c r="K342" s="119">
        <v>64</v>
      </c>
      <c r="L342" s="119">
        <v>0.1</v>
      </c>
      <c r="M342" s="119">
        <v>32.482999999999997</v>
      </c>
      <c r="N342" s="119">
        <v>7.61</v>
      </c>
    </row>
    <row r="343" spans="1:28" s="159" customFormat="1" ht="14.5">
      <c r="A343" s="119">
        <v>72</v>
      </c>
      <c r="B343" s="119" t="s">
        <v>176</v>
      </c>
      <c r="C343" s="119">
        <v>13</v>
      </c>
      <c r="D343" s="119">
        <v>13</v>
      </c>
      <c r="E343" s="119">
        <v>341</v>
      </c>
      <c r="F343" s="119">
        <v>7.1020000000000003</v>
      </c>
      <c r="G343" s="119">
        <v>25</v>
      </c>
      <c r="H343" s="119">
        <v>24.2</v>
      </c>
      <c r="I343" s="119">
        <v>5.5030000000000001</v>
      </c>
      <c r="J343" s="119">
        <v>3.1705999999999999</v>
      </c>
      <c r="K343" s="119">
        <v>61.4</v>
      </c>
      <c r="L343" s="119">
        <v>0.17</v>
      </c>
      <c r="M343" s="119">
        <v>32.471899999999998</v>
      </c>
      <c r="N343" s="119">
        <v>7.62</v>
      </c>
      <c r="O343" s="165"/>
      <c r="P343" s="165"/>
      <c r="Q343" s="167"/>
      <c r="R343" s="167"/>
      <c r="S343" s="167"/>
      <c r="T343" s="167"/>
      <c r="U343" s="170"/>
      <c r="V343" s="170"/>
      <c r="W343" s="172"/>
      <c r="X343" s="168"/>
      <c r="Y343" s="167"/>
    </row>
    <row r="344" spans="1:28" s="159" customFormat="1" ht="14.5">
      <c r="A344" s="119">
        <v>72</v>
      </c>
      <c r="B344" s="119" t="s">
        <v>176</v>
      </c>
      <c r="C344" s="119">
        <v>14</v>
      </c>
      <c r="D344" s="119">
        <v>14</v>
      </c>
      <c r="E344" s="119">
        <v>342</v>
      </c>
      <c r="F344" s="119">
        <v>7.1020000000000003</v>
      </c>
      <c r="G344" s="119">
        <v>25.6</v>
      </c>
      <c r="H344" s="119">
        <v>24.8</v>
      </c>
      <c r="I344" s="119">
        <v>5.5030999999999999</v>
      </c>
      <c r="J344" s="119">
        <v>3.1705999999999999</v>
      </c>
      <c r="K344" s="119">
        <v>61.4</v>
      </c>
      <c r="L344" s="119">
        <v>0.17</v>
      </c>
      <c r="M344" s="119">
        <v>32.471800000000002</v>
      </c>
      <c r="N344" s="119">
        <v>7.62</v>
      </c>
      <c r="O344" s="165"/>
      <c r="P344" s="165"/>
      <c r="Q344" s="167"/>
      <c r="R344" s="167"/>
      <c r="S344" s="167"/>
      <c r="T344" s="167"/>
      <c r="U344" s="170"/>
      <c r="V344" s="170"/>
      <c r="W344" s="172"/>
      <c r="X344" s="168"/>
      <c r="Y344" s="167"/>
    </row>
    <row r="345" spans="1:28" s="159" customFormat="1" ht="14.5">
      <c r="A345" s="119">
        <v>72</v>
      </c>
      <c r="B345" s="119" t="s">
        <v>176</v>
      </c>
      <c r="C345" s="119">
        <v>15</v>
      </c>
      <c r="D345" s="119">
        <v>15</v>
      </c>
      <c r="E345" s="119">
        <v>343</v>
      </c>
      <c r="F345" s="119">
        <v>7.1109999999999998</v>
      </c>
      <c r="G345" s="119">
        <v>25.2</v>
      </c>
      <c r="H345" s="119">
        <v>24.4</v>
      </c>
      <c r="I345" s="119">
        <v>5.5030999999999999</v>
      </c>
      <c r="J345" s="119">
        <v>3.1705999999999999</v>
      </c>
      <c r="K345" s="119">
        <v>61.3</v>
      </c>
      <c r="L345" s="119">
        <v>0.17</v>
      </c>
      <c r="M345" s="119">
        <v>32.471899999999998</v>
      </c>
      <c r="N345" s="119">
        <v>7.62</v>
      </c>
      <c r="O345" s="157"/>
      <c r="P345" s="157"/>
      <c r="Q345" s="151"/>
      <c r="R345" s="151"/>
      <c r="S345" s="151"/>
      <c r="T345" s="151"/>
      <c r="U345" s="155"/>
      <c r="V345" s="155"/>
      <c r="W345" s="158"/>
      <c r="X345" s="152"/>
      <c r="Y345" s="151"/>
    </row>
    <row r="346" spans="1:28" s="159" customFormat="1" ht="14.5">
      <c r="A346" s="119">
        <v>72</v>
      </c>
      <c r="B346" s="119" t="s">
        <v>176</v>
      </c>
      <c r="C346" s="119">
        <v>16</v>
      </c>
      <c r="D346" s="119">
        <v>16</v>
      </c>
      <c r="E346" s="119">
        <v>344</v>
      </c>
      <c r="F346" s="119">
        <v>7.0979999999999999</v>
      </c>
      <c r="G346" s="119">
        <v>6.6</v>
      </c>
      <c r="H346" s="119">
        <v>6</v>
      </c>
      <c r="I346" s="119">
        <v>5.5018000000000002</v>
      </c>
      <c r="J346" s="119">
        <v>3.1697000000000002</v>
      </c>
      <c r="K346" s="119">
        <v>61.3</v>
      </c>
      <c r="L346" s="119">
        <v>0.17</v>
      </c>
      <c r="M346" s="119">
        <v>32.472000000000001</v>
      </c>
      <c r="N346" s="119">
        <v>7.62</v>
      </c>
      <c r="O346" s="157"/>
      <c r="P346" s="151"/>
      <c r="Q346" s="151"/>
      <c r="R346" s="175"/>
      <c r="S346" s="175"/>
      <c r="T346" s="175"/>
      <c r="U346" s="173"/>
      <c r="V346" s="158"/>
      <c r="W346" s="173"/>
      <c r="X346" s="173"/>
      <c r="Y346" s="175"/>
      <c r="Z346" s="177"/>
      <c r="AA346" s="177"/>
      <c r="AB346" s="152"/>
    </row>
    <row r="347" spans="1:28" s="159" customFormat="1" ht="14.5">
      <c r="A347" s="119">
        <v>72</v>
      </c>
      <c r="B347" s="119" t="s">
        <v>176</v>
      </c>
      <c r="C347" s="119">
        <v>17</v>
      </c>
      <c r="D347" s="119">
        <v>17</v>
      </c>
      <c r="E347" s="119">
        <v>345</v>
      </c>
      <c r="F347" s="119">
        <v>7.09</v>
      </c>
      <c r="G347" s="119">
        <v>6.4</v>
      </c>
      <c r="H347" s="119">
        <v>5.8</v>
      </c>
      <c r="I347" s="119">
        <v>5.5019999999999998</v>
      </c>
      <c r="J347" s="119">
        <v>3.1697000000000002</v>
      </c>
      <c r="K347" s="119">
        <v>61.3</v>
      </c>
      <c r="L347" s="119">
        <v>0.17</v>
      </c>
      <c r="M347" s="119">
        <v>32.471899999999998</v>
      </c>
      <c r="N347" s="119">
        <v>7.62</v>
      </c>
      <c r="O347" s="248"/>
      <c r="P347" s="173"/>
      <c r="Q347" s="247"/>
      <c r="R347" s="173"/>
      <c r="S347" s="247"/>
      <c r="T347" s="175"/>
      <c r="U347" s="247"/>
      <c r="V347" s="158"/>
      <c r="W347" s="247"/>
      <c r="Y347" s="179"/>
      <c r="AA347" s="180"/>
    </row>
    <row r="348" spans="1:28" s="159" customFormat="1" ht="14.5">
      <c r="A348" s="119">
        <v>72</v>
      </c>
      <c r="B348" s="119" t="s">
        <v>176</v>
      </c>
      <c r="C348" s="119">
        <v>18</v>
      </c>
      <c r="D348" s="119">
        <v>18</v>
      </c>
      <c r="E348" s="119">
        <v>346</v>
      </c>
      <c r="F348" s="119">
        <v>7.0919999999999996</v>
      </c>
      <c r="G348" s="119">
        <v>6</v>
      </c>
      <c r="H348" s="119">
        <v>5.3</v>
      </c>
      <c r="I348" s="119">
        <v>5.5018000000000002</v>
      </c>
      <c r="J348" s="119">
        <v>3.1697000000000002</v>
      </c>
      <c r="K348" s="119">
        <v>61.4</v>
      </c>
      <c r="L348" s="119">
        <v>0.17</v>
      </c>
      <c r="M348" s="119">
        <v>32.471899999999998</v>
      </c>
      <c r="N348" s="119">
        <v>7.62</v>
      </c>
      <c r="O348" s="248"/>
      <c r="P348" s="173"/>
      <c r="Q348" s="247"/>
      <c r="R348" s="173"/>
      <c r="S348" s="247"/>
      <c r="T348" s="175"/>
      <c r="U348" s="247"/>
      <c r="V348" s="181"/>
      <c r="W348" s="247"/>
      <c r="X348" s="182"/>
      <c r="Y348" s="183"/>
      <c r="AA348" s="180"/>
    </row>
    <row r="349" spans="1:28" s="190" customFormat="1" ht="14.5">
      <c r="A349" s="119">
        <v>72</v>
      </c>
      <c r="B349" s="119" t="s">
        <v>176</v>
      </c>
      <c r="C349" s="119">
        <v>19</v>
      </c>
      <c r="D349" s="119">
        <v>19</v>
      </c>
      <c r="E349" s="119">
        <v>347</v>
      </c>
      <c r="F349" s="119">
        <v>7.0979999999999999</v>
      </c>
      <c r="G349" s="119">
        <v>6.2</v>
      </c>
      <c r="H349" s="119">
        <v>5.5</v>
      </c>
      <c r="I349" s="119">
        <v>5.5019</v>
      </c>
      <c r="J349" s="119">
        <v>3.1697000000000002</v>
      </c>
      <c r="K349" s="119">
        <v>61.3</v>
      </c>
      <c r="L349" s="119">
        <v>0.17</v>
      </c>
      <c r="M349" s="119">
        <v>32.471899999999998</v>
      </c>
      <c r="N349" s="119">
        <v>7.62</v>
      </c>
      <c r="O349" s="184"/>
      <c r="P349" s="185"/>
      <c r="Q349" s="185"/>
      <c r="R349" s="185"/>
      <c r="S349" s="185"/>
      <c r="T349" s="187"/>
      <c r="U349" s="187"/>
      <c r="V349" s="185"/>
      <c r="W349" s="189"/>
      <c r="Y349" s="191"/>
      <c r="AA349" s="189"/>
      <c r="AB349" s="186"/>
    </row>
    <row r="350" spans="1:28" ht="14.5">
      <c r="A350" s="119">
        <v>72</v>
      </c>
      <c r="B350" s="119" t="s">
        <v>176</v>
      </c>
      <c r="C350" s="119">
        <v>20</v>
      </c>
      <c r="D350" s="119">
        <v>20</v>
      </c>
      <c r="E350" s="119">
        <v>348</v>
      </c>
      <c r="F350" s="119">
        <v>7.0990000000000002</v>
      </c>
      <c r="G350" s="119">
        <v>6.4</v>
      </c>
      <c r="H350" s="119">
        <v>5.8</v>
      </c>
      <c r="I350" s="119">
        <v>5.5022000000000002</v>
      </c>
      <c r="J350" s="119">
        <v>3.1697000000000002</v>
      </c>
      <c r="K350" s="119">
        <v>61.3</v>
      </c>
      <c r="L350" s="119">
        <v>0.17</v>
      </c>
      <c r="M350" s="119">
        <v>32.472000000000001</v>
      </c>
      <c r="N350" s="119">
        <v>7.62</v>
      </c>
    </row>
    <row r="351" spans="1:28" ht="14.5">
      <c r="A351" s="119">
        <v>76</v>
      </c>
      <c r="B351" s="119" t="s">
        <v>177</v>
      </c>
      <c r="C351" s="119">
        <v>1</v>
      </c>
      <c r="D351" s="119">
        <v>1</v>
      </c>
      <c r="E351" s="119">
        <v>349</v>
      </c>
      <c r="F351" s="119">
        <v>1.119</v>
      </c>
      <c r="G351" s="119">
        <v>301.2</v>
      </c>
      <c r="H351" s="119">
        <v>297.8</v>
      </c>
      <c r="I351" s="119">
        <v>4.1250999999999998</v>
      </c>
      <c r="J351" s="119">
        <v>3.1861000000000002</v>
      </c>
      <c r="K351" s="119">
        <v>63.8</v>
      </c>
      <c r="L351" s="119">
        <v>0.05</v>
      </c>
      <c r="M351" s="119">
        <v>33.8855</v>
      </c>
      <c r="N351" s="119">
        <v>7.1</v>
      </c>
    </row>
    <row r="352" spans="1:28" ht="14.5">
      <c r="A352" s="119">
        <v>76</v>
      </c>
      <c r="B352" s="119" t="s">
        <v>177</v>
      </c>
      <c r="C352" s="119">
        <v>2</v>
      </c>
      <c r="D352" s="119">
        <v>2</v>
      </c>
      <c r="E352" s="119">
        <v>350</v>
      </c>
      <c r="F352" s="119">
        <v>1.9319999999999999</v>
      </c>
      <c r="G352" s="119">
        <v>201.3</v>
      </c>
      <c r="H352" s="119">
        <v>198.8</v>
      </c>
      <c r="I352" s="119">
        <v>4.5610999999999997</v>
      </c>
      <c r="J352" s="119">
        <v>3.2105999999999999</v>
      </c>
      <c r="K352" s="119">
        <v>63.5</v>
      </c>
      <c r="L352" s="119">
        <v>0.05</v>
      </c>
      <c r="M352" s="119">
        <v>33.778700000000001</v>
      </c>
      <c r="N352" s="119">
        <v>7.17</v>
      </c>
    </row>
    <row r="353" spans="1:14" ht="14.5">
      <c r="A353" s="119">
        <v>76</v>
      </c>
      <c r="B353" s="119" t="s">
        <v>177</v>
      </c>
      <c r="C353" s="119">
        <v>3</v>
      </c>
      <c r="D353" s="119">
        <v>3</v>
      </c>
      <c r="E353" s="119">
        <v>351</v>
      </c>
      <c r="F353" s="119">
        <v>3.4649999999999999</v>
      </c>
      <c r="G353" s="119">
        <v>149.6</v>
      </c>
      <c r="H353" s="119">
        <v>147.6</v>
      </c>
      <c r="I353" s="119">
        <v>4.8013000000000003</v>
      </c>
      <c r="J353" s="119">
        <v>3.2109999999999999</v>
      </c>
      <c r="K353" s="119">
        <v>63.6</v>
      </c>
      <c r="L353" s="119">
        <v>0.05</v>
      </c>
      <c r="M353" s="119">
        <v>33.5655</v>
      </c>
      <c r="N353" s="119">
        <v>7.3</v>
      </c>
    </row>
    <row r="354" spans="1:14" ht="14.5">
      <c r="A354" s="119">
        <v>76</v>
      </c>
      <c r="B354" s="119" t="s">
        <v>177</v>
      </c>
      <c r="C354" s="119">
        <v>4</v>
      </c>
      <c r="D354" s="119">
        <v>4</v>
      </c>
      <c r="E354" s="119">
        <v>352</v>
      </c>
      <c r="F354" s="119">
        <v>3.4660000000000002</v>
      </c>
      <c r="G354" s="119">
        <v>149.80000000000001</v>
      </c>
      <c r="H354" s="119">
        <v>147.9</v>
      </c>
      <c r="I354" s="119">
        <v>4.7991000000000001</v>
      </c>
      <c r="J354" s="119">
        <v>3.2109999999999999</v>
      </c>
      <c r="K354" s="119">
        <v>63.6</v>
      </c>
      <c r="L354" s="119">
        <v>0.05</v>
      </c>
      <c r="M354" s="119">
        <v>33.567799999999998</v>
      </c>
      <c r="N354" s="119">
        <v>7.3</v>
      </c>
    </row>
    <row r="355" spans="1:14" ht="14.5">
      <c r="A355" s="119">
        <v>76</v>
      </c>
      <c r="B355" s="119" t="s">
        <v>177</v>
      </c>
      <c r="C355" s="119">
        <v>5</v>
      </c>
      <c r="D355" s="119">
        <v>5</v>
      </c>
      <c r="E355" s="119">
        <v>353</v>
      </c>
      <c r="F355" s="119">
        <v>4.5949999999999998</v>
      </c>
      <c r="G355" s="119">
        <v>124.6</v>
      </c>
      <c r="H355" s="119">
        <v>122.9</v>
      </c>
      <c r="I355" s="119">
        <v>4.9490999999999996</v>
      </c>
      <c r="J355" s="119">
        <v>3.1928000000000001</v>
      </c>
      <c r="K355" s="119">
        <v>63.6</v>
      </c>
      <c r="L355" s="119">
        <v>0.05</v>
      </c>
      <c r="M355" s="119">
        <v>33.22</v>
      </c>
      <c r="N355" s="119">
        <v>7.4</v>
      </c>
    </row>
    <row r="356" spans="1:14" ht="14.5">
      <c r="A356" s="119">
        <v>76</v>
      </c>
      <c r="B356" s="119" t="s">
        <v>177</v>
      </c>
      <c r="C356" s="119">
        <v>6</v>
      </c>
      <c r="D356" s="119">
        <v>6</v>
      </c>
      <c r="E356" s="119">
        <v>354</v>
      </c>
      <c r="F356" s="119">
        <v>7.0110000000000001</v>
      </c>
      <c r="G356" s="119">
        <v>100</v>
      </c>
      <c r="H356" s="119">
        <v>98.5</v>
      </c>
      <c r="I356" s="119">
        <v>4.8680000000000003</v>
      </c>
      <c r="J356" s="119">
        <v>3.1252</v>
      </c>
      <c r="K356" s="119">
        <v>62.9</v>
      </c>
      <c r="L356" s="119">
        <v>0.08</v>
      </c>
      <c r="M356" s="119">
        <v>32.533000000000001</v>
      </c>
      <c r="N356" s="119">
        <v>7.58</v>
      </c>
    </row>
    <row r="357" spans="1:14" ht="14.5">
      <c r="A357" s="119">
        <v>76</v>
      </c>
      <c r="B357" s="119" t="s">
        <v>177</v>
      </c>
      <c r="C357" s="119">
        <v>7</v>
      </c>
      <c r="D357" s="119">
        <v>7</v>
      </c>
      <c r="E357" s="119">
        <v>355</v>
      </c>
      <c r="F357" s="119">
        <v>7.0259999999999998</v>
      </c>
      <c r="G357" s="119">
        <v>99.8</v>
      </c>
      <c r="H357" s="119">
        <v>98.3</v>
      </c>
      <c r="I357" s="119">
        <v>4.8638000000000003</v>
      </c>
      <c r="J357" s="119">
        <v>3.1248</v>
      </c>
      <c r="K357" s="119">
        <v>62.8</v>
      </c>
      <c r="L357" s="119">
        <v>0.08</v>
      </c>
      <c r="M357" s="119">
        <v>32.533200000000001</v>
      </c>
      <c r="N357" s="119">
        <v>7.59</v>
      </c>
    </row>
    <row r="358" spans="1:14" ht="14.5">
      <c r="A358" s="119">
        <v>76</v>
      </c>
      <c r="B358" s="119" t="s">
        <v>177</v>
      </c>
      <c r="C358" s="119">
        <v>8</v>
      </c>
      <c r="D358" s="119">
        <v>8</v>
      </c>
      <c r="E358" s="119">
        <v>356</v>
      </c>
      <c r="F358" s="119">
        <v>7.0110000000000001</v>
      </c>
      <c r="G358" s="119">
        <v>100.6</v>
      </c>
      <c r="H358" s="119">
        <v>99.1</v>
      </c>
      <c r="I358" s="119">
        <v>4.8559000000000001</v>
      </c>
      <c r="J358" s="119">
        <v>3.1242000000000001</v>
      </c>
      <c r="K358" s="119">
        <v>62.9</v>
      </c>
      <c r="L358" s="119">
        <v>0.08</v>
      </c>
      <c r="M358" s="119">
        <v>32.533499999999997</v>
      </c>
      <c r="N358" s="119">
        <v>7.59</v>
      </c>
    </row>
    <row r="359" spans="1:14" ht="14.5">
      <c r="A359" s="119">
        <v>76</v>
      </c>
      <c r="B359" s="119" t="s">
        <v>177</v>
      </c>
      <c r="C359" s="119">
        <v>9</v>
      </c>
      <c r="D359" s="119">
        <v>9</v>
      </c>
      <c r="E359" s="119">
        <v>357</v>
      </c>
      <c r="F359" s="119">
        <v>7.1269999999999998</v>
      </c>
      <c r="G359" s="119">
        <v>75.3</v>
      </c>
      <c r="H359" s="119">
        <v>74</v>
      </c>
      <c r="I359" s="119">
        <v>5.1977000000000002</v>
      </c>
      <c r="J359" s="119">
        <v>3.1482999999999999</v>
      </c>
      <c r="K359" s="119">
        <v>60.4</v>
      </c>
      <c r="L359" s="119">
        <v>0.13</v>
      </c>
      <c r="M359" s="119">
        <v>32.489600000000003</v>
      </c>
      <c r="N359" s="119">
        <v>7.61</v>
      </c>
    </row>
    <row r="360" spans="1:14" ht="14.5">
      <c r="A360" s="119">
        <v>76</v>
      </c>
      <c r="B360" s="119" t="s">
        <v>177</v>
      </c>
      <c r="C360" s="119">
        <v>10</v>
      </c>
      <c r="D360" s="119">
        <v>10</v>
      </c>
      <c r="E360" s="119">
        <v>358</v>
      </c>
      <c r="F360" s="119">
        <v>7.13</v>
      </c>
      <c r="G360" s="119">
        <v>52.6</v>
      </c>
      <c r="H360" s="119">
        <v>51.5</v>
      </c>
      <c r="I360" s="119">
        <v>5.1988000000000003</v>
      </c>
      <c r="J360" s="119">
        <v>3.1475</v>
      </c>
      <c r="K360" s="119">
        <v>60.4</v>
      </c>
      <c r="L360" s="119">
        <v>0.14000000000000001</v>
      </c>
      <c r="M360" s="119">
        <v>32.489899999999999</v>
      </c>
      <c r="N360" s="119">
        <v>7.61</v>
      </c>
    </row>
    <row r="361" spans="1:14" ht="14.5">
      <c r="A361" s="119">
        <v>76</v>
      </c>
      <c r="B361" s="119" t="s">
        <v>177</v>
      </c>
      <c r="C361" s="119">
        <v>11</v>
      </c>
      <c r="D361" s="119">
        <v>11</v>
      </c>
      <c r="E361" s="119">
        <v>359</v>
      </c>
      <c r="F361" s="119">
        <v>7.125</v>
      </c>
      <c r="G361" s="119">
        <v>52.6</v>
      </c>
      <c r="H361" s="119">
        <v>51.5</v>
      </c>
      <c r="I361" s="119">
        <v>5.1985999999999999</v>
      </c>
      <c r="J361" s="119">
        <v>3.1474000000000002</v>
      </c>
      <c r="K361" s="119">
        <v>60.4</v>
      </c>
      <c r="L361" s="119">
        <v>0.14000000000000001</v>
      </c>
      <c r="M361" s="119">
        <v>32.489800000000002</v>
      </c>
      <c r="N361" s="119">
        <v>7.61</v>
      </c>
    </row>
    <row r="362" spans="1:14" ht="14.5">
      <c r="A362" s="119">
        <v>76</v>
      </c>
      <c r="B362" s="119" t="s">
        <v>177</v>
      </c>
      <c r="C362" s="119">
        <v>12</v>
      </c>
      <c r="D362" s="119">
        <v>12</v>
      </c>
      <c r="E362" s="119">
        <v>360</v>
      </c>
      <c r="F362" s="119">
        <v>7.1360000000000001</v>
      </c>
      <c r="G362" s="119">
        <v>52.8</v>
      </c>
      <c r="H362" s="119">
        <v>51.7</v>
      </c>
      <c r="I362" s="119">
        <v>5.1974</v>
      </c>
      <c r="J362" s="119">
        <v>3.1473</v>
      </c>
      <c r="K362" s="119">
        <v>60.3</v>
      </c>
      <c r="L362" s="119">
        <v>0.14000000000000001</v>
      </c>
      <c r="M362" s="119">
        <v>32.489800000000002</v>
      </c>
      <c r="N362" s="119">
        <v>7.61</v>
      </c>
    </row>
    <row r="363" spans="1:14" ht="14.5">
      <c r="A363" s="119">
        <v>76</v>
      </c>
      <c r="B363" s="119" t="s">
        <v>177</v>
      </c>
      <c r="C363" s="119">
        <v>13</v>
      </c>
      <c r="D363" s="119">
        <v>13</v>
      </c>
      <c r="E363" s="119">
        <v>361</v>
      </c>
      <c r="F363" s="119">
        <v>7.1369999999999996</v>
      </c>
      <c r="G363" s="119">
        <v>25.2</v>
      </c>
      <c r="H363" s="119">
        <v>24.4</v>
      </c>
      <c r="I363" s="119">
        <v>5.2232000000000003</v>
      </c>
      <c r="J363" s="119">
        <v>3.1482999999999999</v>
      </c>
      <c r="K363" s="119">
        <v>59.9</v>
      </c>
      <c r="L363" s="119">
        <v>0.15</v>
      </c>
      <c r="M363" s="119">
        <v>32.488900000000001</v>
      </c>
      <c r="N363" s="119">
        <v>7.61</v>
      </c>
    </row>
    <row r="364" spans="1:14" ht="14.5">
      <c r="A364" s="119">
        <v>76</v>
      </c>
      <c r="B364" s="119" t="s">
        <v>177</v>
      </c>
      <c r="C364" s="119">
        <v>14</v>
      </c>
      <c r="D364" s="119">
        <v>14</v>
      </c>
      <c r="E364" s="119">
        <v>362</v>
      </c>
      <c r="F364" s="119">
        <v>7.1340000000000003</v>
      </c>
      <c r="G364" s="119">
        <v>24.8</v>
      </c>
      <c r="H364" s="119">
        <v>24</v>
      </c>
      <c r="I364" s="119">
        <v>5.2232000000000003</v>
      </c>
      <c r="J364" s="119">
        <v>3.1482000000000001</v>
      </c>
      <c r="K364" s="119">
        <v>59.9</v>
      </c>
      <c r="L364" s="119">
        <v>0.15</v>
      </c>
      <c r="M364" s="119">
        <v>32.488900000000001</v>
      </c>
      <c r="N364" s="119">
        <v>7.61</v>
      </c>
    </row>
    <row r="365" spans="1:14" ht="14.5">
      <c r="A365" s="119">
        <v>76</v>
      </c>
      <c r="B365" s="119" t="s">
        <v>177</v>
      </c>
      <c r="C365" s="119">
        <v>15</v>
      </c>
      <c r="D365" s="119">
        <v>15</v>
      </c>
      <c r="E365" s="119">
        <v>363</v>
      </c>
      <c r="F365" s="119">
        <v>7.1440000000000001</v>
      </c>
      <c r="G365" s="119">
        <v>24.6</v>
      </c>
      <c r="H365" s="119">
        <v>23.7</v>
      </c>
      <c r="I365" s="119">
        <v>5.2225999999999999</v>
      </c>
      <c r="J365" s="119">
        <v>3.1482000000000001</v>
      </c>
      <c r="K365" s="119">
        <v>59.9</v>
      </c>
      <c r="L365" s="119">
        <v>0.15</v>
      </c>
      <c r="M365" s="119">
        <v>32.488999999999997</v>
      </c>
      <c r="N365" s="119">
        <v>7.61</v>
      </c>
    </row>
    <row r="366" spans="1:14" ht="14.5">
      <c r="A366" s="119">
        <v>76</v>
      </c>
      <c r="B366" s="119" t="s">
        <v>177</v>
      </c>
      <c r="C366" s="119">
        <v>16</v>
      </c>
      <c r="D366" s="119">
        <v>16</v>
      </c>
      <c r="E366" s="119">
        <v>364</v>
      </c>
      <c r="F366" s="119">
        <v>7.1050000000000004</v>
      </c>
      <c r="G366" s="119">
        <v>5.4</v>
      </c>
      <c r="H366" s="119">
        <v>4.7</v>
      </c>
      <c r="I366" s="119">
        <v>5.2271000000000001</v>
      </c>
      <c r="J366" s="119">
        <v>3.1476999999999999</v>
      </c>
      <c r="K366" s="119">
        <v>59.9</v>
      </c>
      <c r="L366" s="119">
        <v>0.16</v>
      </c>
      <c r="M366" s="119">
        <v>32.488900000000001</v>
      </c>
      <c r="N366" s="119">
        <v>7.61</v>
      </c>
    </row>
    <row r="367" spans="1:14" ht="14.5">
      <c r="A367" s="119">
        <v>76</v>
      </c>
      <c r="B367" s="119" t="s">
        <v>177</v>
      </c>
      <c r="C367" s="119">
        <v>17</v>
      </c>
      <c r="D367" s="119">
        <v>17</v>
      </c>
      <c r="E367" s="119">
        <v>365</v>
      </c>
      <c r="F367" s="119">
        <v>7.1189999999999998</v>
      </c>
      <c r="G367" s="119">
        <v>5.5</v>
      </c>
      <c r="H367" s="119">
        <v>4.8</v>
      </c>
      <c r="I367" s="119">
        <v>5.226</v>
      </c>
      <c r="J367" s="119">
        <v>3.1476000000000002</v>
      </c>
      <c r="K367" s="119">
        <v>59.8</v>
      </c>
      <c r="L367" s="119">
        <v>0.16</v>
      </c>
      <c r="M367" s="119">
        <v>32.488999999999997</v>
      </c>
      <c r="N367" s="119">
        <v>7.61</v>
      </c>
    </row>
    <row r="368" spans="1:14" ht="14.5">
      <c r="A368" s="119">
        <v>76</v>
      </c>
      <c r="B368" s="119" t="s">
        <v>177</v>
      </c>
      <c r="C368" s="119">
        <v>18</v>
      </c>
      <c r="D368" s="119">
        <v>18</v>
      </c>
      <c r="E368" s="119">
        <v>366</v>
      </c>
      <c r="F368" s="119">
        <v>7.1130000000000004</v>
      </c>
      <c r="G368" s="119">
        <v>5.6</v>
      </c>
      <c r="H368" s="119">
        <v>4.9000000000000004</v>
      </c>
      <c r="I368" s="119">
        <v>5.2268999999999997</v>
      </c>
      <c r="J368" s="119">
        <v>3.1476999999999999</v>
      </c>
      <c r="K368" s="119">
        <v>59.9</v>
      </c>
      <c r="L368" s="119">
        <v>0.16</v>
      </c>
      <c r="M368" s="119">
        <v>32.488900000000001</v>
      </c>
      <c r="N368" s="119">
        <v>7.61</v>
      </c>
    </row>
    <row r="369" spans="1:28" ht="14.5">
      <c r="A369" s="119">
        <v>76</v>
      </c>
      <c r="B369" s="119" t="s">
        <v>177</v>
      </c>
      <c r="C369" s="119">
        <v>19</v>
      </c>
      <c r="D369" s="119">
        <v>19</v>
      </c>
      <c r="E369" s="119">
        <v>367</v>
      </c>
      <c r="F369" s="119">
        <v>7.1079999999999997</v>
      </c>
      <c r="G369" s="119">
        <v>5.9</v>
      </c>
      <c r="H369" s="119">
        <v>5.3</v>
      </c>
      <c r="I369" s="119">
        <v>5.2252000000000001</v>
      </c>
      <c r="J369" s="119">
        <v>3.1476000000000002</v>
      </c>
      <c r="K369" s="119">
        <v>59.4</v>
      </c>
      <c r="L369" s="119">
        <v>0.16</v>
      </c>
      <c r="M369" s="119">
        <v>32.488799999999998</v>
      </c>
      <c r="N369" s="119">
        <v>7.61</v>
      </c>
    </row>
    <row r="370" spans="1:28" ht="14.5">
      <c r="A370" s="119">
        <v>76</v>
      </c>
      <c r="B370" s="119" t="s">
        <v>177</v>
      </c>
      <c r="C370" s="119">
        <v>20</v>
      </c>
      <c r="D370" s="119">
        <v>20</v>
      </c>
      <c r="E370" s="119">
        <v>368</v>
      </c>
      <c r="F370" s="119">
        <v>7.11</v>
      </c>
      <c r="G370" s="119">
        <v>5.9</v>
      </c>
      <c r="H370" s="119">
        <v>5.2</v>
      </c>
      <c r="I370" s="119">
        <v>5.2272999999999996</v>
      </c>
      <c r="J370" s="119">
        <v>3.1476999999999999</v>
      </c>
      <c r="K370" s="119">
        <v>59.8</v>
      </c>
      <c r="L370" s="119">
        <v>0.16</v>
      </c>
      <c r="M370" s="119">
        <v>32.488799999999998</v>
      </c>
      <c r="N370" s="119">
        <v>7.61</v>
      </c>
    </row>
    <row r="371" spans="1:28" ht="14.5">
      <c r="A371" s="119">
        <v>80</v>
      </c>
      <c r="B371" s="119" t="s">
        <v>178</v>
      </c>
      <c r="C371" s="119">
        <v>1</v>
      </c>
      <c r="D371" s="119">
        <v>1</v>
      </c>
      <c r="E371" s="119">
        <v>369</v>
      </c>
      <c r="F371" s="119">
        <v>1.306</v>
      </c>
      <c r="G371" s="119">
        <v>301.10000000000002</v>
      </c>
      <c r="H371" s="119">
        <v>297.60000000000002</v>
      </c>
      <c r="I371" s="119">
        <v>4.1009000000000002</v>
      </c>
      <c r="J371" s="119">
        <v>3.1817000000000002</v>
      </c>
      <c r="K371" s="119">
        <v>63.9</v>
      </c>
      <c r="L371" s="119">
        <v>0.05</v>
      </c>
      <c r="M371" s="119">
        <v>33.858800000000002</v>
      </c>
      <c r="N371" s="119">
        <v>7.13</v>
      </c>
    </row>
    <row r="372" spans="1:28" ht="14.5">
      <c r="A372" s="119">
        <v>80</v>
      </c>
      <c r="B372" s="119" t="s">
        <v>178</v>
      </c>
      <c r="C372" s="119">
        <v>2</v>
      </c>
      <c r="D372" s="119">
        <v>2</v>
      </c>
      <c r="E372" s="119">
        <v>370</v>
      </c>
      <c r="F372" s="119">
        <v>2.08</v>
      </c>
      <c r="G372" s="119">
        <v>200.7</v>
      </c>
      <c r="H372" s="119">
        <v>198.2</v>
      </c>
      <c r="I372" s="119">
        <v>5.0136000000000003</v>
      </c>
      <c r="J372" s="119">
        <v>3.2542</v>
      </c>
      <c r="K372" s="119">
        <v>63.6</v>
      </c>
      <c r="L372" s="119">
        <v>0.05</v>
      </c>
      <c r="M372" s="119">
        <v>33.823999999999998</v>
      </c>
      <c r="N372" s="119">
        <v>7.21</v>
      </c>
    </row>
    <row r="373" spans="1:28" ht="14.5">
      <c r="A373" s="119">
        <v>80</v>
      </c>
      <c r="B373" s="119" t="s">
        <v>178</v>
      </c>
      <c r="C373" s="119">
        <v>3</v>
      </c>
      <c r="D373" s="119">
        <v>3</v>
      </c>
      <c r="E373" s="119">
        <v>371</v>
      </c>
      <c r="F373" s="119">
        <v>2.6339999999999999</v>
      </c>
      <c r="G373" s="119">
        <v>150.19999999999999</v>
      </c>
      <c r="H373" s="119">
        <v>148.19999999999999</v>
      </c>
      <c r="I373" s="119">
        <v>5.6002000000000001</v>
      </c>
      <c r="J373" s="119">
        <v>3.2989999999999999</v>
      </c>
      <c r="K373" s="119">
        <v>63.5</v>
      </c>
      <c r="L373" s="119">
        <v>0.05</v>
      </c>
      <c r="M373" s="119">
        <v>33.770699999999998</v>
      </c>
      <c r="N373" s="119">
        <v>7.27</v>
      </c>
    </row>
    <row r="374" spans="1:28" s="159" customFormat="1" ht="14.5">
      <c r="A374" s="119">
        <v>80</v>
      </c>
      <c r="B374" s="119" t="s">
        <v>178</v>
      </c>
      <c r="C374" s="119">
        <v>4</v>
      </c>
      <c r="D374" s="119">
        <v>4</v>
      </c>
      <c r="E374" s="119">
        <v>372</v>
      </c>
      <c r="F374" s="119">
        <v>2.6360000000000001</v>
      </c>
      <c r="G374" s="119">
        <v>150.5</v>
      </c>
      <c r="H374" s="119">
        <v>148.5</v>
      </c>
      <c r="I374" s="119">
        <v>5.6032000000000002</v>
      </c>
      <c r="J374" s="119">
        <v>3.2991999999999999</v>
      </c>
      <c r="K374" s="119">
        <v>63.5</v>
      </c>
      <c r="L374" s="119">
        <v>0.05</v>
      </c>
      <c r="M374" s="119">
        <v>33.769599999999997</v>
      </c>
      <c r="N374" s="119">
        <v>7.27</v>
      </c>
      <c r="O374" s="165"/>
      <c r="P374" s="165"/>
      <c r="Q374" s="167"/>
      <c r="R374" s="167"/>
      <c r="S374" s="167"/>
      <c r="T374" s="167"/>
      <c r="U374" s="170"/>
      <c r="V374" s="170"/>
      <c r="W374" s="172"/>
      <c r="X374" s="168"/>
      <c r="Y374" s="167"/>
    </row>
    <row r="375" spans="1:28" s="159" customFormat="1" ht="14.5">
      <c r="A375" s="119">
        <v>80</v>
      </c>
      <c r="B375" s="119" t="s">
        <v>178</v>
      </c>
      <c r="C375" s="119">
        <v>5</v>
      </c>
      <c r="D375" s="119">
        <v>5</v>
      </c>
      <c r="E375" s="119">
        <v>373</v>
      </c>
      <c r="F375" s="119">
        <v>2.9689999999999999</v>
      </c>
      <c r="G375" s="119">
        <v>126.7</v>
      </c>
      <c r="H375" s="119">
        <v>125</v>
      </c>
      <c r="I375" s="119">
        <v>5.6772</v>
      </c>
      <c r="J375" s="119">
        <v>3.2991999999999999</v>
      </c>
      <c r="K375" s="119">
        <v>63.5</v>
      </c>
      <c r="L375" s="119">
        <v>0.05</v>
      </c>
      <c r="M375" s="119">
        <v>33.707700000000003</v>
      </c>
      <c r="N375" s="119">
        <v>7.3</v>
      </c>
      <c r="O375" s="165"/>
      <c r="P375" s="165"/>
      <c r="Q375" s="167"/>
      <c r="R375" s="167"/>
      <c r="S375" s="167"/>
      <c r="T375" s="167"/>
      <c r="U375" s="170"/>
      <c r="V375" s="170"/>
      <c r="W375" s="172"/>
      <c r="X375" s="168"/>
      <c r="Y375" s="167"/>
    </row>
    <row r="376" spans="1:28" s="159" customFormat="1" ht="14.5">
      <c r="A376" s="119">
        <v>80</v>
      </c>
      <c r="B376" s="119" t="s">
        <v>178</v>
      </c>
      <c r="C376" s="119">
        <v>6</v>
      </c>
      <c r="D376" s="119">
        <v>6</v>
      </c>
      <c r="E376" s="119">
        <v>374</v>
      </c>
      <c r="F376" s="119">
        <v>4.4509999999999996</v>
      </c>
      <c r="G376" s="119">
        <v>101</v>
      </c>
      <c r="H376" s="119">
        <v>99.5</v>
      </c>
      <c r="I376" s="119">
        <v>5.5031999999999996</v>
      </c>
      <c r="J376" s="119">
        <v>3.24</v>
      </c>
      <c r="K376" s="119">
        <v>63.4</v>
      </c>
      <c r="L376" s="119">
        <v>0.06</v>
      </c>
      <c r="M376" s="119">
        <v>33.221699999999998</v>
      </c>
      <c r="N376" s="119">
        <v>7.42</v>
      </c>
      <c r="O376" s="157"/>
      <c r="P376" s="157"/>
      <c r="Q376" s="151"/>
      <c r="R376" s="151"/>
      <c r="S376" s="151"/>
      <c r="T376" s="151"/>
      <c r="U376" s="155"/>
      <c r="V376" s="155"/>
      <c r="W376" s="158"/>
      <c r="X376" s="152"/>
      <c r="Y376" s="151"/>
    </row>
    <row r="377" spans="1:28" s="159" customFormat="1" ht="14.5">
      <c r="A377" s="119">
        <v>80</v>
      </c>
      <c r="B377" s="119" t="s">
        <v>178</v>
      </c>
      <c r="C377" s="119">
        <v>7</v>
      </c>
      <c r="D377" s="119">
        <v>7</v>
      </c>
      <c r="E377" s="119">
        <v>375</v>
      </c>
      <c r="F377" s="119">
        <v>4.46</v>
      </c>
      <c r="G377" s="119">
        <v>101</v>
      </c>
      <c r="H377" s="119">
        <v>99.5</v>
      </c>
      <c r="I377" s="119">
        <v>5.5042999999999997</v>
      </c>
      <c r="J377" s="119">
        <v>3.2401</v>
      </c>
      <c r="K377" s="119">
        <v>63.4</v>
      </c>
      <c r="L377" s="119">
        <v>0.06</v>
      </c>
      <c r="M377" s="119">
        <v>33.222000000000001</v>
      </c>
      <c r="N377" s="119">
        <v>7.42</v>
      </c>
      <c r="O377" s="157"/>
      <c r="P377" s="151"/>
      <c r="Q377" s="151"/>
      <c r="R377" s="175"/>
      <c r="S377" s="175"/>
      <c r="T377" s="175"/>
      <c r="U377" s="173"/>
      <c r="V377" s="158"/>
      <c r="W377" s="173"/>
      <c r="X377" s="173"/>
      <c r="Y377" s="175"/>
      <c r="Z377" s="177"/>
      <c r="AA377" s="177"/>
      <c r="AB377" s="152"/>
    </row>
    <row r="378" spans="1:28" s="159" customFormat="1" ht="14.5">
      <c r="A378" s="119">
        <v>80</v>
      </c>
      <c r="B378" s="119" t="s">
        <v>178</v>
      </c>
      <c r="C378" s="119">
        <v>8</v>
      </c>
      <c r="D378" s="119">
        <v>8</v>
      </c>
      <c r="E378" s="119">
        <v>376</v>
      </c>
      <c r="F378" s="119">
        <v>4.5279999999999996</v>
      </c>
      <c r="G378" s="119">
        <v>99.8</v>
      </c>
      <c r="H378" s="119">
        <v>98.3</v>
      </c>
      <c r="I378" s="119">
        <v>5.4964000000000004</v>
      </c>
      <c r="J378" s="119">
        <v>3.2363</v>
      </c>
      <c r="K378" s="119">
        <v>63.4</v>
      </c>
      <c r="L378" s="119">
        <v>0.06</v>
      </c>
      <c r="M378" s="119">
        <v>33.187199999999997</v>
      </c>
      <c r="N378" s="119">
        <v>7.42</v>
      </c>
      <c r="O378" s="248"/>
      <c r="P378" s="173"/>
      <c r="Q378" s="247"/>
      <c r="R378" s="173"/>
      <c r="S378" s="247"/>
      <c r="T378" s="175"/>
      <c r="U378" s="247"/>
      <c r="V378" s="158"/>
      <c r="W378" s="247"/>
      <c r="Y378" s="179"/>
      <c r="AA378" s="180"/>
    </row>
    <row r="379" spans="1:28" s="159" customFormat="1" ht="14.5">
      <c r="A379" s="119">
        <v>80</v>
      </c>
      <c r="B379" s="119" t="s">
        <v>178</v>
      </c>
      <c r="C379" s="119">
        <v>9</v>
      </c>
      <c r="D379" s="119">
        <v>9</v>
      </c>
      <c r="E379" s="119">
        <v>377</v>
      </c>
      <c r="F379" s="119">
        <v>7.0129999999999999</v>
      </c>
      <c r="G379" s="119">
        <v>76.2</v>
      </c>
      <c r="H379" s="119">
        <v>74.900000000000006</v>
      </c>
      <c r="I379" s="119">
        <v>5.8326000000000002</v>
      </c>
      <c r="J379" s="119">
        <v>3.1941000000000002</v>
      </c>
      <c r="K379" s="119">
        <v>60.1</v>
      </c>
      <c r="L379" s="119">
        <v>0.14000000000000001</v>
      </c>
      <c r="M379" s="119">
        <v>32.394599999999997</v>
      </c>
      <c r="N379" s="119">
        <v>7.63</v>
      </c>
      <c r="O379" s="248"/>
      <c r="P379" s="173"/>
      <c r="Q379" s="247"/>
      <c r="R379" s="173"/>
      <c r="S379" s="247"/>
      <c r="T379" s="175"/>
      <c r="U379" s="247"/>
      <c r="V379" s="181"/>
      <c r="W379" s="247"/>
      <c r="X379" s="182"/>
      <c r="Y379" s="183"/>
      <c r="AA379" s="180"/>
    </row>
    <row r="380" spans="1:28" s="190" customFormat="1" ht="14.5">
      <c r="A380" s="119">
        <v>80</v>
      </c>
      <c r="B380" s="119" t="s">
        <v>178</v>
      </c>
      <c r="C380" s="119">
        <v>10</v>
      </c>
      <c r="D380" s="119">
        <v>10</v>
      </c>
      <c r="E380" s="119">
        <v>378</v>
      </c>
      <c r="F380" s="119">
        <v>7.0410000000000004</v>
      </c>
      <c r="G380" s="119">
        <v>50.3</v>
      </c>
      <c r="H380" s="119">
        <v>49.3</v>
      </c>
      <c r="I380" s="119">
        <v>5.8685</v>
      </c>
      <c r="J380" s="119">
        <v>3.1956000000000002</v>
      </c>
      <c r="K380" s="119">
        <v>60</v>
      </c>
      <c r="L380" s="119">
        <v>0.14000000000000001</v>
      </c>
      <c r="M380" s="119">
        <v>32.389400000000002</v>
      </c>
      <c r="N380" s="119">
        <v>7.64</v>
      </c>
      <c r="O380" s="184"/>
      <c r="P380" s="185"/>
      <c r="Q380" s="185"/>
      <c r="R380" s="185"/>
      <c r="S380" s="185"/>
      <c r="T380" s="187"/>
      <c r="U380" s="187"/>
      <c r="V380" s="185"/>
      <c r="W380" s="189"/>
      <c r="Y380" s="191"/>
      <c r="AA380" s="189"/>
      <c r="AB380" s="186"/>
    </row>
    <row r="381" spans="1:28" ht="14.5">
      <c r="A381" s="119">
        <v>80</v>
      </c>
      <c r="B381" s="119" t="s">
        <v>178</v>
      </c>
      <c r="C381" s="119">
        <v>11</v>
      </c>
      <c r="D381" s="119">
        <v>11</v>
      </c>
      <c r="E381" s="119">
        <v>379</v>
      </c>
      <c r="F381" s="119">
        <v>7.0430000000000001</v>
      </c>
      <c r="G381" s="119">
        <v>50.1</v>
      </c>
      <c r="H381" s="119">
        <v>49.1</v>
      </c>
      <c r="I381" s="119">
        <v>5.8686999999999996</v>
      </c>
      <c r="J381" s="119">
        <v>3.1956000000000002</v>
      </c>
      <c r="K381" s="119">
        <v>59.8</v>
      </c>
      <c r="L381" s="119">
        <v>0.14000000000000001</v>
      </c>
      <c r="M381" s="119">
        <v>32.389499999999998</v>
      </c>
      <c r="N381" s="119">
        <v>7.64</v>
      </c>
    </row>
    <row r="382" spans="1:28" ht="14.5">
      <c r="A382" s="119">
        <v>80</v>
      </c>
      <c r="B382" s="119" t="s">
        <v>178</v>
      </c>
      <c r="C382" s="119">
        <v>12</v>
      </c>
      <c r="D382" s="119">
        <v>12</v>
      </c>
      <c r="E382" s="119">
        <v>380</v>
      </c>
      <c r="F382" s="119">
        <v>7.0389999999999997</v>
      </c>
      <c r="G382" s="119">
        <v>50.4</v>
      </c>
      <c r="H382" s="119">
        <v>49.3</v>
      </c>
      <c r="I382" s="119">
        <v>5.87</v>
      </c>
      <c r="J382" s="119">
        <v>3.1957</v>
      </c>
      <c r="K382" s="119">
        <v>59.9</v>
      </c>
      <c r="L382" s="119">
        <v>0.14000000000000001</v>
      </c>
      <c r="M382" s="119">
        <v>32.389400000000002</v>
      </c>
      <c r="N382" s="119">
        <v>7.64</v>
      </c>
    </row>
    <row r="383" spans="1:28" ht="14.5">
      <c r="A383" s="119">
        <v>80</v>
      </c>
      <c r="B383" s="119" t="s">
        <v>178</v>
      </c>
      <c r="C383" s="119">
        <v>13</v>
      </c>
      <c r="D383" s="119">
        <v>13</v>
      </c>
      <c r="E383" s="119">
        <v>381</v>
      </c>
      <c r="F383" s="119">
        <v>6.9989999999999997</v>
      </c>
      <c r="G383" s="119">
        <v>25.3</v>
      </c>
      <c r="H383" s="119">
        <v>24.5</v>
      </c>
      <c r="I383" s="119">
        <v>5.9886999999999997</v>
      </c>
      <c r="J383" s="119">
        <v>3.2033999999999998</v>
      </c>
      <c r="K383" s="119">
        <v>60.2</v>
      </c>
      <c r="L383" s="119">
        <v>0.13</v>
      </c>
      <c r="M383" s="119">
        <v>32.374600000000001</v>
      </c>
      <c r="N383" s="119">
        <v>7.64</v>
      </c>
    </row>
    <row r="384" spans="1:28" ht="14.5">
      <c r="A384" s="119">
        <v>80</v>
      </c>
      <c r="B384" s="119" t="s">
        <v>178</v>
      </c>
      <c r="C384" s="119">
        <v>14</v>
      </c>
      <c r="D384" s="119">
        <v>14</v>
      </c>
      <c r="E384" s="119">
        <v>382</v>
      </c>
      <c r="F384" s="119">
        <v>6.9939999999999998</v>
      </c>
      <c r="G384" s="119">
        <v>25.3</v>
      </c>
      <c r="H384" s="119">
        <v>24.5</v>
      </c>
      <c r="I384" s="119">
        <v>5.9888000000000003</v>
      </c>
      <c r="J384" s="119">
        <v>3.2033999999999998</v>
      </c>
      <c r="K384" s="119">
        <v>60.2</v>
      </c>
      <c r="L384" s="119">
        <v>0.13</v>
      </c>
      <c r="M384" s="119">
        <v>32.374499999999998</v>
      </c>
      <c r="N384" s="119">
        <v>7.64</v>
      </c>
    </row>
    <row r="385" spans="1:14" ht="14.5">
      <c r="A385" s="119">
        <v>80</v>
      </c>
      <c r="B385" s="119" t="s">
        <v>178</v>
      </c>
      <c r="C385" s="119">
        <v>15</v>
      </c>
      <c r="D385" s="119">
        <v>15</v>
      </c>
      <c r="E385" s="119">
        <v>383</v>
      </c>
      <c r="F385" s="119">
        <v>7.0049999999999999</v>
      </c>
      <c r="G385" s="119">
        <v>25.5</v>
      </c>
      <c r="H385" s="119">
        <v>24.7</v>
      </c>
      <c r="I385" s="119">
        <v>5.9882</v>
      </c>
      <c r="J385" s="119">
        <v>3.2033999999999998</v>
      </c>
      <c r="K385" s="119">
        <v>60.2</v>
      </c>
      <c r="L385" s="119">
        <v>0.13</v>
      </c>
      <c r="M385" s="119">
        <v>32.374699999999997</v>
      </c>
      <c r="N385" s="119">
        <v>7.64</v>
      </c>
    </row>
    <row r="386" spans="1:14" ht="14.5">
      <c r="A386" s="119">
        <v>80</v>
      </c>
      <c r="B386" s="119" t="s">
        <v>178</v>
      </c>
      <c r="C386" s="119">
        <v>16</v>
      </c>
      <c r="D386" s="119">
        <v>16</v>
      </c>
      <c r="E386" s="119">
        <v>384</v>
      </c>
      <c r="F386" s="119">
        <v>6.9660000000000002</v>
      </c>
      <c r="G386" s="119">
        <v>5.8</v>
      </c>
      <c r="H386" s="119">
        <v>5.2</v>
      </c>
      <c r="I386" s="119">
        <v>6.0471000000000004</v>
      </c>
      <c r="J386" s="119">
        <v>3.2065999999999999</v>
      </c>
      <c r="K386" s="119">
        <v>60.3</v>
      </c>
      <c r="L386" s="119">
        <v>0.13</v>
      </c>
      <c r="M386" s="119">
        <v>32.363999999999997</v>
      </c>
      <c r="N386" s="119">
        <v>7.64</v>
      </c>
    </row>
    <row r="387" spans="1:14" ht="14.5">
      <c r="A387" s="119">
        <v>80</v>
      </c>
      <c r="B387" s="119" t="s">
        <v>178</v>
      </c>
      <c r="C387" s="119">
        <v>17</v>
      </c>
      <c r="D387" s="119">
        <v>17</v>
      </c>
      <c r="E387" s="119">
        <v>385</v>
      </c>
      <c r="F387" s="119">
        <v>6.9740000000000002</v>
      </c>
      <c r="G387" s="119">
        <v>5.9</v>
      </c>
      <c r="H387" s="119">
        <v>5.3</v>
      </c>
      <c r="I387" s="119">
        <v>6.0414000000000003</v>
      </c>
      <c r="J387" s="119">
        <v>3.2061999999999999</v>
      </c>
      <c r="K387" s="119">
        <v>60.2</v>
      </c>
      <c r="L387" s="119">
        <v>0.13</v>
      </c>
      <c r="M387" s="119">
        <v>32.365200000000002</v>
      </c>
      <c r="N387" s="119">
        <v>7.64</v>
      </c>
    </row>
    <row r="388" spans="1:14" ht="14.5">
      <c r="A388" s="119">
        <v>80</v>
      </c>
      <c r="B388" s="119" t="s">
        <v>178</v>
      </c>
      <c r="C388" s="119">
        <v>18</v>
      </c>
      <c r="D388" s="119">
        <v>18</v>
      </c>
      <c r="E388" s="119">
        <v>386</v>
      </c>
      <c r="F388" s="119">
        <v>6.9749999999999996</v>
      </c>
      <c r="G388" s="119">
        <v>5.8</v>
      </c>
      <c r="H388" s="119">
        <v>5.0999999999999996</v>
      </c>
      <c r="I388" s="119">
        <v>6.0420999999999996</v>
      </c>
      <c r="J388" s="119">
        <v>3.2063000000000001</v>
      </c>
      <c r="K388" s="119">
        <v>60.3</v>
      </c>
      <c r="L388" s="119">
        <v>0.13</v>
      </c>
      <c r="M388" s="119">
        <v>32.364899999999999</v>
      </c>
      <c r="N388" s="119">
        <v>7.64</v>
      </c>
    </row>
    <row r="389" spans="1:14" ht="14.5">
      <c r="A389" s="119">
        <v>80</v>
      </c>
      <c r="B389" s="119" t="s">
        <v>178</v>
      </c>
      <c r="C389" s="119">
        <v>19</v>
      </c>
      <c r="D389" s="119">
        <v>19</v>
      </c>
      <c r="E389" s="119">
        <v>387</v>
      </c>
      <c r="F389" s="119">
        <v>6.976</v>
      </c>
      <c r="G389" s="119">
        <v>5.4</v>
      </c>
      <c r="H389" s="119">
        <v>4.7</v>
      </c>
      <c r="I389" s="119">
        <v>6.0399000000000003</v>
      </c>
      <c r="J389" s="119">
        <v>3.2061000000000002</v>
      </c>
      <c r="K389" s="119">
        <v>60.2</v>
      </c>
      <c r="L389" s="119">
        <v>0.14000000000000001</v>
      </c>
      <c r="M389" s="119">
        <v>32.365499999999997</v>
      </c>
      <c r="N389" s="119">
        <v>7.64</v>
      </c>
    </row>
    <row r="390" spans="1:14" ht="14.5">
      <c r="A390" s="119">
        <v>80</v>
      </c>
      <c r="B390" s="119" t="s">
        <v>178</v>
      </c>
      <c r="C390" s="119">
        <v>20</v>
      </c>
      <c r="D390" s="119">
        <v>20</v>
      </c>
      <c r="E390" s="119">
        <v>388</v>
      </c>
      <c r="F390" s="119">
        <v>6.9729999999999999</v>
      </c>
      <c r="G390" s="119">
        <v>5.6</v>
      </c>
      <c r="H390" s="119">
        <v>5</v>
      </c>
      <c r="I390" s="119">
        <v>6.0430000000000001</v>
      </c>
      <c r="J390" s="119">
        <v>3.2063000000000001</v>
      </c>
      <c r="K390" s="119">
        <v>60.3</v>
      </c>
      <c r="L390" s="119">
        <v>0.14000000000000001</v>
      </c>
      <c r="M390" s="119">
        <v>32.364800000000002</v>
      </c>
      <c r="N390" s="119">
        <v>7.64</v>
      </c>
    </row>
    <row r="391" spans="1:14" ht="14.5">
      <c r="A391" s="119">
        <v>84</v>
      </c>
      <c r="B391" s="119" t="s">
        <v>179</v>
      </c>
      <c r="C391" s="119">
        <v>1</v>
      </c>
      <c r="D391" s="119">
        <v>1</v>
      </c>
      <c r="E391" s="119">
        <v>389</v>
      </c>
      <c r="F391" s="119">
        <v>1.5429999999999999</v>
      </c>
      <c r="G391" s="119">
        <v>302.60000000000002</v>
      </c>
      <c r="H391" s="119">
        <v>299.10000000000002</v>
      </c>
      <c r="I391" s="119">
        <v>5.1349</v>
      </c>
      <c r="J391" s="119">
        <v>3.2776999999999998</v>
      </c>
      <c r="K391" s="119">
        <v>63.7</v>
      </c>
      <c r="L391" s="119">
        <v>0.05</v>
      </c>
      <c r="M391" s="119">
        <v>33.918999999999997</v>
      </c>
      <c r="N391" s="119">
        <v>7.2</v>
      </c>
    </row>
    <row r="392" spans="1:14" ht="14.5">
      <c r="A392" s="119">
        <v>84</v>
      </c>
      <c r="B392" s="119" t="s">
        <v>179</v>
      </c>
      <c r="C392" s="119">
        <v>2</v>
      </c>
      <c r="D392" s="119">
        <v>2</v>
      </c>
      <c r="E392" s="119">
        <v>390</v>
      </c>
      <c r="F392" s="119">
        <v>2.4689999999999999</v>
      </c>
      <c r="G392" s="119">
        <v>204.2</v>
      </c>
      <c r="H392" s="119">
        <v>201.7</v>
      </c>
      <c r="I392" s="119">
        <v>5.8524000000000003</v>
      </c>
      <c r="J392" s="119">
        <v>3.3290999999999999</v>
      </c>
      <c r="K392" s="119">
        <v>63.4</v>
      </c>
      <c r="L392" s="119">
        <v>0.05</v>
      </c>
      <c r="M392" s="119">
        <v>33.831499999999998</v>
      </c>
      <c r="N392" s="119">
        <v>7.28</v>
      </c>
    </row>
    <row r="393" spans="1:14" ht="14.5">
      <c r="A393" s="119">
        <v>84</v>
      </c>
      <c r="B393" s="119" t="s">
        <v>179</v>
      </c>
      <c r="C393" s="119">
        <v>3</v>
      </c>
      <c r="D393" s="119">
        <v>3</v>
      </c>
      <c r="E393" s="119">
        <v>391</v>
      </c>
      <c r="F393" s="119">
        <v>3.1120000000000001</v>
      </c>
      <c r="G393" s="119">
        <v>151.6</v>
      </c>
      <c r="H393" s="119">
        <v>149.6</v>
      </c>
      <c r="I393" s="119">
        <v>6.2417999999999996</v>
      </c>
      <c r="J393" s="119">
        <v>3.3517000000000001</v>
      </c>
      <c r="K393" s="119">
        <v>63.4</v>
      </c>
      <c r="L393" s="119">
        <v>0.05</v>
      </c>
      <c r="M393" s="119">
        <v>33.723799999999997</v>
      </c>
      <c r="N393" s="119">
        <v>7.34</v>
      </c>
    </row>
    <row r="394" spans="1:14" ht="14.5">
      <c r="A394" s="119">
        <v>84</v>
      </c>
      <c r="B394" s="119" t="s">
        <v>179</v>
      </c>
      <c r="C394" s="119">
        <v>4</v>
      </c>
      <c r="D394" s="119">
        <v>4</v>
      </c>
      <c r="E394" s="119">
        <v>392</v>
      </c>
      <c r="F394" s="119">
        <v>3.1150000000000002</v>
      </c>
      <c r="G394" s="119">
        <v>149.6</v>
      </c>
      <c r="H394" s="119">
        <v>147.69999999999999</v>
      </c>
      <c r="I394" s="119">
        <v>6.2491000000000003</v>
      </c>
      <c r="J394" s="119">
        <v>3.3519999999999999</v>
      </c>
      <c r="K394" s="119">
        <v>63.4</v>
      </c>
      <c r="L394" s="119">
        <v>0.05</v>
      </c>
      <c r="M394" s="119">
        <v>33.721499999999999</v>
      </c>
      <c r="N394" s="119">
        <v>7.34</v>
      </c>
    </row>
    <row r="395" spans="1:14" ht="14.5">
      <c r="A395" s="119">
        <v>84</v>
      </c>
      <c r="B395" s="119" t="s">
        <v>179</v>
      </c>
      <c r="C395" s="119">
        <v>5</v>
      </c>
      <c r="D395" s="119">
        <v>5</v>
      </c>
      <c r="E395" s="119">
        <v>-99</v>
      </c>
      <c r="F395" s="119">
        <v>3.1120000000000001</v>
      </c>
      <c r="G395" s="119">
        <v>151.4</v>
      </c>
      <c r="H395" s="119">
        <v>149.4</v>
      </c>
      <c r="I395" s="119">
        <v>6.2461000000000002</v>
      </c>
      <c r="J395" s="119">
        <v>3.3519999999999999</v>
      </c>
      <c r="K395" s="119">
        <v>63.4</v>
      </c>
      <c r="L395" s="119">
        <v>0.05</v>
      </c>
      <c r="M395" s="119">
        <v>33.722700000000003</v>
      </c>
      <c r="N395" s="119">
        <v>7.34</v>
      </c>
    </row>
    <row r="396" spans="1:14" ht="14.5">
      <c r="A396" s="119">
        <v>84</v>
      </c>
      <c r="B396" s="119" t="s">
        <v>179</v>
      </c>
      <c r="C396" s="119">
        <v>6</v>
      </c>
      <c r="D396" s="119">
        <v>6</v>
      </c>
      <c r="E396" s="119">
        <v>393</v>
      </c>
      <c r="F396" s="119">
        <v>3.25</v>
      </c>
      <c r="G396" s="119">
        <v>126.4</v>
      </c>
      <c r="H396" s="119">
        <v>124.6</v>
      </c>
      <c r="I396" s="119">
        <v>6.5385999999999997</v>
      </c>
      <c r="J396" s="119">
        <v>3.3660999999999999</v>
      </c>
      <c r="K396" s="119">
        <v>63.4</v>
      </c>
      <c r="L396" s="119">
        <v>0.05</v>
      </c>
      <c r="M396" s="119">
        <v>33.604300000000002</v>
      </c>
      <c r="N396" s="119">
        <v>7.36</v>
      </c>
    </row>
    <row r="397" spans="1:14" ht="14.5">
      <c r="A397" s="119">
        <v>84</v>
      </c>
      <c r="B397" s="119" t="s">
        <v>179</v>
      </c>
      <c r="C397" s="119">
        <v>7</v>
      </c>
      <c r="D397" s="119">
        <v>7</v>
      </c>
      <c r="E397" s="119">
        <v>394</v>
      </c>
      <c r="F397" s="119">
        <v>3.7730000000000001</v>
      </c>
      <c r="G397" s="119">
        <v>103.3</v>
      </c>
      <c r="H397" s="119">
        <v>101.7</v>
      </c>
      <c r="I397" s="119">
        <v>6.7340999999999998</v>
      </c>
      <c r="J397" s="119">
        <v>3.3603000000000001</v>
      </c>
      <c r="K397" s="119">
        <v>63.3</v>
      </c>
      <c r="L397" s="119">
        <v>0.05</v>
      </c>
      <c r="M397" s="119">
        <v>33.360100000000003</v>
      </c>
      <c r="N397" s="119">
        <v>7.4</v>
      </c>
    </row>
    <row r="398" spans="1:14" ht="14.5">
      <c r="A398" s="119">
        <v>84</v>
      </c>
      <c r="B398" s="119" t="s">
        <v>179</v>
      </c>
      <c r="C398" s="119">
        <v>8</v>
      </c>
      <c r="D398" s="119">
        <v>8</v>
      </c>
      <c r="E398" s="119">
        <v>395</v>
      </c>
      <c r="F398" s="119">
        <v>3.7570000000000001</v>
      </c>
      <c r="G398" s="119">
        <v>103.2</v>
      </c>
      <c r="H398" s="119">
        <v>101.7</v>
      </c>
      <c r="I398" s="119">
        <v>6.7302999999999997</v>
      </c>
      <c r="J398" s="119">
        <v>3.3597999999999999</v>
      </c>
      <c r="K398" s="119">
        <v>63.3</v>
      </c>
      <c r="L398" s="119">
        <v>0.05</v>
      </c>
      <c r="M398" s="119">
        <v>33.358499999999999</v>
      </c>
      <c r="N398" s="119">
        <v>7.4</v>
      </c>
    </row>
    <row r="399" spans="1:14" ht="14.5">
      <c r="A399" s="119">
        <v>84</v>
      </c>
      <c r="B399" s="119" t="s">
        <v>179</v>
      </c>
      <c r="C399" s="119">
        <v>9</v>
      </c>
      <c r="D399" s="119">
        <v>9</v>
      </c>
      <c r="E399" s="119">
        <v>396</v>
      </c>
      <c r="F399" s="119">
        <v>3.774</v>
      </c>
      <c r="G399" s="119">
        <v>102.5</v>
      </c>
      <c r="H399" s="119">
        <v>101</v>
      </c>
      <c r="I399" s="119">
        <v>6.7111999999999998</v>
      </c>
      <c r="J399" s="119">
        <v>3.3571</v>
      </c>
      <c r="K399" s="119">
        <v>63.3</v>
      </c>
      <c r="L399" s="119">
        <v>0.05</v>
      </c>
      <c r="M399" s="119">
        <v>33.346899999999998</v>
      </c>
      <c r="N399" s="119">
        <v>7.4</v>
      </c>
    </row>
    <row r="400" spans="1:14" ht="14.5">
      <c r="A400" s="119">
        <v>84</v>
      </c>
      <c r="B400" s="119" t="s">
        <v>179</v>
      </c>
      <c r="C400" s="119">
        <v>10</v>
      </c>
      <c r="D400" s="119">
        <v>10</v>
      </c>
      <c r="E400" s="119">
        <v>397</v>
      </c>
      <c r="F400" s="119">
        <v>6.6870000000000003</v>
      </c>
      <c r="G400" s="119">
        <v>74.400000000000006</v>
      </c>
      <c r="H400" s="119">
        <v>73.099999999999994</v>
      </c>
      <c r="I400" s="119">
        <v>6.3678999999999997</v>
      </c>
      <c r="J400" s="119">
        <v>3.2368000000000001</v>
      </c>
      <c r="K400" s="119">
        <v>62</v>
      </c>
      <c r="L400" s="119">
        <v>0.08</v>
      </c>
      <c r="M400" s="119">
        <v>32.360700000000001</v>
      </c>
      <c r="N400" s="119">
        <v>7.62</v>
      </c>
    </row>
    <row r="401" spans="1:28" ht="14.5">
      <c r="A401" s="119">
        <v>84</v>
      </c>
      <c r="B401" s="119" t="s">
        <v>179</v>
      </c>
      <c r="C401" s="119">
        <v>11</v>
      </c>
      <c r="D401" s="119">
        <v>11</v>
      </c>
      <c r="E401" s="119">
        <v>398</v>
      </c>
      <c r="F401" s="119">
        <v>6.952</v>
      </c>
      <c r="G401" s="119">
        <v>51.9</v>
      </c>
      <c r="H401" s="119">
        <v>50.9</v>
      </c>
      <c r="I401" s="119">
        <v>6.3563999999999998</v>
      </c>
      <c r="J401" s="119">
        <v>3.2292000000000001</v>
      </c>
      <c r="K401" s="119">
        <v>60</v>
      </c>
      <c r="L401" s="119">
        <v>0.11</v>
      </c>
      <c r="M401" s="119">
        <v>32.298699999999997</v>
      </c>
      <c r="N401" s="119">
        <v>7.64</v>
      </c>
    </row>
    <row r="402" spans="1:28" ht="14.5">
      <c r="A402" s="119">
        <v>84</v>
      </c>
      <c r="B402" s="119" t="s">
        <v>179</v>
      </c>
      <c r="C402" s="119">
        <v>12</v>
      </c>
      <c r="D402" s="119">
        <v>12</v>
      </c>
      <c r="E402" s="119">
        <v>399</v>
      </c>
      <c r="F402" s="119">
        <v>6.9589999999999996</v>
      </c>
      <c r="G402" s="119">
        <v>51.8</v>
      </c>
      <c r="H402" s="119">
        <v>50.7</v>
      </c>
      <c r="I402" s="119">
        <v>6.3581000000000003</v>
      </c>
      <c r="J402" s="119">
        <v>3.2292999999999998</v>
      </c>
      <c r="K402" s="119">
        <v>60</v>
      </c>
      <c r="L402" s="119">
        <v>0.11</v>
      </c>
      <c r="M402" s="119">
        <v>32.298499999999997</v>
      </c>
      <c r="N402" s="119">
        <v>7.64</v>
      </c>
    </row>
    <row r="403" spans="1:28" ht="14.5">
      <c r="A403" s="119">
        <v>84</v>
      </c>
      <c r="B403" s="119" t="s">
        <v>179</v>
      </c>
      <c r="C403" s="119">
        <v>13</v>
      </c>
      <c r="D403" s="119">
        <v>13</v>
      </c>
      <c r="E403" s="119">
        <v>400</v>
      </c>
      <c r="F403" s="119">
        <v>6.9530000000000003</v>
      </c>
      <c r="G403" s="119">
        <v>50.5</v>
      </c>
      <c r="H403" s="119">
        <v>49.4</v>
      </c>
      <c r="I403" s="119">
        <v>6.3582000000000001</v>
      </c>
      <c r="J403" s="119">
        <v>3.2292999999999998</v>
      </c>
      <c r="K403" s="119">
        <v>59.9</v>
      </c>
      <c r="L403" s="119">
        <v>0.11</v>
      </c>
      <c r="M403" s="119">
        <v>32.2986</v>
      </c>
      <c r="N403" s="119">
        <v>7.64</v>
      </c>
    </row>
    <row r="404" spans="1:28" ht="14.5">
      <c r="A404" s="119">
        <v>84</v>
      </c>
      <c r="B404" s="119" t="s">
        <v>179</v>
      </c>
      <c r="C404" s="119">
        <v>14</v>
      </c>
      <c r="D404" s="119">
        <v>14</v>
      </c>
      <c r="E404" s="119">
        <v>401</v>
      </c>
      <c r="F404" s="119">
        <v>6.9630000000000001</v>
      </c>
      <c r="G404" s="119">
        <v>25.8</v>
      </c>
      <c r="H404" s="119">
        <v>25</v>
      </c>
      <c r="I404" s="119">
        <v>6.3853</v>
      </c>
      <c r="J404" s="119">
        <v>3.2305999999999999</v>
      </c>
      <c r="K404" s="119">
        <v>59.4</v>
      </c>
      <c r="L404" s="119">
        <v>0.12</v>
      </c>
      <c r="M404" s="119">
        <v>32.298900000000003</v>
      </c>
      <c r="N404" s="119">
        <v>7.64</v>
      </c>
    </row>
    <row r="405" spans="1:28" ht="14.5">
      <c r="A405" s="119">
        <v>84</v>
      </c>
      <c r="B405" s="119" t="s">
        <v>179</v>
      </c>
      <c r="C405" s="119">
        <v>15</v>
      </c>
      <c r="D405" s="119">
        <v>15</v>
      </c>
      <c r="E405" s="119">
        <v>402</v>
      </c>
      <c r="F405" s="119">
        <v>6.9669999999999996</v>
      </c>
      <c r="G405" s="119">
        <v>26.5</v>
      </c>
      <c r="H405" s="119">
        <v>25.7</v>
      </c>
      <c r="I405" s="119">
        <v>6.3842999999999996</v>
      </c>
      <c r="J405" s="119">
        <v>3.2305000000000001</v>
      </c>
      <c r="K405" s="119">
        <v>59.3</v>
      </c>
      <c r="L405" s="119">
        <v>0.12</v>
      </c>
      <c r="M405" s="119">
        <v>32.299100000000003</v>
      </c>
      <c r="N405" s="119">
        <v>7.65</v>
      </c>
    </row>
    <row r="406" spans="1:28" ht="14.5">
      <c r="A406" s="119">
        <v>84</v>
      </c>
      <c r="B406" s="119" t="s">
        <v>179</v>
      </c>
      <c r="C406" s="119">
        <v>16</v>
      </c>
      <c r="D406" s="119">
        <v>16</v>
      </c>
      <c r="E406" s="119">
        <v>403</v>
      </c>
      <c r="F406" s="119">
        <v>6.9770000000000003</v>
      </c>
      <c r="G406" s="119">
        <v>25.8</v>
      </c>
      <c r="H406" s="119">
        <v>25</v>
      </c>
      <c r="I406" s="119">
        <v>6.3855000000000004</v>
      </c>
      <c r="J406" s="119">
        <v>3.2305999999999999</v>
      </c>
      <c r="K406" s="119">
        <v>59.4</v>
      </c>
      <c r="L406" s="119">
        <v>0.12</v>
      </c>
      <c r="M406" s="119">
        <v>32.298900000000003</v>
      </c>
      <c r="N406" s="119">
        <v>7.65</v>
      </c>
    </row>
    <row r="407" spans="1:28" s="159" customFormat="1" ht="14.5">
      <c r="A407" s="119">
        <v>84</v>
      </c>
      <c r="B407" s="119" t="s">
        <v>179</v>
      </c>
      <c r="C407" s="119">
        <v>17</v>
      </c>
      <c r="D407" s="119">
        <v>17</v>
      </c>
      <c r="E407" s="119">
        <v>404</v>
      </c>
      <c r="F407" s="119">
        <v>6.9219999999999997</v>
      </c>
      <c r="G407" s="119">
        <v>6.3</v>
      </c>
      <c r="H407" s="119">
        <v>5.6</v>
      </c>
      <c r="I407" s="119">
        <v>6.3853</v>
      </c>
      <c r="J407" s="119">
        <v>3.2296999999999998</v>
      </c>
      <c r="K407" s="119">
        <v>59.2</v>
      </c>
      <c r="L407" s="119">
        <v>0.13</v>
      </c>
      <c r="M407" s="119">
        <v>32.298999999999999</v>
      </c>
      <c r="N407" s="119">
        <v>7.65</v>
      </c>
      <c r="O407" s="165"/>
      <c r="P407" s="165"/>
      <c r="Q407" s="167"/>
      <c r="R407" s="167"/>
      <c r="S407" s="167"/>
      <c r="T407" s="167"/>
      <c r="U407" s="170"/>
      <c r="V407" s="170"/>
      <c r="W407" s="172"/>
      <c r="X407" s="168"/>
      <c r="Y407" s="167"/>
    </row>
    <row r="408" spans="1:28" s="159" customFormat="1" ht="14.5">
      <c r="A408" s="119">
        <v>84</v>
      </c>
      <c r="B408" s="119" t="s">
        <v>179</v>
      </c>
      <c r="C408" s="119">
        <v>18</v>
      </c>
      <c r="D408" s="119">
        <v>18</v>
      </c>
      <c r="E408" s="119">
        <v>405</v>
      </c>
      <c r="F408" s="119">
        <v>6.9160000000000004</v>
      </c>
      <c r="G408" s="119">
        <v>6.8</v>
      </c>
      <c r="H408" s="119">
        <v>6.2</v>
      </c>
      <c r="I408" s="119">
        <v>6.3852000000000002</v>
      </c>
      <c r="J408" s="119">
        <v>3.2296999999999998</v>
      </c>
      <c r="K408" s="119">
        <v>59.2</v>
      </c>
      <c r="L408" s="119">
        <v>0.13</v>
      </c>
      <c r="M408" s="119">
        <v>32.298999999999999</v>
      </c>
      <c r="N408" s="119">
        <v>7.65</v>
      </c>
      <c r="O408" s="165"/>
      <c r="P408" s="165"/>
      <c r="Q408" s="167"/>
      <c r="R408" s="167"/>
      <c r="S408" s="167"/>
      <c r="T408" s="167"/>
      <c r="U408" s="170"/>
      <c r="V408" s="170"/>
      <c r="W408" s="172"/>
      <c r="X408" s="168"/>
      <c r="Y408" s="167"/>
    </row>
    <row r="409" spans="1:28" s="159" customFormat="1" ht="14.5">
      <c r="A409" s="119">
        <v>84</v>
      </c>
      <c r="B409" s="119" t="s">
        <v>179</v>
      </c>
      <c r="C409" s="119">
        <v>19</v>
      </c>
      <c r="D409" s="119">
        <v>19</v>
      </c>
      <c r="E409" s="119">
        <v>406</v>
      </c>
      <c r="F409" s="119">
        <v>6.9139999999999997</v>
      </c>
      <c r="G409" s="119">
        <v>7</v>
      </c>
      <c r="H409" s="119">
        <v>6.3</v>
      </c>
      <c r="I409" s="119">
        <v>6.3853</v>
      </c>
      <c r="J409" s="119">
        <v>3.2298</v>
      </c>
      <c r="K409" s="119">
        <v>59.3</v>
      </c>
      <c r="L409" s="119">
        <v>0.13</v>
      </c>
      <c r="M409" s="119">
        <v>32.298999999999999</v>
      </c>
      <c r="N409" s="119">
        <v>7.65</v>
      </c>
      <c r="O409" s="157"/>
      <c r="P409" s="157"/>
      <c r="Q409" s="151"/>
      <c r="R409" s="151"/>
      <c r="S409" s="151"/>
      <c r="T409" s="151"/>
      <c r="U409" s="155"/>
      <c r="V409" s="155"/>
      <c r="W409" s="158"/>
      <c r="X409" s="152"/>
      <c r="Y409" s="151"/>
    </row>
    <row r="410" spans="1:28" s="159" customFormat="1" ht="14.5">
      <c r="A410" s="119">
        <v>84</v>
      </c>
      <c r="B410" s="119" t="s">
        <v>179</v>
      </c>
      <c r="C410" s="119">
        <v>20</v>
      </c>
      <c r="D410" s="119">
        <v>20</v>
      </c>
      <c r="E410" s="119">
        <v>407</v>
      </c>
      <c r="F410" s="119">
        <v>6.8979999999999997</v>
      </c>
      <c r="G410" s="119">
        <v>6.9</v>
      </c>
      <c r="H410" s="119">
        <v>6.2</v>
      </c>
      <c r="I410" s="119">
        <v>6.3855000000000004</v>
      </c>
      <c r="J410" s="119">
        <v>3.2298</v>
      </c>
      <c r="K410" s="119">
        <v>59.2</v>
      </c>
      <c r="L410" s="119">
        <v>0.13</v>
      </c>
      <c r="M410" s="119">
        <v>32.298900000000003</v>
      </c>
      <c r="N410" s="119">
        <v>7.65</v>
      </c>
      <c r="O410" s="157"/>
      <c r="P410" s="151"/>
      <c r="Q410" s="151"/>
      <c r="R410" s="175"/>
      <c r="S410" s="175"/>
      <c r="T410" s="175"/>
      <c r="U410" s="173"/>
      <c r="V410" s="158"/>
      <c r="W410" s="173"/>
      <c r="X410" s="173"/>
      <c r="Y410" s="175"/>
      <c r="Z410" s="177"/>
      <c r="AA410" s="177"/>
      <c r="AB410" s="152"/>
    </row>
    <row r="411" spans="1:28" s="159" customFormat="1" ht="14.5">
      <c r="A411" s="119">
        <v>84</v>
      </c>
      <c r="B411" s="119" t="s">
        <v>179</v>
      </c>
      <c r="C411" s="119">
        <v>21</v>
      </c>
      <c r="D411" s="119">
        <v>21</v>
      </c>
      <c r="E411" s="119">
        <v>408</v>
      </c>
      <c r="F411" s="119">
        <v>6.9139999999999997</v>
      </c>
      <c r="G411" s="119">
        <v>6.1</v>
      </c>
      <c r="H411" s="119">
        <v>5.5</v>
      </c>
      <c r="I411" s="119">
        <v>6.3849999999999998</v>
      </c>
      <c r="J411" s="119">
        <v>3.2296999999999998</v>
      </c>
      <c r="K411" s="119">
        <v>59.1</v>
      </c>
      <c r="L411" s="119">
        <v>0.13</v>
      </c>
      <c r="M411" s="119">
        <v>32.298900000000003</v>
      </c>
      <c r="N411" s="119">
        <v>7.65</v>
      </c>
      <c r="O411" s="248"/>
      <c r="P411" s="173"/>
      <c r="Q411" s="247"/>
      <c r="R411" s="173"/>
      <c r="S411" s="247"/>
      <c r="T411" s="175"/>
      <c r="U411" s="247"/>
      <c r="V411" s="158"/>
      <c r="W411" s="247"/>
      <c r="Y411" s="179"/>
      <c r="AA411" s="180"/>
    </row>
    <row r="412" spans="1:28" s="159" customFormat="1" ht="14.5">
      <c r="A412" s="119">
        <v>88</v>
      </c>
      <c r="B412" s="119" t="s">
        <v>180</v>
      </c>
      <c r="C412" s="119">
        <v>1</v>
      </c>
      <c r="D412" s="119">
        <v>1</v>
      </c>
      <c r="E412" s="119">
        <v>409</v>
      </c>
      <c r="F412" s="119">
        <v>1.5229999999999999</v>
      </c>
      <c r="G412" s="119">
        <v>302.8</v>
      </c>
      <c r="H412" s="119">
        <v>299.3</v>
      </c>
      <c r="I412" s="119">
        <v>4.8090999999999999</v>
      </c>
      <c r="J412" s="119">
        <v>3.2467000000000001</v>
      </c>
      <c r="K412" s="119">
        <v>63.8</v>
      </c>
      <c r="L412" s="119">
        <v>0.06</v>
      </c>
      <c r="M412" s="119">
        <v>33.893300000000004</v>
      </c>
      <c r="N412" s="119">
        <v>7.19</v>
      </c>
      <c r="O412" s="248"/>
      <c r="P412" s="173"/>
      <c r="Q412" s="247"/>
      <c r="R412" s="173"/>
      <c r="S412" s="247"/>
      <c r="T412" s="175"/>
      <c r="U412" s="247"/>
      <c r="V412" s="181"/>
      <c r="W412" s="247"/>
      <c r="X412" s="182"/>
      <c r="Y412" s="183"/>
      <c r="AA412" s="180"/>
    </row>
    <row r="413" spans="1:28" s="190" customFormat="1" ht="14.5">
      <c r="A413" s="119">
        <v>88</v>
      </c>
      <c r="B413" s="119" t="s">
        <v>180</v>
      </c>
      <c r="C413" s="119">
        <v>2</v>
      </c>
      <c r="D413" s="119">
        <v>2</v>
      </c>
      <c r="E413" s="119">
        <v>410</v>
      </c>
      <c r="F413" s="119">
        <v>2.319</v>
      </c>
      <c r="G413" s="119">
        <v>203.2</v>
      </c>
      <c r="H413" s="119">
        <v>200.7</v>
      </c>
      <c r="I413" s="119">
        <v>5.3722000000000003</v>
      </c>
      <c r="J413" s="119">
        <v>3.2856000000000001</v>
      </c>
      <c r="K413" s="119">
        <v>63.6</v>
      </c>
      <c r="L413" s="119">
        <v>0.05</v>
      </c>
      <c r="M413" s="119">
        <v>33.821199999999997</v>
      </c>
      <c r="N413" s="119">
        <v>7.26</v>
      </c>
      <c r="O413" s="184"/>
      <c r="P413" s="185"/>
      <c r="Q413" s="185"/>
      <c r="R413" s="185"/>
      <c r="S413" s="185"/>
      <c r="T413" s="187"/>
      <c r="U413" s="187"/>
      <c r="V413" s="185"/>
      <c r="W413" s="189"/>
      <c r="Y413" s="191"/>
      <c r="AA413" s="189"/>
      <c r="AB413" s="186"/>
    </row>
    <row r="414" spans="1:28" ht="14.5">
      <c r="A414" s="119">
        <v>88</v>
      </c>
      <c r="B414" s="119" t="s">
        <v>180</v>
      </c>
      <c r="C414" s="119">
        <v>3</v>
      </c>
      <c r="D414" s="119">
        <v>3</v>
      </c>
      <c r="E414" s="119">
        <v>411</v>
      </c>
      <c r="F414" s="119">
        <v>3.1480000000000001</v>
      </c>
      <c r="G414" s="119">
        <v>150</v>
      </c>
      <c r="H414" s="119">
        <v>148</v>
      </c>
      <c r="I414" s="119">
        <v>5.9450000000000003</v>
      </c>
      <c r="J414" s="119">
        <v>3.3210000000000002</v>
      </c>
      <c r="K414" s="119">
        <v>63.5</v>
      </c>
      <c r="L414" s="119">
        <v>0.05</v>
      </c>
      <c r="M414" s="119">
        <v>33.675699999999999</v>
      </c>
      <c r="N414" s="119">
        <v>7.34</v>
      </c>
    </row>
    <row r="415" spans="1:28" ht="14.5">
      <c r="A415" s="119">
        <v>88</v>
      </c>
      <c r="B415" s="119" t="s">
        <v>180</v>
      </c>
      <c r="C415" s="119">
        <v>4</v>
      </c>
      <c r="D415" s="119">
        <v>4</v>
      </c>
      <c r="E415" s="119">
        <v>412</v>
      </c>
      <c r="F415" s="119">
        <v>3.16</v>
      </c>
      <c r="G415" s="119">
        <v>149.9</v>
      </c>
      <c r="H415" s="119">
        <v>147.9</v>
      </c>
      <c r="I415" s="119">
        <v>5.9450000000000003</v>
      </c>
      <c r="J415" s="119">
        <v>3.3210000000000002</v>
      </c>
      <c r="K415" s="119">
        <v>63.5</v>
      </c>
      <c r="L415" s="119">
        <v>0.05</v>
      </c>
      <c r="M415" s="119">
        <v>33.675400000000003</v>
      </c>
      <c r="N415" s="119">
        <v>7.34</v>
      </c>
    </row>
    <row r="416" spans="1:28" ht="14.5">
      <c r="A416" s="119">
        <v>88</v>
      </c>
      <c r="B416" s="119" t="s">
        <v>180</v>
      </c>
      <c r="C416" s="119">
        <v>5</v>
      </c>
      <c r="D416" s="119">
        <v>5</v>
      </c>
      <c r="E416" s="119">
        <v>413</v>
      </c>
      <c r="F416" s="119">
        <v>3.774</v>
      </c>
      <c r="G416" s="119">
        <v>125.8</v>
      </c>
      <c r="H416" s="119">
        <v>124.1</v>
      </c>
      <c r="I416" s="119">
        <v>6.0942999999999996</v>
      </c>
      <c r="J416" s="119">
        <v>3.3151000000000002</v>
      </c>
      <c r="K416" s="119">
        <v>63.4</v>
      </c>
      <c r="L416" s="119">
        <v>0.05</v>
      </c>
      <c r="M416" s="119">
        <v>33.473399999999998</v>
      </c>
      <c r="N416" s="119">
        <v>7.4</v>
      </c>
    </row>
    <row r="417" spans="1:14" ht="14.5">
      <c r="A417" s="119">
        <v>88</v>
      </c>
      <c r="B417" s="119" t="s">
        <v>180</v>
      </c>
      <c r="C417" s="119">
        <v>6</v>
      </c>
      <c r="D417" s="119">
        <v>6</v>
      </c>
      <c r="E417" s="119">
        <v>414</v>
      </c>
      <c r="F417" s="119">
        <v>5.0949999999999998</v>
      </c>
      <c r="G417" s="119">
        <v>100.6</v>
      </c>
      <c r="H417" s="119">
        <v>99.1</v>
      </c>
      <c r="I417" s="119">
        <v>6.3487999999999998</v>
      </c>
      <c r="J417" s="119">
        <v>3.2913999999999999</v>
      </c>
      <c r="K417" s="119">
        <v>63.2</v>
      </c>
      <c r="L417" s="119">
        <v>0.06</v>
      </c>
      <c r="M417" s="119">
        <v>32.972099999999998</v>
      </c>
      <c r="N417" s="119">
        <v>7.51</v>
      </c>
    </row>
    <row r="418" spans="1:14" ht="14.5">
      <c r="A418" s="119">
        <v>88</v>
      </c>
      <c r="B418" s="119" t="s">
        <v>180</v>
      </c>
      <c r="C418" s="119">
        <v>7</v>
      </c>
      <c r="D418" s="119">
        <v>7</v>
      </c>
      <c r="E418" s="119">
        <v>415</v>
      </c>
      <c r="F418" s="119">
        <v>5.109</v>
      </c>
      <c r="G418" s="119">
        <v>99.9</v>
      </c>
      <c r="H418" s="119">
        <v>98.4</v>
      </c>
      <c r="I418" s="119">
        <v>6.3441000000000001</v>
      </c>
      <c r="J418" s="119">
        <v>3.2909999999999999</v>
      </c>
      <c r="K418" s="119">
        <v>63.2</v>
      </c>
      <c r="L418" s="119">
        <v>0.06</v>
      </c>
      <c r="M418" s="119">
        <v>32.973399999999998</v>
      </c>
      <c r="N418" s="119">
        <v>7.51</v>
      </c>
    </row>
    <row r="419" spans="1:14" ht="14.5">
      <c r="A419" s="119">
        <v>88</v>
      </c>
      <c r="B419" s="119" t="s">
        <v>180</v>
      </c>
      <c r="C419" s="119">
        <v>8</v>
      </c>
      <c r="D419" s="119">
        <v>8</v>
      </c>
      <c r="E419" s="119">
        <v>416</v>
      </c>
      <c r="F419" s="119">
        <v>5.0910000000000002</v>
      </c>
      <c r="G419" s="119">
        <v>101.1</v>
      </c>
      <c r="H419" s="119">
        <v>99.6</v>
      </c>
      <c r="I419" s="119">
        <v>6.3224999999999998</v>
      </c>
      <c r="J419" s="119">
        <v>3.2896999999999998</v>
      </c>
      <c r="K419" s="119">
        <v>63.2</v>
      </c>
      <c r="L419" s="119">
        <v>0.06</v>
      </c>
      <c r="M419" s="119">
        <v>32.9788</v>
      </c>
      <c r="N419" s="119">
        <v>7.51</v>
      </c>
    </row>
    <row r="420" spans="1:14" ht="14.5">
      <c r="A420" s="119">
        <v>88</v>
      </c>
      <c r="B420" s="119" t="s">
        <v>180</v>
      </c>
      <c r="C420" s="119">
        <v>9</v>
      </c>
      <c r="D420" s="119">
        <v>9</v>
      </c>
      <c r="E420" s="119">
        <v>417</v>
      </c>
      <c r="F420" s="119">
        <v>6.5149999999999997</v>
      </c>
      <c r="G420" s="119">
        <v>75.5</v>
      </c>
      <c r="H420" s="119">
        <v>74.2</v>
      </c>
      <c r="I420" s="119">
        <v>6.6707999999999998</v>
      </c>
      <c r="J420" s="119">
        <v>3.2658</v>
      </c>
      <c r="K420" s="119">
        <v>62.6</v>
      </c>
      <c r="L420" s="119">
        <v>0.08</v>
      </c>
      <c r="M420" s="119">
        <v>32.393799999999999</v>
      </c>
      <c r="N420" s="119">
        <v>7.63</v>
      </c>
    </row>
    <row r="421" spans="1:14" ht="14.5">
      <c r="A421" s="119">
        <v>88</v>
      </c>
      <c r="B421" s="119" t="s">
        <v>180</v>
      </c>
      <c r="C421" s="119">
        <v>10</v>
      </c>
      <c r="D421" s="119">
        <v>10</v>
      </c>
      <c r="E421" s="119">
        <v>418</v>
      </c>
      <c r="F421" s="119">
        <v>6.8929999999999998</v>
      </c>
      <c r="G421" s="119">
        <v>48.8</v>
      </c>
      <c r="H421" s="119">
        <v>47.7</v>
      </c>
      <c r="I421" s="119">
        <v>6.8262</v>
      </c>
      <c r="J421" s="119">
        <v>3.2652000000000001</v>
      </c>
      <c r="K421" s="119">
        <v>60.9</v>
      </c>
      <c r="L421" s="119">
        <v>0.11</v>
      </c>
      <c r="M421" s="119">
        <v>32.253300000000003</v>
      </c>
      <c r="N421" s="119">
        <v>7.67</v>
      </c>
    </row>
    <row r="422" spans="1:14" ht="14.5">
      <c r="A422" s="119">
        <v>88</v>
      </c>
      <c r="B422" s="119" t="s">
        <v>180</v>
      </c>
      <c r="C422" s="119">
        <v>11</v>
      </c>
      <c r="D422" s="119">
        <v>11</v>
      </c>
      <c r="E422" s="119">
        <v>419</v>
      </c>
      <c r="F422" s="119">
        <v>6.9029999999999996</v>
      </c>
      <c r="G422" s="119">
        <v>48.8</v>
      </c>
      <c r="H422" s="119">
        <v>47.7</v>
      </c>
      <c r="I422" s="119">
        <v>6.8261000000000003</v>
      </c>
      <c r="J422" s="119">
        <v>3.2652000000000001</v>
      </c>
      <c r="K422" s="119">
        <v>60.9</v>
      </c>
      <c r="L422" s="119">
        <v>0.11</v>
      </c>
      <c r="M422" s="119">
        <v>32.253700000000002</v>
      </c>
      <c r="N422" s="119">
        <v>7.67</v>
      </c>
    </row>
    <row r="423" spans="1:14" ht="14.5">
      <c r="A423" s="119">
        <v>88</v>
      </c>
      <c r="B423" s="119" t="s">
        <v>180</v>
      </c>
      <c r="C423" s="119">
        <v>12</v>
      </c>
      <c r="D423" s="119">
        <v>12</v>
      </c>
      <c r="E423" s="119">
        <v>420</v>
      </c>
      <c r="F423" s="119">
        <v>6.8979999999999997</v>
      </c>
      <c r="G423" s="119">
        <v>49.4</v>
      </c>
      <c r="H423" s="119">
        <v>48.3</v>
      </c>
      <c r="I423" s="119">
        <v>6.8239000000000001</v>
      </c>
      <c r="J423" s="119">
        <v>3.2650999999999999</v>
      </c>
      <c r="K423" s="119">
        <v>60.9</v>
      </c>
      <c r="L423" s="119">
        <v>0.11</v>
      </c>
      <c r="M423" s="119">
        <v>32.254600000000003</v>
      </c>
      <c r="N423" s="119">
        <v>7.67</v>
      </c>
    </row>
    <row r="424" spans="1:14" ht="14.5">
      <c r="A424" s="119">
        <v>88</v>
      </c>
      <c r="B424" s="119" t="s">
        <v>180</v>
      </c>
      <c r="C424" s="119">
        <v>13</v>
      </c>
      <c r="D424" s="119">
        <v>13</v>
      </c>
      <c r="E424" s="119">
        <v>421</v>
      </c>
      <c r="F424" s="119">
        <v>6.9619999999999997</v>
      </c>
      <c r="G424" s="119">
        <v>25.8</v>
      </c>
      <c r="H424" s="119">
        <v>25</v>
      </c>
      <c r="I424" s="119">
        <v>6.8384</v>
      </c>
      <c r="J424" s="119">
        <v>3.2637999999999998</v>
      </c>
      <c r="K424" s="119">
        <v>59.1</v>
      </c>
      <c r="L424" s="119">
        <v>0.13</v>
      </c>
      <c r="M424" s="119">
        <v>32.237499999999997</v>
      </c>
      <c r="N424" s="119">
        <v>7.68</v>
      </c>
    </row>
    <row r="425" spans="1:14" ht="14.5">
      <c r="A425" s="119">
        <v>88</v>
      </c>
      <c r="B425" s="119" t="s">
        <v>180</v>
      </c>
      <c r="C425" s="119">
        <v>14</v>
      </c>
      <c r="D425" s="119">
        <v>14</v>
      </c>
      <c r="E425" s="119">
        <v>422</v>
      </c>
      <c r="F425" s="119">
        <v>6.9580000000000002</v>
      </c>
      <c r="G425" s="119">
        <v>24.4</v>
      </c>
      <c r="H425" s="119">
        <v>23.6</v>
      </c>
      <c r="I425" s="119">
        <v>6.8384999999999998</v>
      </c>
      <c r="J425" s="119">
        <v>3.2637999999999998</v>
      </c>
      <c r="K425" s="119">
        <v>59.2</v>
      </c>
      <c r="L425" s="119">
        <v>0.13</v>
      </c>
      <c r="M425" s="119">
        <v>32.237699999999997</v>
      </c>
      <c r="N425" s="119">
        <v>7.68</v>
      </c>
    </row>
    <row r="426" spans="1:14" ht="14.5">
      <c r="A426" s="119">
        <v>88</v>
      </c>
      <c r="B426" s="119" t="s">
        <v>180</v>
      </c>
      <c r="C426" s="119">
        <v>15</v>
      </c>
      <c r="D426" s="119">
        <v>15</v>
      </c>
      <c r="E426" s="119">
        <v>423</v>
      </c>
      <c r="F426" s="119">
        <v>6.9580000000000002</v>
      </c>
      <c r="G426" s="119">
        <v>25.4</v>
      </c>
      <c r="H426" s="119">
        <v>24.6</v>
      </c>
      <c r="I426" s="119">
        <v>6.8383000000000003</v>
      </c>
      <c r="J426" s="119">
        <v>3.2637999999999998</v>
      </c>
      <c r="K426" s="119">
        <v>59.2</v>
      </c>
      <c r="L426" s="119">
        <v>0.13</v>
      </c>
      <c r="M426" s="119">
        <v>32.237499999999997</v>
      </c>
      <c r="N426" s="119">
        <v>7.68</v>
      </c>
    </row>
    <row r="427" spans="1:14" ht="14.5">
      <c r="A427" s="119">
        <v>88</v>
      </c>
      <c r="B427" s="119" t="s">
        <v>180</v>
      </c>
      <c r="C427" s="119">
        <v>16</v>
      </c>
      <c r="D427" s="119">
        <v>16</v>
      </c>
      <c r="E427" s="119">
        <v>424</v>
      </c>
      <c r="F427" s="119">
        <v>6.8220000000000001</v>
      </c>
      <c r="G427" s="119">
        <v>4.4000000000000004</v>
      </c>
      <c r="H427" s="119">
        <v>3.7</v>
      </c>
      <c r="I427" s="119">
        <v>6.8375000000000004</v>
      </c>
      <c r="J427" s="119">
        <v>3.2627999999999999</v>
      </c>
      <c r="K427" s="119">
        <v>59.1</v>
      </c>
      <c r="L427" s="119">
        <v>0.14000000000000001</v>
      </c>
      <c r="M427" s="119">
        <v>32.237400000000001</v>
      </c>
      <c r="N427" s="119">
        <v>7.68</v>
      </c>
    </row>
    <row r="428" spans="1:14" ht="14.5">
      <c r="A428" s="119">
        <v>88</v>
      </c>
      <c r="B428" s="119" t="s">
        <v>180</v>
      </c>
      <c r="C428" s="119">
        <v>17</v>
      </c>
      <c r="D428" s="119">
        <v>17</v>
      </c>
      <c r="E428" s="119">
        <v>425</v>
      </c>
      <c r="F428" s="119">
        <v>6.8310000000000004</v>
      </c>
      <c r="G428" s="119">
        <v>4.7</v>
      </c>
      <c r="H428" s="119">
        <v>4</v>
      </c>
      <c r="I428" s="119">
        <v>6.8376000000000001</v>
      </c>
      <c r="J428" s="119">
        <v>3.2627999999999999</v>
      </c>
      <c r="K428" s="119">
        <v>59.1</v>
      </c>
      <c r="L428" s="119">
        <v>0.14000000000000001</v>
      </c>
      <c r="M428" s="119">
        <v>32.237499999999997</v>
      </c>
      <c r="N428" s="119">
        <v>7.68</v>
      </c>
    </row>
    <row r="429" spans="1:14" ht="14.5">
      <c r="A429" s="119">
        <v>88</v>
      </c>
      <c r="B429" s="119" t="s">
        <v>180</v>
      </c>
      <c r="C429" s="119">
        <v>18</v>
      </c>
      <c r="D429" s="119">
        <v>18</v>
      </c>
      <c r="E429" s="119">
        <v>426</v>
      </c>
      <c r="F429" s="119">
        <v>6.8460000000000001</v>
      </c>
      <c r="G429" s="119">
        <v>5.9</v>
      </c>
      <c r="H429" s="119">
        <v>5.2</v>
      </c>
      <c r="I429" s="119">
        <v>6.8375000000000004</v>
      </c>
      <c r="J429" s="119">
        <v>3.2629000000000001</v>
      </c>
      <c r="K429" s="119">
        <v>59</v>
      </c>
      <c r="L429" s="119">
        <v>0.14000000000000001</v>
      </c>
      <c r="M429" s="119">
        <v>32.237400000000001</v>
      </c>
      <c r="N429" s="119">
        <v>7.68</v>
      </c>
    </row>
    <row r="430" spans="1:14" ht="14.5">
      <c r="A430" s="119">
        <v>88</v>
      </c>
      <c r="B430" s="119" t="s">
        <v>180</v>
      </c>
      <c r="C430" s="119">
        <v>19</v>
      </c>
      <c r="D430" s="119">
        <v>19</v>
      </c>
      <c r="E430" s="119">
        <v>427</v>
      </c>
      <c r="F430" s="119">
        <v>6.8250000000000002</v>
      </c>
      <c r="G430" s="119">
        <v>6.8</v>
      </c>
      <c r="H430" s="119">
        <v>6.2</v>
      </c>
      <c r="I430" s="119">
        <v>6.8376999999999999</v>
      </c>
      <c r="J430" s="119">
        <v>3.2629000000000001</v>
      </c>
      <c r="K430" s="119">
        <v>59.1</v>
      </c>
      <c r="L430" s="119">
        <v>0.14000000000000001</v>
      </c>
      <c r="M430" s="119">
        <v>32.237499999999997</v>
      </c>
      <c r="N430" s="119">
        <v>7.68</v>
      </c>
    </row>
    <row r="431" spans="1:14" ht="14.5">
      <c r="A431" s="119">
        <v>88</v>
      </c>
      <c r="B431" s="119" t="s">
        <v>180</v>
      </c>
      <c r="C431" s="119">
        <v>20</v>
      </c>
      <c r="D431" s="119">
        <v>20</v>
      </c>
      <c r="E431" s="119">
        <v>428</v>
      </c>
      <c r="F431" s="119">
        <v>6.82</v>
      </c>
      <c r="G431" s="119">
        <v>5.4</v>
      </c>
      <c r="H431" s="119">
        <v>4.7</v>
      </c>
      <c r="I431" s="119">
        <v>6.8372000000000002</v>
      </c>
      <c r="J431" s="119">
        <v>3.2627999999999999</v>
      </c>
      <c r="K431" s="119">
        <v>59</v>
      </c>
      <c r="L431" s="119">
        <v>0.14000000000000001</v>
      </c>
      <c r="M431" s="119">
        <v>32.237400000000001</v>
      </c>
      <c r="N431" s="119">
        <v>7.68</v>
      </c>
    </row>
    <row r="432" spans="1:14" ht="14.5">
      <c r="A432" s="119">
        <v>92</v>
      </c>
      <c r="B432" s="119" t="s">
        <v>181</v>
      </c>
      <c r="C432" s="119">
        <v>1</v>
      </c>
      <c r="D432" s="119">
        <v>1</v>
      </c>
      <c r="E432" s="119">
        <v>429</v>
      </c>
      <c r="F432" s="119">
        <v>1.6140000000000001</v>
      </c>
      <c r="G432" s="119">
        <v>300.5</v>
      </c>
      <c r="H432" s="119">
        <v>297.10000000000002</v>
      </c>
      <c r="I432" s="119">
        <v>4.8160999999999996</v>
      </c>
      <c r="J432" s="119">
        <v>3.2463000000000002</v>
      </c>
      <c r="K432" s="119">
        <v>63.8</v>
      </c>
      <c r="L432" s="119">
        <v>0.06</v>
      </c>
      <c r="M432" s="119">
        <v>33.882100000000001</v>
      </c>
      <c r="N432" s="119">
        <v>7.2</v>
      </c>
    </row>
    <row r="433" spans="1:28" ht="14.5">
      <c r="A433" s="119">
        <v>92</v>
      </c>
      <c r="B433" s="119" t="s">
        <v>181</v>
      </c>
      <c r="C433" s="119">
        <v>2</v>
      </c>
      <c r="D433" s="119">
        <v>2</v>
      </c>
      <c r="E433" s="119">
        <v>430</v>
      </c>
      <c r="F433" s="119">
        <v>2.657</v>
      </c>
      <c r="G433" s="119">
        <v>201.7</v>
      </c>
      <c r="H433" s="119">
        <v>199.2</v>
      </c>
      <c r="I433" s="119">
        <v>5.4531999999999998</v>
      </c>
      <c r="J433" s="119">
        <v>3.2887</v>
      </c>
      <c r="K433" s="119">
        <v>63.6</v>
      </c>
      <c r="L433" s="119">
        <v>0.05</v>
      </c>
      <c r="M433" s="119">
        <v>33.775799999999997</v>
      </c>
      <c r="N433" s="119">
        <v>7.29</v>
      </c>
    </row>
    <row r="434" spans="1:28" ht="14.5">
      <c r="A434" s="119">
        <v>92</v>
      </c>
      <c r="B434" s="119" t="s">
        <v>181</v>
      </c>
      <c r="C434" s="119">
        <v>3</v>
      </c>
      <c r="D434" s="119">
        <v>3</v>
      </c>
      <c r="E434" s="119">
        <v>431</v>
      </c>
      <c r="F434" s="119">
        <v>3.2120000000000002</v>
      </c>
      <c r="G434" s="119">
        <v>150.30000000000001</v>
      </c>
      <c r="H434" s="119">
        <v>148.30000000000001</v>
      </c>
      <c r="I434" s="119">
        <v>5.9032</v>
      </c>
      <c r="J434" s="119">
        <v>3.3168000000000002</v>
      </c>
      <c r="K434" s="119">
        <v>63.6</v>
      </c>
      <c r="L434" s="119">
        <v>0.05</v>
      </c>
      <c r="M434" s="119">
        <v>33.67</v>
      </c>
      <c r="N434" s="119">
        <v>7.35</v>
      </c>
    </row>
    <row r="435" spans="1:28" ht="14.5">
      <c r="A435" s="119">
        <v>92</v>
      </c>
      <c r="B435" s="119" t="s">
        <v>181</v>
      </c>
      <c r="C435" s="119">
        <v>4</v>
      </c>
      <c r="D435" s="119">
        <v>4</v>
      </c>
      <c r="E435" s="119">
        <v>432</v>
      </c>
      <c r="F435" s="119">
        <v>3.214</v>
      </c>
      <c r="G435" s="119">
        <v>150.69999999999999</v>
      </c>
      <c r="H435" s="119">
        <v>148.80000000000001</v>
      </c>
      <c r="I435" s="119">
        <v>5.9043999999999999</v>
      </c>
      <c r="J435" s="119">
        <v>3.3170000000000002</v>
      </c>
      <c r="K435" s="119">
        <v>63.6</v>
      </c>
      <c r="L435" s="119">
        <v>0.05</v>
      </c>
      <c r="M435" s="119">
        <v>33.669800000000002</v>
      </c>
      <c r="N435" s="119">
        <v>7.35</v>
      </c>
    </row>
    <row r="436" spans="1:28" ht="14.5">
      <c r="A436" s="119">
        <v>92</v>
      </c>
      <c r="B436" s="119" t="s">
        <v>181</v>
      </c>
      <c r="C436" s="119">
        <v>5</v>
      </c>
      <c r="D436" s="119">
        <v>5</v>
      </c>
      <c r="E436" s="119">
        <v>433</v>
      </c>
      <c r="F436" s="119">
        <v>4.1509999999999998</v>
      </c>
      <c r="G436" s="119">
        <v>125.8</v>
      </c>
      <c r="H436" s="119">
        <v>124.1</v>
      </c>
      <c r="I436" s="119">
        <v>6.1361999999999997</v>
      </c>
      <c r="J436" s="119">
        <v>3.3071000000000002</v>
      </c>
      <c r="K436" s="119">
        <v>63.5</v>
      </c>
      <c r="L436" s="119">
        <v>0.05</v>
      </c>
      <c r="M436" s="119">
        <v>33.342500000000001</v>
      </c>
      <c r="N436" s="119">
        <v>7.43</v>
      </c>
    </row>
    <row r="437" spans="1:28" ht="14.5">
      <c r="A437" s="119">
        <v>92</v>
      </c>
      <c r="B437" s="119" t="s">
        <v>181</v>
      </c>
      <c r="C437" s="119">
        <v>6</v>
      </c>
      <c r="D437" s="119">
        <v>6</v>
      </c>
      <c r="E437" s="119">
        <v>434</v>
      </c>
      <c r="F437" s="119">
        <v>6.2910000000000004</v>
      </c>
      <c r="G437" s="119">
        <v>100.5</v>
      </c>
      <c r="H437" s="119">
        <v>99</v>
      </c>
      <c r="I437" s="119">
        <v>6.4866000000000001</v>
      </c>
      <c r="J437" s="119">
        <v>3.2601</v>
      </c>
      <c r="K437" s="119">
        <v>62.9</v>
      </c>
      <c r="L437" s="119">
        <v>7.0000000000000007E-2</v>
      </c>
      <c r="M437" s="119">
        <v>32.493600000000001</v>
      </c>
      <c r="N437" s="119">
        <v>7.62</v>
      </c>
    </row>
    <row r="438" spans="1:28" s="159" customFormat="1" ht="14.5">
      <c r="A438" s="119">
        <v>92</v>
      </c>
      <c r="B438" s="119" t="s">
        <v>181</v>
      </c>
      <c r="C438" s="119">
        <v>7</v>
      </c>
      <c r="D438" s="119">
        <v>7</v>
      </c>
      <c r="E438" s="119">
        <v>435</v>
      </c>
      <c r="F438" s="119">
        <v>6.3040000000000003</v>
      </c>
      <c r="G438" s="119">
        <v>99.2</v>
      </c>
      <c r="H438" s="119">
        <v>97.7</v>
      </c>
      <c r="I438" s="119">
        <v>6.4903000000000004</v>
      </c>
      <c r="J438" s="119">
        <v>3.2595000000000001</v>
      </c>
      <c r="K438" s="119">
        <v>62.9</v>
      </c>
      <c r="L438" s="119">
        <v>7.0000000000000007E-2</v>
      </c>
      <c r="M438" s="119">
        <v>32.484299999999998</v>
      </c>
      <c r="N438" s="119">
        <v>7.62</v>
      </c>
      <c r="O438" s="165"/>
      <c r="P438" s="165"/>
      <c r="Q438" s="167"/>
      <c r="R438" s="167"/>
      <c r="S438" s="167"/>
      <c r="T438" s="167"/>
      <c r="U438" s="170"/>
      <c r="V438" s="170"/>
      <c r="W438" s="172"/>
      <c r="X438" s="168"/>
      <c r="Y438" s="167"/>
    </row>
    <row r="439" spans="1:28" s="159" customFormat="1" ht="14.5">
      <c r="A439" s="119">
        <v>92</v>
      </c>
      <c r="B439" s="119" t="s">
        <v>181</v>
      </c>
      <c r="C439" s="119">
        <v>8</v>
      </c>
      <c r="D439" s="119">
        <v>8</v>
      </c>
      <c r="E439" s="119">
        <v>436</v>
      </c>
      <c r="F439" s="119">
        <v>6.3410000000000002</v>
      </c>
      <c r="G439" s="119">
        <v>100.5</v>
      </c>
      <c r="H439" s="119">
        <v>99</v>
      </c>
      <c r="I439" s="119">
        <v>6.4880000000000004</v>
      </c>
      <c r="J439" s="119">
        <v>3.2602000000000002</v>
      </c>
      <c r="K439" s="119">
        <v>62.9</v>
      </c>
      <c r="L439" s="119">
        <v>7.0000000000000007E-2</v>
      </c>
      <c r="M439" s="119">
        <v>32.493099999999998</v>
      </c>
      <c r="N439" s="119">
        <v>7.62</v>
      </c>
      <c r="O439" s="165"/>
      <c r="P439" s="165"/>
      <c r="Q439" s="167"/>
      <c r="R439" s="167"/>
      <c r="S439" s="167"/>
      <c r="T439" s="167"/>
      <c r="U439" s="170"/>
      <c r="V439" s="170"/>
      <c r="W439" s="172"/>
      <c r="X439" s="168"/>
      <c r="Y439" s="167"/>
    </row>
    <row r="440" spans="1:28" s="159" customFormat="1" ht="14.5">
      <c r="A440" s="119">
        <v>92</v>
      </c>
      <c r="B440" s="119" t="s">
        <v>181</v>
      </c>
      <c r="C440" s="119">
        <v>9</v>
      </c>
      <c r="D440" s="119">
        <v>9</v>
      </c>
      <c r="E440" s="119">
        <v>437</v>
      </c>
      <c r="F440" s="119">
        <v>6.8719999999999999</v>
      </c>
      <c r="G440" s="119">
        <v>77.3</v>
      </c>
      <c r="H440" s="119">
        <v>76</v>
      </c>
      <c r="I440" s="119">
        <v>6.5834999999999999</v>
      </c>
      <c r="J440" s="119">
        <v>3.2504</v>
      </c>
      <c r="K440" s="119">
        <v>61.9</v>
      </c>
      <c r="L440" s="119">
        <v>0.1</v>
      </c>
      <c r="M440" s="119">
        <v>32.305700000000002</v>
      </c>
      <c r="N440" s="119">
        <v>7.67</v>
      </c>
      <c r="O440" s="165"/>
      <c r="P440" s="165"/>
      <c r="Q440" s="167"/>
      <c r="R440" s="167"/>
      <c r="S440" s="167"/>
      <c r="T440" s="167"/>
      <c r="U440" s="170"/>
      <c r="V440" s="170"/>
      <c r="W440" s="172"/>
      <c r="X440" s="168"/>
      <c r="Y440" s="167"/>
    </row>
    <row r="441" spans="1:28" s="159" customFormat="1" ht="14.5">
      <c r="A441" s="119">
        <v>92</v>
      </c>
      <c r="B441" s="119" t="s">
        <v>181</v>
      </c>
      <c r="C441" s="119">
        <v>10</v>
      </c>
      <c r="D441" s="119">
        <v>10</v>
      </c>
      <c r="E441" s="119">
        <v>438</v>
      </c>
      <c r="F441" s="119">
        <v>6.9359999999999999</v>
      </c>
      <c r="G441" s="119">
        <v>49.5</v>
      </c>
      <c r="H441" s="119">
        <v>48.5</v>
      </c>
      <c r="I441" s="119">
        <v>6.7287999999999997</v>
      </c>
      <c r="J441" s="119">
        <v>3.2587999999999999</v>
      </c>
      <c r="K441" s="119">
        <v>60.1</v>
      </c>
      <c r="L441" s="119">
        <v>0.12</v>
      </c>
      <c r="M441" s="119">
        <v>32.274700000000003</v>
      </c>
      <c r="N441" s="119">
        <v>7.68</v>
      </c>
      <c r="O441" s="157"/>
      <c r="P441" s="157"/>
      <c r="Q441" s="151"/>
      <c r="R441" s="151"/>
      <c r="S441" s="151"/>
      <c r="T441" s="151"/>
      <c r="U441" s="155"/>
      <c r="V441" s="155"/>
      <c r="W441" s="158"/>
      <c r="X441" s="152"/>
      <c r="Y441" s="151"/>
    </row>
    <row r="442" spans="1:28" s="159" customFormat="1" ht="14.5">
      <c r="A442" s="119">
        <v>92</v>
      </c>
      <c r="B442" s="119" t="s">
        <v>181</v>
      </c>
      <c r="C442" s="119">
        <v>11</v>
      </c>
      <c r="D442" s="119">
        <v>11</v>
      </c>
      <c r="E442" s="119">
        <v>439</v>
      </c>
      <c r="F442" s="119">
        <v>6.931</v>
      </c>
      <c r="G442" s="119">
        <v>49.7</v>
      </c>
      <c r="H442" s="119">
        <v>48.6</v>
      </c>
      <c r="I442" s="119">
        <v>6.7295999999999996</v>
      </c>
      <c r="J442" s="119">
        <v>3.2589000000000001</v>
      </c>
      <c r="K442" s="119">
        <v>60</v>
      </c>
      <c r="L442" s="119">
        <v>0.12</v>
      </c>
      <c r="M442" s="119">
        <v>32.2746</v>
      </c>
      <c r="N442" s="119">
        <v>7.68</v>
      </c>
      <c r="O442" s="157"/>
      <c r="P442" s="151"/>
      <c r="Q442" s="151"/>
      <c r="R442" s="175"/>
      <c r="S442" s="175"/>
      <c r="T442" s="175"/>
      <c r="U442" s="173"/>
      <c r="V442" s="158"/>
      <c r="W442" s="173"/>
      <c r="X442" s="173"/>
      <c r="Y442" s="175"/>
      <c r="Z442" s="177"/>
      <c r="AA442" s="177"/>
      <c r="AB442" s="152"/>
    </row>
    <row r="443" spans="1:28" s="159" customFormat="1" ht="14.5">
      <c r="A443" s="119">
        <v>92</v>
      </c>
      <c r="B443" s="119" t="s">
        <v>181</v>
      </c>
      <c r="C443" s="119">
        <v>12</v>
      </c>
      <c r="D443" s="119">
        <v>12</v>
      </c>
      <c r="E443" s="119">
        <v>440</v>
      </c>
      <c r="F443" s="119">
        <v>6.9260000000000002</v>
      </c>
      <c r="G443" s="119">
        <v>50.1</v>
      </c>
      <c r="H443" s="119">
        <v>49</v>
      </c>
      <c r="I443" s="119">
        <v>6.7302</v>
      </c>
      <c r="J443" s="119">
        <v>3.2589999999999999</v>
      </c>
      <c r="K443" s="119">
        <v>60.1</v>
      </c>
      <c r="L443" s="119">
        <v>0.12</v>
      </c>
      <c r="M443" s="119">
        <v>32.274700000000003</v>
      </c>
      <c r="N443" s="119">
        <v>7.68</v>
      </c>
      <c r="O443" s="248"/>
      <c r="P443" s="173"/>
      <c r="Q443" s="247"/>
      <c r="R443" s="173"/>
      <c r="S443" s="247"/>
      <c r="T443" s="175"/>
      <c r="U443" s="247"/>
      <c r="V443" s="158"/>
      <c r="W443" s="247"/>
      <c r="Y443" s="179"/>
      <c r="AA443" s="180"/>
    </row>
    <row r="444" spans="1:28" s="159" customFormat="1" ht="14.5">
      <c r="A444" s="119">
        <v>92</v>
      </c>
      <c r="B444" s="119" t="s">
        <v>181</v>
      </c>
      <c r="C444" s="119">
        <v>13</v>
      </c>
      <c r="D444" s="119">
        <v>13</v>
      </c>
      <c r="E444" s="119">
        <v>441</v>
      </c>
      <c r="F444" s="119">
        <v>6.9459999999999997</v>
      </c>
      <c r="G444" s="119">
        <v>26.6</v>
      </c>
      <c r="H444" s="119">
        <v>25.8</v>
      </c>
      <c r="I444" s="119">
        <v>6.8368000000000002</v>
      </c>
      <c r="J444" s="119">
        <v>3.2648000000000001</v>
      </c>
      <c r="K444" s="119">
        <v>57.7</v>
      </c>
      <c r="L444" s="119">
        <v>0.14000000000000001</v>
      </c>
      <c r="M444" s="119">
        <v>32.249099999999999</v>
      </c>
      <c r="N444" s="119">
        <v>7.69</v>
      </c>
      <c r="O444" s="248"/>
      <c r="P444" s="173"/>
      <c r="Q444" s="247"/>
      <c r="R444" s="173"/>
      <c r="S444" s="247"/>
      <c r="T444" s="175"/>
      <c r="U444" s="247"/>
      <c r="V444" s="181"/>
      <c r="W444" s="247"/>
      <c r="X444" s="182"/>
      <c r="Y444" s="183"/>
      <c r="AA444" s="180"/>
    </row>
    <row r="445" spans="1:28" s="190" customFormat="1" ht="14.5">
      <c r="A445" s="119">
        <v>92</v>
      </c>
      <c r="B445" s="119" t="s">
        <v>181</v>
      </c>
      <c r="C445" s="119">
        <v>14</v>
      </c>
      <c r="D445" s="119">
        <v>14</v>
      </c>
      <c r="E445" s="119">
        <v>442</v>
      </c>
      <c r="F445" s="119">
        <v>6.95</v>
      </c>
      <c r="G445" s="119">
        <v>27.1</v>
      </c>
      <c r="H445" s="119">
        <v>26.3</v>
      </c>
      <c r="I445" s="119">
        <v>6.8318000000000003</v>
      </c>
      <c r="J445" s="119">
        <v>3.2644000000000002</v>
      </c>
      <c r="K445" s="119">
        <v>58.2</v>
      </c>
      <c r="L445" s="119">
        <v>0.14000000000000001</v>
      </c>
      <c r="M445" s="119">
        <v>32.250100000000003</v>
      </c>
      <c r="N445" s="119">
        <v>7.69</v>
      </c>
      <c r="O445" s="184"/>
      <c r="P445" s="185"/>
      <c r="Q445" s="185"/>
      <c r="R445" s="185"/>
      <c r="S445" s="185"/>
      <c r="T445" s="187"/>
      <c r="U445" s="187"/>
      <c r="V445" s="185"/>
      <c r="W445" s="189"/>
      <c r="Y445" s="191"/>
      <c r="AA445" s="189"/>
      <c r="AB445" s="186"/>
    </row>
    <row r="446" spans="1:28" ht="14.5">
      <c r="A446" s="119">
        <v>92</v>
      </c>
      <c r="B446" s="119" t="s">
        <v>181</v>
      </c>
      <c r="C446" s="119">
        <v>15</v>
      </c>
      <c r="D446" s="119">
        <v>15</v>
      </c>
      <c r="E446" s="119">
        <v>443</v>
      </c>
      <c r="F446" s="119">
        <v>6.9429999999999996</v>
      </c>
      <c r="G446" s="119">
        <v>27.2</v>
      </c>
      <c r="H446" s="119">
        <v>26.4</v>
      </c>
      <c r="I446" s="119">
        <v>6.8277000000000001</v>
      </c>
      <c r="J446" s="119">
        <v>3.2642000000000002</v>
      </c>
      <c r="K446" s="119">
        <v>58.1</v>
      </c>
      <c r="L446" s="119">
        <v>0.14000000000000001</v>
      </c>
      <c r="M446" s="119">
        <v>32.250799999999998</v>
      </c>
      <c r="N446" s="119">
        <v>7.69</v>
      </c>
    </row>
    <row r="447" spans="1:28" ht="14.5">
      <c r="A447" s="119">
        <v>92</v>
      </c>
      <c r="B447" s="119" t="s">
        <v>181</v>
      </c>
      <c r="C447" s="119">
        <v>16</v>
      </c>
      <c r="D447" s="119">
        <v>16</v>
      </c>
      <c r="E447" s="119">
        <v>444</v>
      </c>
      <c r="F447" s="119">
        <v>6.9489999999999998</v>
      </c>
      <c r="G447" s="119">
        <v>7.2</v>
      </c>
      <c r="H447" s="119">
        <v>6.5</v>
      </c>
      <c r="I447" s="119">
        <v>7.0816999999999997</v>
      </c>
      <c r="J447" s="119">
        <v>3.2786</v>
      </c>
      <c r="K447" s="119">
        <v>57.9</v>
      </c>
      <c r="L447" s="119">
        <v>0.14000000000000001</v>
      </c>
      <c r="M447" s="119">
        <v>32.180500000000002</v>
      </c>
      <c r="N447" s="119">
        <v>7.69</v>
      </c>
    </row>
    <row r="448" spans="1:28" ht="14.5">
      <c r="A448" s="119">
        <v>92</v>
      </c>
      <c r="B448" s="119" t="s">
        <v>181</v>
      </c>
      <c r="C448" s="119">
        <v>17</v>
      </c>
      <c r="D448" s="119">
        <v>17</v>
      </c>
      <c r="E448" s="119">
        <v>445</v>
      </c>
      <c r="F448" s="119">
        <v>6.9450000000000003</v>
      </c>
      <c r="G448" s="119">
        <v>6.8</v>
      </c>
      <c r="H448" s="119">
        <v>6.2</v>
      </c>
      <c r="I448" s="119">
        <v>7.0818000000000003</v>
      </c>
      <c r="J448" s="119">
        <v>3.2786</v>
      </c>
      <c r="K448" s="119">
        <v>57.9</v>
      </c>
      <c r="L448" s="119">
        <v>0.14000000000000001</v>
      </c>
      <c r="M448" s="119">
        <v>32.180399999999999</v>
      </c>
      <c r="N448" s="119">
        <v>7.69</v>
      </c>
    </row>
    <row r="449" spans="1:28" ht="14.5">
      <c r="A449" s="119">
        <v>92</v>
      </c>
      <c r="B449" s="119" t="s">
        <v>181</v>
      </c>
      <c r="C449" s="119">
        <v>18</v>
      </c>
      <c r="D449" s="119">
        <v>18</v>
      </c>
      <c r="E449" s="119">
        <v>446</v>
      </c>
      <c r="F449" s="119">
        <v>6.9530000000000003</v>
      </c>
      <c r="G449" s="119">
        <v>5.9</v>
      </c>
      <c r="H449" s="119">
        <v>5.3</v>
      </c>
      <c r="I449" s="119">
        <v>7.0820999999999996</v>
      </c>
      <c r="J449" s="119">
        <v>3.2786</v>
      </c>
      <c r="K449" s="119">
        <v>58</v>
      </c>
      <c r="L449" s="119">
        <v>0.14000000000000001</v>
      </c>
      <c r="M449" s="119">
        <v>32.180399999999999</v>
      </c>
      <c r="N449" s="119">
        <v>7.69</v>
      </c>
    </row>
    <row r="450" spans="1:28" ht="14.5">
      <c r="A450" s="119">
        <v>92</v>
      </c>
      <c r="B450" s="119" t="s">
        <v>181</v>
      </c>
      <c r="C450" s="119">
        <v>19</v>
      </c>
      <c r="D450" s="119">
        <v>19</v>
      </c>
      <c r="E450" s="119">
        <v>447</v>
      </c>
      <c r="F450" s="119">
        <v>6.9710000000000001</v>
      </c>
      <c r="G450" s="119">
        <v>5.6</v>
      </c>
      <c r="H450" s="119">
        <v>5</v>
      </c>
      <c r="I450" s="119">
        <v>7.0819000000000001</v>
      </c>
      <c r="J450" s="119">
        <v>3.2786</v>
      </c>
      <c r="K450" s="119">
        <v>57.8</v>
      </c>
      <c r="L450" s="119">
        <v>0.13</v>
      </c>
      <c r="M450" s="119">
        <v>32.180500000000002</v>
      </c>
      <c r="N450" s="119">
        <v>7.69</v>
      </c>
    </row>
    <row r="451" spans="1:28" ht="14.5">
      <c r="A451" s="119">
        <v>92</v>
      </c>
      <c r="B451" s="119" t="s">
        <v>181</v>
      </c>
      <c r="C451" s="119">
        <v>20</v>
      </c>
      <c r="D451" s="119">
        <v>20</v>
      </c>
      <c r="E451" s="119">
        <v>448</v>
      </c>
      <c r="F451" s="119">
        <v>6.9580000000000002</v>
      </c>
      <c r="G451" s="119">
        <v>6.1</v>
      </c>
      <c r="H451" s="119">
        <v>5.4</v>
      </c>
      <c r="I451" s="119">
        <v>7.0820999999999996</v>
      </c>
      <c r="J451" s="119">
        <v>3.2786</v>
      </c>
      <c r="K451" s="119">
        <v>57.9</v>
      </c>
      <c r="L451" s="119">
        <v>0.13</v>
      </c>
      <c r="M451" s="119">
        <v>32.180500000000002</v>
      </c>
      <c r="N451" s="119">
        <v>7.69</v>
      </c>
    </row>
    <row r="452" spans="1:28" ht="14.5">
      <c r="A452" s="119">
        <v>96</v>
      </c>
      <c r="B452" s="119" t="s">
        <v>182</v>
      </c>
      <c r="C452" s="119">
        <v>1</v>
      </c>
      <c r="D452" s="119">
        <v>1</v>
      </c>
      <c r="E452" s="119">
        <v>449</v>
      </c>
      <c r="F452" s="119">
        <v>1.4490000000000001</v>
      </c>
      <c r="G452" s="119">
        <v>301.7</v>
      </c>
      <c r="H452" s="119">
        <v>298.2</v>
      </c>
      <c r="I452" s="119">
        <v>5.1048999999999998</v>
      </c>
      <c r="J452" s="119">
        <v>3.2770000000000001</v>
      </c>
      <c r="K452" s="119">
        <v>63.6</v>
      </c>
      <c r="L452" s="119">
        <v>0.06</v>
      </c>
      <c r="M452" s="119">
        <v>33.941899999999997</v>
      </c>
      <c r="N452" s="119">
        <v>7.22</v>
      </c>
    </row>
    <row r="453" spans="1:28" ht="14.5">
      <c r="A453" s="119">
        <v>96</v>
      </c>
      <c r="B453" s="119" t="s">
        <v>182</v>
      </c>
      <c r="C453" s="119">
        <v>2</v>
      </c>
      <c r="D453" s="119">
        <v>2</v>
      </c>
      <c r="E453" s="119">
        <v>450</v>
      </c>
      <c r="F453" s="119">
        <v>2.1949999999999998</v>
      </c>
      <c r="G453" s="119">
        <v>200.9</v>
      </c>
      <c r="H453" s="119">
        <v>198.5</v>
      </c>
      <c r="I453" s="119">
        <v>5.8125999999999998</v>
      </c>
      <c r="J453" s="119">
        <v>3.3283</v>
      </c>
      <c r="K453" s="119">
        <v>63.4</v>
      </c>
      <c r="L453" s="119">
        <v>0.05</v>
      </c>
      <c r="M453" s="119">
        <v>33.864600000000003</v>
      </c>
      <c r="N453" s="119">
        <v>7.28</v>
      </c>
    </row>
    <row r="454" spans="1:28" ht="14.5">
      <c r="A454" s="119">
        <v>96</v>
      </c>
      <c r="B454" s="119" t="s">
        <v>182</v>
      </c>
      <c r="C454" s="119">
        <v>3</v>
      </c>
      <c r="D454" s="119">
        <v>3</v>
      </c>
      <c r="E454" s="119">
        <v>451</v>
      </c>
      <c r="F454" s="119">
        <v>2.9</v>
      </c>
      <c r="G454" s="119">
        <v>149.5</v>
      </c>
      <c r="H454" s="119">
        <v>147.5</v>
      </c>
      <c r="I454" s="119">
        <v>6.3053999999999997</v>
      </c>
      <c r="J454" s="119">
        <v>3.3599000000000001</v>
      </c>
      <c r="K454" s="119">
        <v>63.4</v>
      </c>
      <c r="L454" s="119">
        <v>0.05</v>
      </c>
      <c r="M454" s="119">
        <v>33.753300000000003</v>
      </c>
      <c r="N454" s="119">
        <v>7.35</v>
      </c>
    </row>
    <row r="455" spans="1:28" ht="14.5">
      <c r="A455" s="119">
        <v>96</v>
      </c>
      <c r="B455" s="119" t="s">
        <v>182</v>
      </c>
      <c r="C455" s="119">
        <v>4</v>
      </c>
      <c r="D455" s="119">
        <v>4</v>
      </c>
      <c r="E455" s="119">
        <v>452</v>
      </c>
      <c r="F455" s="119">
        <v>2.911</v>
      </c>
      <c r="G455" s="119">
        <v>150.69999999999999</v>
      </c>
      <c r="H455" s="119">
        <v>148.69999999999999</v>
      </c>
      <c r="I455" s="119">
        <v>6.3074000000000003</v>
      </c>
      <c r="J455" s="119">
        <v>3.36</v>
      </c>
      <c r="K455" s="119">
        <v>63.4</v>
      </c>
      <c r="L455" s="119">
        <v>0.05</v>
      </c>
      <c r="M455" s="119">
        <v>33.752200000000002</v>
      </c>
      <c r="N455" s="119">
        <v>7.35</v>
      </c>
    </row>
    <row r="456" spans="1:28" ht="14.5">
      <c r="A456" s="119">
        <v>96</v>
      </c>
      <c r="B456" s="119" t="s">
        <v>182</v>
      </c>
      <c r="C456" s="119">
        <v>5</v>
      </c>
      <c r="D456" s="119">
        <v>5</v>
      </c>
      <c r="E456" s="119">
        <v>453</v>
      </c>
      <c r="F456" s="119">
        <v>2.8780000000000001</v>
      </c>
      <c r="G456" s="119">
        <v>150.9</v>
      </c>
      <c r="H456" s="119">
        <v>148.9</v>
      </c>
      <c r="I456" s="119">
        <v>6.266</v>
      </c>
      <c r="J456" s="119">
        <v>3.3574000000000002</v>
      </c>
      <c r="K456" s="119">
        <v>63.3</v>
      </c>
      <c r="L456" s="119">
        <v>0.05</v>
      </c>
      <c r="M456" s="119">
        <v>33.764099999999999</v>
      </c>
      <c r="N456" s="119">
        <v>7.36</v>
      </c>
    </row>
    <row r="457" spans="1:28" ht="14.5">
      <c r="A457" s="119">
        <v>96</v>
      </c>
      <c r="B457" s="119" t="s">
        <v>182</v>
      </c>
      <c r="C457" s="119">
        <v>6</v>
      </c>
      <c r="D457" s="119">
        <v>6</v>
      </c>
      <c r="E457" s="119">
        <v>454</v>
      </c>
      <c r="F457" s="119">
        <v>3.8220000000000001</v>
      </c>
      <c r="G457" s="119">
        <v>101</v>
      </c>
      <c r="H457" s="119">
        <v>99.5</v>
      </c>
      <c r="I457" s="119">
        <v>6.8339999999999996</v>
      </c>
      <c r="J457" s="119">
        <v>3.3649</v>
      </c>
      <c r="K457" s="119">
        <v>63.3</v>
      </c>
      <c r="L457" s="119">
        <v>0.05</v>
      </c>
      <c r="M457" s="119">
        <v>33.3142</v>
      </c>
      <c r="N457" s="119">
        <v>7.44</v>
      </c>
    </row>
    <row r="458" spans="1:28" ht="14.5">
      <c r="A458" s="119">
        <v>96</v>
      </c>
      <c r="B458" s="119" t="s">
        <v>182</v>
      </c>
      <c r="C458" s="119">
        <v>7</v>
      </c>
      <c r="D458" s="119">
        <v>7</v>
      </c>
      <c r="E458" s="119">
        <v>455</v>
      </c>
      <c r="F458" s="119">
        <v>3.8239999999999998</v>
      </c>
      <c r="G458" s="119">
        <v>101.4</v>
      </c>
      <c r="H458" s="119">
        <v>99.8</v>
      </c>
      <c r="I458" s="119">
        <v>6.8339999999999996</v>
      </c>
      <c r="J458" s="119">
        <v>3.3651</v>
      </c>
      <c r="K458" s="119">
        <v>63.3</v>
      </c>
      <c r="L458" s="119">
        <v>0.05</v>
      </c>
      <c r="M458" s="119">
        <v>33.316400000000002</v>
      </c>
      <c r="N458" s="119">
        <v>7.44</v>
      </c>
    </row>
    <row r="459" spans="1:28" ht="14.5">
      <c r="A459" s="119">
        <v>96</v>
      </c>
      <c r="B459" s="119" t="s">
        <v>182</v>
      </c>
      <c r="C459" s="119">
        <v>8</v>
      </c>
      <c r="D459" s="119">
        <v>8</v>
      </c>
      <c r="E459" s="119">
        <v>456</v>
      </c>
      <c r="F459" s="119">
        <v>3.8149999999999999</v>
      </c>
      <c r="G459" s="119">
        <v>101.3</v>
      </c>
      <c r="H459" s="119">
        <v>99.7</v>
      </c>
      <c r="I459" s="119">
        <v>6.8338000000000001</v>
      </c>
      <c r="J459" s="119">
        <v>3.3651</v>
      </c>
      <c r="K459" s="119">
        <v>63.2</v>
      </c>
      <c r="L459" s="119">
        <v>0.06</v>
      </c>
      <c r="M459" s="119">
        <v>33.3172</v>
      </c>
      <c r="N459" s="119">
        <v>7.44</v>
      </c>
    </row>
    <row r="460" spans="1:28" s="159" customFormat="1" ht="14.5">
      <c r="A460" s="119">
        <v>96</v>
      </c>
      <c r="B460" s="119" t="s">
        <v>182</v>
      </c>
      <c r="C460" s="119">
        <v>9</v>
      </c>
      <c r="D460" s="119">
        <v>9</v>
      </c>
      <c r="E460" s="119">
        <v>457</v>
      </c>
      <c r="F460" s="119">
        <v>6.8230000000000004</v>
      </c>
      <c r="G460" s="119">
        <v>76.3</v>
      </c>
      <c r="H460" s="119">
        <v>75</v>
      </c>
      <c r="I460" s="119">
        <v>6.3947000000000003</v>
      </c>
      <c r="J460" s="119">
        <v>3.2347999999999999</v>
      </c>
      <c r="K460" s="119">
        <v>62.3</v>
      </c>
      <c r="L460" s="119">
        <v>0.09</v>
      </c>
      <c r="M460" s="119">
        <v>32.313099999999999</v>
      </c>
      <c r="N460" s="119">
        <v>7.65</v>
      </c>
      <c r="O460" s="165"/>
      <c r="P460" s="165"/>
      <c r="Q460" s="167"/>
      <c r="R460" s="167"/>
      <c r="S460" s="167"/>
      <c r="T460" s="167"/>
      <c r="U460" s="170"/>
      <c r="V460" s="170"/>
      <c r="W460" s="172"/>
      <c r="X460" s="168"/>
      <c r="Y460" s="167"/>
    </row>
    <row r="461" spans="1:28" s="159" customFormat="1" ht="14.5">
      <c r="A461" s="119">
        <v>96</v>
      </c>
      <c r="B461" s="119" t="s">
        <v>182</v>
      </c>
      <c r="C461" s="119">
        <v>10</v>
      </c>
      <c r="D461" s="119">
        <v>10</v>
      </c>
      <c r="E461" s="119">
        <v>458</v>
      </c>
      <c r="F461" s="119">
        <v>6.8959999999999999</v>
      </c>
      <c r="G461" s="119">
        <v>52</v>
      </c>
      <c r="H461" s="119">
        <v>50.9</v>
      </c>
      <c r="I461" s="119">
        <v>6.3939000000000004</v>
      </c>
      <c r="J461" s="119">
        <v>3.2326000000000001</v>
      </c>
      <c r="K461" s="119">
        <v>61.6</v>
      </c>
      <c r="L461" s="119">
        <v>0.11</v>
      </c>
      <c r="M461" s="119">
        <v>32.300600000000003</v>
      </c>
      <c r="N461" s="119">
        <v>7.66</v>
      </c>
      <c r="O461" s="165"/>
      <c r="P461" s="165"/>
      <c r="Q461" s="167"/>
      <c r="R461" s="167"/>
      <c r="S461" s="167"/>
      <c r="T461" s="167"/>
      <c r="U461" s="170"/>
      <c r="V461" s="170"/>
      <c r="W461" s="172"/>
      <c r="X461" s="168"/>
      <c r="Y461" s="167"/>
    </row>
    <row r="462" spans="1:28" s="159" customFormat="1" ht="14.5">
      <c r="A462" s="119">
        <v>96</v>
      </c>
      <c r="B462" s="119" t="s">
        <v>182</v>
      </c>
      <c r="C462" s="119">
        <v>11</v>
      </c>
      <c r="D462" s="119">
        <v>11</v>
      </c>
      <c r="E462" s="119">
        <v>459</v>
      </c>
      <c r="F462" s="119">
        <v>6.9</v>
      </c>
      <c r="G462" s="119">
        <v>51.8</v>
      </c>
      <c r="H462" s="119">
        <v>50.7</v>
      </c>
      <c r="I462" s="119">
        <v>6.3940999999999999</v>
      </c>
      <c r="J462" s="119">
        <v>3.2326000000000001</v>
      </c>
      <c r="K462" s="119">
        <v>61.7</v>
      </c>
      <c r="L462" s="119">
        <v>0.11</v>
      </c>
      <c r="M462" s="119">
        <v>32.3005</v>
      </c>
      <c r="N462" s="119">
        <v>7.66</v>
      </c>
      <c r="O462" s="165"/>
      <c r="P462" s="165"/>
      <c r="Q462" s="167"/>
      <c r="R462" s="167"/>
      <c r="S462" s="167"/>
      <c r="T462" s="167"/>
      <c r="U462" s="170"/>
      <c r="V462" s="170"/>
      <c r="W462" s="172"/>
      <c r="X462" s="168"/>
      <c r="Y462" s="167"/>
    </row>
    <row r="463" spans="1:28" s="159" customFormat="1" ht="14.5">
      <c r="A463" s="119">
        <v>96</v>
      </c>
      <c r="B463" s="119" t="s">
        <v>182</v>
      </c>
      <c r="C463" s="119">
        <v>12</v>
      </c>
      <c r="D463" s="119">
        <v>12</v>
      </c>
      <c r="E463" s="119">
        <v>460</v>
      </c>
      <c r="F463" s="119">
        <v>6.9029999999999996</v>
      </c>
      <c r="G463" s="119">
        <v>51.2</v>
      </c>
      <c r="H463" s="119">
        <v>50.2</v>
      </c>
      <c r="I463" s="119">
        <v>6.3941999999999997</v>
      </c>
      <c r="J463" s="119">
        <v>3.2326000000000001</v>
      </c>
      <c r="K463" s="119">
        <v>61.7</v>
      </c>
      <c r="L463" s="119">
        <v>0.11</v>
      </c>
      <c r="M463" s="119">
        <v>32.3005</v>
      </c>
      <c r="N463" s="119">
        <v>7.66</v>
      </c>
      <c r="O463" s="157"/>
      <c r="P463" s="157"/>
      <c r="Q463" s="151"/>
      <c r="R463" s="151"/>
      <c r="S463" s="151"/>
      <c r="T463" s="151"/>
      <c r="U463" s="155"/>
      <c r="V463" s="155"/>
      <c r="W463" s="158"/>
      <c r="X463" s="152"/>
      <c r="Y463" s="151"/>
    </row>
    <row r="464" spans="1:28" s="159" customFormat="1" ht="14.5">
      <c r="A464" s="119">
        <v>96</v>
      </c>
      <c r="B464" s="119" t="s">
        <v>182</v>
      </c>
      <c r="C464" s="119">
        <v>13</v>
      </c>
      <c r="D464" s="119">
        <v>13</v>
      </c>
      <c r="E464" s="119">
        <v>461</v>
      </c>
      <c r="F464" s="119">
        <v>6.9720000000000004</v>
      </c>
      <c r="G464" s="119">
        <v>25.4</v>
      </c>
      <c r="H464" s="119">
        <v>24.6</v>
      </c>
      <c r="I464" s="119">
        <v>6.4478999999999997</v>
      </c>
      <c r="J464" s="119">
        <v>3.2345999999999999</v>
      </c>
      <c r="K464" s="119">
        <v>62.2</v>
      </c>
      <c r="L464" s="119">
        <v>0.1</v>
      </c>
      <c r="M464" s="119">
        <v>32.283999999999999</v>
      </c>
      <c r="N464" s="119">
        <v>7.67</v>
      </c>
      <c r="O464" s="157"/>
      <c r="P464" s="151"/>
      <c r="Q464" s="151"/>
      <c r="R464" s="175"/>
      <c r="S464" s="175"/>
      <c r="T464" s="175"/>
      <c r="U464" s="173"/>
      <c r="V464" s="158"/>
      <c r="W464" s="173"/>
      <c r="X464" s="173"/>
      <c r="Y464" s="175"/>
      <c r="Z464" s="177"/>
      <c r="AA464" s="177"/>
      <c r="AB464" s="152"/>
    </row>
    <row r="465" spans="1:28" s="159" customFormat="1" ht="14.5">
      <c r="A465" s="119">
        <v>96</v>
      </c>
      <c r="B465" s="119" t="s">
        <v>182</v>
      </c>
      <c r="C465" s="119">
        <v>14</v>
      </c>
      <c r="D465" s="119">
        <v>14</v>
      </c>
      <c r="E465" s="119">
        <v>462</v>
      </c>
      <c r="F465" s="119">
        <v>6.9720000000000004</v>
      </c>
      <c r="G465" s="119">
        <v>25.8</v>
      </c>
      <c r="H465" s="119">
        <v>25</v>
      </c>
      <c r="I465" s="119">
        <v>6.4477000000000002</v>
      </c>
      <c r="J465" s="119">
        <v>3.2345999999999999</v>
      </c>
      <c r="K465" s="119">
        <v>62.1</v>
      </c>
      <c r="L465" s="119">
        <v>0.1</v>
      </c>
      <c r="M465" s="119">
        <v>32.284300000000002</v>
      </c>
      <c r="N465" s="119">
        <v>7.67</v>
      </c>
      <c r="O465" s="248"/>
      <c r="P465" s="173"/>
      <c r="Q465" s="247"/>
      <c r="R465" s="173"/>
      <c r="S465" s="247"/>
      <c r="T465" s="175"/>
      <c r="U465" s="247"/>
      <c r="V465" s="158"/>
      <c r="W465" s="247"/>
      <c r="Y465" s="179"/>
      <c r="AA465" s="180"/>
    </row>
    <row r="466" spans="1:28" s="159" customFormat="1" ht="14.5">
      <c r="A466" s="119">
        <v>96</v>
      </c>
      <c r="B466" s="119" t="s">
        <v>182</v>
      </c>
      <c r="C466" s="119">
        <v>15</v>
      </c>
      <c r="D466" s="119">
        <v>15</v>
      </c>
      <c r="E466" s="119">
        <v>463</v>
      </c>
      <c r="F466" s="119">
        <v>6.9660000000000002</v>
      </c>
      <c r="G466" s="119">
        <v>25.6</v>
      </c>
      <c r="H466" s="119">
        <v>24.8</v>
      </c>
      <c r="I466" s="119">
        <v>6.4436999999999998</v>
      </c>
      <c r="J466" s="119">
        <v>3.2345000000000002</v>
      </c>
      <c r="K466" s="119">
        <v>61.9</v>
      </c>
      <c r="L466" s="119">
        <v>0.1</v>
      </c>
      <c r="M466" s="119">
        <v>32.286900000000003</v>
      </c>
      <c r="N466" s="119">
        <v>7.66</v>
      </c>
      <c r="O466" s="248"/>
      <c r="P466" s="173"/>
      <c r="Q466" s="247"/>
      <c r="R466" s="173"/>
      <c r="S466" s="247"/>
      <c r="T466" s="175"/>
      <c r="U466" s="247"/>
      <c r="V466" s="181"/>
      <c r="W466" s="247"/>
      <c r="X466" s="182"/>
      <c r="Y466" s="183"/>
      <c r="AA466" s="180"/>
    </row>
    <row r="467" spans="1:28" s="190" customFormat="1" ht="14.5">
      <c r="A467" s="119">
        <v>96</v>
      </c>
      <c r="B467" s="119" t="s">
        <v>182</v>
      </c>
      <c r="C467" s="119">
        <v>16</v>
      </c>
      <c r="D467" s="119">
        <v>16</v>
      </c>
      <c r="E467" s="119">
        <v>464</v>
      </c>
      <c r="F467" s="119">
        <v>6.9790000000000001</v>
      </c>
      <c r="G467" s="119">
        <v>6.6</v>
      </c>
      <c r="H467" s="119">
        <v>6</v>
      </c>
      <c r="I467" s="119">
        <v>6.4561000000000002</v>
      </c>
      <c r="J467" s="119">
        <v>3.2338</v>
      </c>
      <c r="K467" s="119">
        <v>62.3</v>
      </c>
      <c r="L467" s="119">
        <v>0.11</v>
      </c>
      <c r="M467" s="119">
        <v>32.277500000000003</v>
      </c>
      <c r="N467" s="119">
        <v>7.67</v>
      </c>
      <c r="O467" s="184"/>
      <c r="P467" s="185"/>
      <c r="Q467" s="185"/>
      <c r="R467" s="185"/>
      <c r="S467" s="185"/>
      <c r="T467" s="187"/>
      <c r="U467" s="187"/>
      <c r="V467" s="185"/>
      <c r="W467" s="189"/>
      <c r="Y467" s="191"/>
      <c r="AA467" s="189"/>
      <c r="AB467" s="186"/>
    </row>
    <row r="468" spans="1:28" s="201" customFormat="1" ht="14.5">
      <c r="A468" s="119">
        <v>96</v>
      </c>
      <c r="B468" s="119" t="s">
        <v>182</v>
      </c>
      <c r="C468" s="119">
        <v>17</v>
      </c>
      <c r="D468" s="119">
        <v>17</v>
      </c>
      <c r="E468" s="119">
        <v>465</v>
      </c>
      <c r="F468" s="119">
        <v>6.9909999999999997</v>
      </c>
      <c r="G468" s="119">
        <v>6.8</v>
      </c>
      <c r="H468" s="119">
        <v>6.2</v>
      </c>
      <c r="I468" s="119">
        <v>6.4558999999999997</v>
      </c>
      <c r="J468" s="119">
        <v>3.2338</v>
      </c>
      <c r="K468" s="119">
        <v>62.3</v>
      </c>
      <c r="L468" s="119">
        <v>0.11</v>
      </c>
      <c r="M468" s="119">
        <v>32.2774</v>
      </c>
      <c r="N468" s="119">
        <v>7.67</v>
      </c>
      <c r="W468" s="202"/>
    </row>
    <row r="469" spans="1:28" ht="14.5">
      <c r="A469" s="119">
        <v>96</v>
      </c>
      <c r="B469" s="119" t="s">
        <v>182</v>
      </c>
      <c r="C469" s="119">
        <v>18</v>
      </c>
      <c r="D469" s="119">
        <v>18</v>
      </c>
      <c r="E469" s="119">
        <v>466</v>
      </c>
      <c r="F469" s="119">
        <v>6.9880000000000004</v>
      </c>
      <c r="G469" s="119">
        <v>6.7</v>
      </c>
      <c r="H469" s="119">
        <v>6.1</v>
      </c>
      <c r="I469" s="119">
        <v>6.4560000000000004</v>
      </c>
      <c r="J469" s="119">
        <v>3.2338</v>
      </c>
      <c r="K469" s="119">
        <v>62.1</v>
      </c>
      <c r="L469" s="119">
        <v>0.1</v>
      </c>
      <c r="M469" s="119">
        <v>32.277200000000001</v>
      </c>
      <c r="N469" s="119">
        <v>7.67</v>
      </c>
    </row>
    <row r="470" spans="1:28" ht="14.5">
      <c r="A470" s="119">
        <v>96</v>
      </c>
      <c r="B470" s="119" t="s">
        <v>182</v>
      </c>
      <c r="C470" s="119">
        <v>19</v>
      </c>
      <c r="D470" s="119">
        <v>19</v>
      </c>
      <c r="E470" s="119">
        <v>467</v>
      </c>
      <c r="F470" s="119">
        <v>6.9870000000000001</v>
      </c>
      <c r="G470" s="119">
        <v>6.5</v>
      </c>
      <c r="H470" s="119">
        <v>5.9</v>
      </c>
      <c r="I470" s="119">
        <v>6.4561000000000002</v>
      </c>
      <c r="J470" s="119">
        <v>3.2338</v>
      </c>
      <c r="K470" s="119">
        <v>62.3</v>
      </c>
      <c r="L470" s="119">
        <v>0.1</v>
      </c>
      <c r="M470" s="119">
        <v>32.277099999999997</v>
      </c>
      <c r="N470" s="119">
        <v>7.67</v>
      </c>
    </row>
    <row r="471" spans="1:28" ht="14.5">
      <c r="A471" s="119">
        <v>96</v>
      </c>
      <c r="B471" s="119" t="s">
        <v>182</v>
      </c>
      <c r="C471" s="119">
        <v>20</v>
      </c>
      <c r="D471" s="119">
        <v>20</v>
      </c>
      <c r="E471" s="119">
        <v>468</v>
      </c>
      <c r="F471" s="119">
        <v>6.9850000000000003</v>
      </c>
      <c r="G471" s="119">
        <v>6.7</v>
      </c>
      <c r="H471" s="119">
        <v>6</v>
      </c>
      <c r="I471" s="119">
        <v>6.4560000000000004</v>
      </c>
      <c r="J471" s="119">
        <v>3.2338</v>
      </c>
      <c r="K471" s="119">
        <v>62.3</v>
      </c>
      <c r="L471" s="119">
        <v>0.11</v>
      </c>
      <c r="M471" s="119">
        <v>32.277099999999997</v>
      </c>
      <c r="N471" s="119">
        <v>7.67</v>
      </c>
    </row>
    <row r="472" spans="1:28" ht="14.5">
      <c r="A472" s="119">
        <v>100</v>
      </c>
      <c r="B472" s="119" t="s">
        <v>183</v>
      </c>
      <c r="C472" s="119">
        <v>1</v>
      </c>
      <c r="D472" s="119">
        <v>1</v>
      </c>
      <c r="E472" s="119">
        <v>469</v>
      </c>
      <c r="F472" s="119">
        <v>1.458</v>
      </c>
      <c r="G472" s="119">
        <v>301.7</v>
      </c>
      <c r="H472" s="119">
        <v>298.10000000000002</v>
      </c>
      <c r="I472" s="119">
        <v>4.9728000000000003</v>
      </c>
      <c r="J472" s="119">
        <v>3.2635999999999998</v>
      </c>
      <c r="K472" s="119">
        <v>63.9</v>
      </c>
      <c r="L472" s="119">
        <v>0.06</v>
      </c>
      <c r="M472" s="119">
        <v>33.921700000000001</v>
      </c>
      <c r="N472" s="119">
        <v>7.21</v>
      </c>
    </row>
    <row r="473" spans="1:28" ht="14.5">
      <c r="A473" s="119">
        <v>100</v>
      </c>
      <c r="B473" s="119" t="s">
        <v>183</v>
      </c>
      <c r="C473" s="119">
        <v>2</v>
      </c>
      <c r="D473" s="119">
        <v>2</v>
      </c>
      <c r="E473" s="119">
        <v>470</v>
      </c>
      <c r="F473" s="119">
        <v>2.3559999999999999</v>
      </c>
      <c r="G473" s="119">
        <v>200.9</v>
      </c>
      <c r="H473" s="119">
        <v>198.4</v>
      </c>
      <c r="I473" s="119">
        <v>5.6085000000000003</v>
      </c>
      <c r="J473" s="119">
        <v>3.3062</v>
      </c>
      <c r="K473" s="119">
        <v>63.5</v>
      </c>
      <c r="L473" s="119">
        <v>0.05</v>
      </c>
      <c r="M473" s="119">
        <v>33.819200000000002</v>
      </c>
      <c r="N473" s="119">
        <v>7.29</v>
      </c>
    </row>
    <row r="474" spans="1:28" s="159" customFormat="1" ht="14.5">
      <c r="A474" s="119">
        <v>100</v>
      </c>
      <c r="B474" s="119" t="s">
        <v>183</v>
      </c>
      <c r="C474" s="119">
        <v>3</v>
      </c>
      <c r="D474" s="119">
        <v>3</v>
      </c>
      <c r="E474" s="119">
        <v>471</v>
      </c>
      <c r="F474" s="119">
        <v>2.9079999999999999</v>
      </c>
      <c r="G474" s="119">
        <v>150.30000000000001</v>
      </c>
      <c r="H474" s="119">
        <v>148.30000000000001</v>
      </c>
      <c r="I474" s="119">
        <v>6.1848000000000001</v>
      </c>
      <c r="J474" s="119">
        <v>3.3449</v>
      </c>
      <c r="K474" s="119">
        <v>63.4</v>
      </c>
      <c r="L474" s="119">
        <v>0.05</v>
      </c>
      <c r="M474" s="119">
        <v>33.705399999999997</v>
      </c>
      <c r="N474" s="119">
        <v>7.35</v>
      </c>
      <c r="O474" s="165"/>
      <c r="P474" s="165"/>
      <c r="Q474" s="167"/>
      <c r="R474" s="167"/>
      <c r="S474" s="167"/>
      <c r="T474" s="167"/>
      <c r="U474" s="170"/>
      <c r="V474" s="170"/>
      <c r="W474" s="172"/>
      <c r="X474" s="168"/>
      <c r="Y474" s="167"/>
    </row>
    <row r="475" spans="1:28" s="159" customFormat="1" ht="14.5">
      <c r="A475" s="119">
        <v>100</v>
      </c>
      <c r="B475" s="119" t="s">
        <v>183</v>
      </c>
      <c r="C475" s="119">
        <v>4</v>
      </c>
      <c r="D475" s="119">
        <v>4</v>
      </c>
      <c r="E475" s="119">
        <v>472</v>
      </c>
      <c r="F475" s="119">
        <v>2.9089999999999998</v>
      </c>
      <c r="G475" s="119">
        <v>150.5</v>
      </c>
      <c r="H475" s="119">
        <v>148.5</v>
      </c>
      <c r="I475" s="119">
        <v>6.1813000000000002</v>
      </c>
      <c r="J475" s="119">
        <v>3.3448000000000002</v>
      </c>
      <c r="K475" s="119">
        <v>63.4</v>
      </c>
      <c r="L475" s="119">
        <v>0.05</v>
      </c>
      <c r="M475" s="119">
        <v>33.707700000000003</v>
      </c>
      <c r="N475" s="119">
        <v>7.35</v>
      </c>
      <c r="O475" s="165"/>
      <c r="P475" s="165"/>
      <c r="Q475" s="167"/>
      <c r="R475" s="167"/>
      <c r="S475" s="167"/>
      <c r="T475" s="167"/>
      <c r="U475" s="170"/>
      <c r="V475" s="170"/>
      <c r="W475" s="172"/>
      <c r="X475" s="168"/>
      <c r="Y475" s="167"/>
    </row>
    <row r="476" spans="1:28" s="159" customFormat="1" ht="14.5">
      <c r="A476" s="119">
        <v>100</v>
      </c>
      <c r="B476" s="119" t="s">
        <v>183</v>
      </c>
      <c r="C476" s="119">
        <v>5</v>
      </c>
      <c r="D476" s="119">
        <v>5</v>
      </c>
      <c r="E476" s="119">
        <v>473</v>
      </c>
      <c r="F476" s="119">
        <v>3.25</v>
      </c>
      <c r="G476" s="119">
        <v>124.9</v>
      </c>
      <c r="H476" s="119">
        <v>123.2</v>
      </c>
      <c r="I476" s="119">
        <v>6.3822999999999999</v>
      </c>
      <c r="J476" s="119">
        <v>3.3496999999999999</v>
      </c>
      <c r="K476" s="119">
        <v>63.3</v>
      </c>
      <c r="L476" s="119">
        <v>0.05</v>
      </c>
      <c r="M476" s="119">
        <v>33.5764</v>
      </c>
      <c r="N476" s="119">
        <v>7.38</v>
      </c>
      <c r="O476" s="165"/>
      <c r="P476" s="165"/>
      <c r="Q476" s="167"/>
      <c r="R476" s="167"/>
      <c r="S476" s="167"/>
      <c r="T476" s="167"/>
      <c r="U476" s="170"/>
      <c r="V476" s="170"/>
      <c r="W476" s="172"/>
      <c r="X476" s="168"/>
      <c r="Y476" s="167"/>
    </row>
    <row r="477" spans="1:28" s="159" customFormat="1" ht="14.5">
      <c r="A477" s="119">
        <v>100</v>
      </c>
      <c r="B477" s="119" t="s">
        <v>183</v>
      </c>
      <c r="C477" s="119">
        <v>6</v>
      </c>
      <c r="D477" s="119">
        <v>6</v>
      </c>
      <c r="E477" s="119">
        <v>474</v>
      </c>
      <c r="F477" s="119">
        <v>4.2839999999999998</v>
      </c>
      <c r="G477" s="119">
        <v>101.4</v>
      </c>
      <c r="H477" s="119">
        <v>99.9</v>
      </c>
      <c r="I477" s="119">
        <v>6.5796999999999999</v>
      </c>
      <c r="J477" s="119">
        <v>3.3256999999999999</v>
      </c>
      <c r="K477" s="119">
        <v>63.2</v>
      </c>
      <c r="L477" s="119">
        <v>0.05</v>
      </c>
      <c r="M477" s="119">
        <v>33.128999999999998</v>
      </c>
      <c r="N477" s="119">
        <v>7.47</v>
      </c>
      <c r="O477" s="157"/>
      <c r="P477" s="157"/>
      <c r="Q477" s="151"/>
      <c r="R477" s="151"/>
      <c r="S477" s="151"/>
      <c r="T477" s="151"/>
      <c r="U477" s="155"/>
      <c r="V477" s="155"/>
      <c r="W477" s="158"/>
      <c r="X477" s="152"/>
      <c r="Y477" s="151"/>
    </row>
    <row r="478" spans="1:28" s="159" customFormat="1" ht="14.5">
      <c r="A478" s="119">
        <v>100</v>
      </c>
      <c r="B478" s="119" t="s">
        <v>183</v>
      </c>
      <c r="C478" s="119">
        <v>7</v>
      </c>
      <c r="D478" s="119">
        <v>7</v>
      </c>
      <c r="E478" s="119">
        <v>475</v>
      </c>
      <c r="F478" s="119">
        <v>4.2910000000000004</v>
      </c>
      <c r="G478" s="119">
        <v>101.1</v>
      </c>
      <c r="H478" s="119">
        <v>99.6</v>
      </c>
      <c r="I478" s="119">
        <v>6.5792999999999999</v>
      </c>
      <c r="J478" s="119">
        <v>3.3256999999999999</v>
      </c>
      <c r="K478" s="119">
        <v>63.2</v>
      </c>
      <c r="L478" s="119">
        <v>0.05</v>
      </c>
      <c r="M478" s="119">
        <v>33.129800000000003</v>
      </c>
      <c r="N478" s="119">
        <v>7.47</v>
      </c>
      <c r="O478" s="157"/>
      <c r="P478" s="151"/>
      <c r="Q478" s="151"/>
      <c r="R478" s="175"/>
      <c r="S478" s="175"/>
      <c r="T478" s="175"/>
      <c r="U478" s="173"/>
      <c r="V478" s="158"/>
      <c r="W478" s="173"/>
      <c r="X478" s="173"/>
      <c r="Y478" s="175"/>
      <c r="Z478" s="177"/>
      <c r="AA478" s="177"/>
      <c r="AB478" s="152"/>
    </row>
    <row r="479" spans="1:28" s="159" customFormat="1" ht="14.5">
      <c r="A479" s="119">
        <v>100</v>
      </c>
      <c r="B479" s="119" t="s">
        <v>183</v>
      </c>
      <c r="C479" s="119">
        <v>8</v>
      </c>
      <c r="D479" s="119">
        <v>8</v>
      </c>
      <c r="E479" s="119">
        <v>476</v>
      </c>
      <c r="F479" s="119">
        <v>4.28</v>
      </c>
      <c r="G479" s="119">
        <v>101</v>
      </c>
      <c r="H479" s="119">
        <v>99.5</v>
      </c>
      <c r="I479" s="119">
        <v>6.5793999999999997</v>
      </c>
      <c r="J479" s="119">
        <v>3.3258999999999999</v>
      </c>
      <c r="K479" s="119">
        <v>63.2</v>
      </c>
      <c r="L479" s="119">
        <v>0.05</v>
      </c>
      <c r="M479" s="119">
        <v>33.131100000000004</v>
      </c>
      <c r="N479" s="119">
        <v>7.47</v>
      </c>
      <c r="O479" s="248"/>
      <c r="P479" s="173"/>
      <c r="Q479" s="247"/>
      <c r="R479" s="173"/>
      <c r="S479" s="247"/>
      <c r="T479" s="175"/>
      <c r="U479" s="247"/>
      <c r="V479" s="158"/>
      <c r="W479" s="247"/>
      <c r="Y479" s="179"/>
      <c r="AA479" s="180"/>
    </row>
    <row r="480" spans="1:28" s="159" customFormat="1" ht="14.5">
      <c r="A480" s="119">
        <v>100</v>
      </c>
      <c r="B480" s="119" t="s">
        <v>183</v>
      </c>
      <c r="C480" s="119">
        <v>9</v>
      </c>
      <c r="D480" s="119">
        <v>9</v>
      </c>
      <c r="E480" s="119">
        <v>477</v>
      </c>
      <c r="F480" s="119">
        <v>5.9260000000000002</v>
      </c>
      <c r="G480" s="119">
        <v>76.7</v>
      </c>
      <c r="H480" s="119">
        <v>75.400000000000006</v>
      </c>
      <c r="I480" s="119">
        <v>6.25</v>
      </c>
      <c r="J480" s="119">
        <v>3.2471999999999999</v>
      </c>
      <c r="K480" s="119">
        <v>62.9</v>
      </c>
      <c r="L480" s="119">
        <v>7.0000000000000007E-2</v>
      </c>
      <c r="M480" s="119">
        <v>32.5884</v>
      </c>
      <c r="N480" s="119">
        <v>7.59</v>
      </c>
      <c r="O480" s="248"/>
      <c r="P480" s="173"/>
      <c r="Q480" s="247"/>
      <c r="R480" s="173"/>
      <c r="S480" s="247"/>
      <c r="T480" s="175"/>
      <c r="U480" s="247"/>
      <c r="V480" s="181"/>
      <c r="W480" s="247"/>
      <c r="X480" s="182"/>
      <c r="Y480" s="183"/>
      <c r="AA480" s="180"/>
    </row>
    <row r="481" spans="1:28" s="190" customFormat="1" ht="14.5">
      <c r="A481" s="119">
        <v>100</v>
      </c>
      <c r="B481" s="119" t="s">
        <v>183</v>
      </c>
      <c r="C481" s="119">
        <v>10</v>
      </c>
      <c r="D481" s="119">
        <v>10</v>
      </c>
      <c r="E481" s="119">
        <v>478</v>
      </c>
      <c r="F481" s="119">
        <v>6.8109999999999999</v>
      </c>
      <c r="G481" s="119">
        <v>50.9</v>
      </c>
      <c r="H481" s="119">
        <v>49.8</v>
      </c>
      <c r="I481" s="119">
        <v>5.9682000000000004</v>
      </c>
      <c r="J481" s="119">
        <v>3.2002000000000002</v>
      </c>
      <c r="K481" s="119">
        <v>62.3</v>
      </c>
      <c r="L481" s="119">
        <v>0.09</v>
      </c>
      <c r="M481" s="119">
        <v>32.345500000000001</v>
      </c>
      <c r="N481" s="119">
        <v>7.65</v>
      </c>
      <c r="O481" s="184"/>
      <c r="P481" s="185"/>
      <c r="Q481" s="185"/>
      <c r="R481" s="185"/>
      <c r="S481" s="185"/>
      <c r="T481" s="187"/>
      <c r="U481" s="187"/>
      <c r="V481" s="185"/>
      <c r="W481" s="189"/>
      <c r="Y481" s="191"/>
      <c r="AA481" s="189"/>
      <c r="AB481" s="186"/>
    </row>
    <row r="482" spans="1:28" ht="14.5">
      <c r="A482" s="119">
        <v>100</v>
      </c>
      <c r="B482" s="119" t="s">
        <v>183</v>
      </c>
      <c r="C482" s="119">
        <v>11</v>
      </c>
      <c r="D482" s="119">
        <v>11</v>
      </c>
      <c r="E482" s="119">
        <v>479</v>
      </c>
      <c r="F482" s="119">
        <v>6.8070000000000004</v>
      </c>
      <c r="G482" s="119">
        <v>51.4</v>
      </c>
      <c r="H482" s="119">
        <v>50.4</v>
      </c>
      <c r="I482" s="119">
        <v>5.9695999999999998</v>
      </c>
      <c r="J482" s="119">
        <v>3.2002000000000002</v>
      </c>
      <c r="K482" s="119">
        <v>62.5</v>
      </c>
      <c r="L482" s="119">
        <v>0.09</v>
      </c>
      <c r="M482" s="119">
        <v>32.344200000000001</v>
      </c>
      <c r="N482" s="119">
        <v>7.65</v>
      </c>
    </row>
    <row r="483" spans="1:28" ht="14.5">
      <c r="A483" s="119">
        <v>100</v>
      </c>
      <c r="B483" s="119" t="s">
        <v>183</v>
      </c>
      <c r="C483" s="119">
        <v>12</v>
      </c>
      <c r="D483" s="119">
        <v>12</v>
      </c>
      <c r="E483" s="119">
        <v>480</v>
      </c>
      <c r="F483" s="119">
        <v>6.8109999999999999</v>
      </c>
      <c r="G483" s="119">
        <v>50.9</v>
      </c>
      <c r="H483" s="119">
        <v>49.9</v>
      </c>
      <c r="I483" s="119">
        <v>5.9680999999999997</v>
      </c>
      <c r="J483" s="119">
        <v>3.2002000000000002</v>
      </c>
      <c r="K483" s="119">
        <v>62.5</v>
      </c>
      <c r="L483" s="119">
        <v>0.09</v>
      </c>
      <c r="M483" s="119">
        <v>32.346299999999999</v>
      </c>
      <c r="N483" s="119">
        <v>7.65</v>
      </c>
    </row>
    <row r="484" spans="1:28" ht="14.5">
      <c r="A484" s="119">
        <v>100</v>
      </c>
      <c r="B484" s="119" t="s">
        <v>183</v>
      </c>
      <c r="C484" s="119">
        <v>13</v>
      </c>
      <c r="D484" s="119">
        <v>13</v>
      </c>
      <c r="E484" s="119">
        <v>481</v>
      </c>
      <c r="F484" s="119">
        <v>7.03</v>
      </c>
      <c r="G484" s="119">
        <v>26</v>
      </c>
      <c r="H484" s="119">
        <v>25.1</v>
      </c>
      <c r="I484" s="119">
        <v>6.1134000000000004</v>
      </c>
      <c r="J484" s="119">
        <v>3.1985999999999999</v>
      </c>
      <c r="K484" s="119">
        <v>59</v>
      </c>
      <c r="L484" s="119">
        <v>0.13</v>
      </c>
      <c r="M484" s="119">
        <v>32.201599999999999</v>
      </c>
      <c r="N484" s="119">
        <v>7.67</v>
      </c>
    </row>
    <row r="485" spans="1:28" ht="14.5">
      <c r="A485" s="119">
        <v>100</v>
      </c>
      <c r="B485" s="119" t="s">
        <v>183</v>
      </c>
      <c r="C485" s="119">
        <v>14</v>
      </c>
      <c r="D485" s="119">
        <v>14</v>
      </c>
      <c r="E485" s="119">
        <v>482</v>
      </c>
      <c r="F485" s="119">
        <v>7.0430000000000001</v>
      </c>
      <c r="G485" s="119">
        <v>26.5</v>
      </c>
      <c r="H485" s="119">
        <v>25.6</v>
      </c>
      <c r="I485" s="119">
        <v>6.1150000000000002</v>
      </c>
      <c r="J485" s="119">
        <v>3.1985999999999999</v>
      </c>
      <c r="K485" s="119">
        <v>59.1</v>
      </c>
      <c r="L485" s="119">
        <v>0.13</v>
      </c>
      <c r="M485" s="119">
        <v>32.200299999999999</v>
      </c>
      <c r="N485" s="119">
        <v>7.67</v>
      </c>
    </row>
    <row r="486" spans="1:28" ht="14.5">
      <c r="A486" s="119">
        <v>100</v>
      </c>
      <c r="B486" s="119" t="s">
        <v>183</v>
      </c>
      <c r="C486" s="119">
        <v>15</v>
      </c>
      <c r="D486" s="119">
        <v>15</v>
      </c>
      <c r="E486" s="119">
        <v>483</v>
      </c>
      <c r="F486" s="119">
        <v>7.0270000000000001</v>
      </c>
      <c r="G486" s="119">
        <v>26</v>
      </c>
      <c r="H486" s="119">
        <v>25.2</v>
      </c>
      <c r="I486" s="119">
        <v>6.1155999999999997</v>
      </c>
      <c r="J486" s="119">
        <v>3.1987000000000001</v>
      </c>
      <c r="K486" s="119">
        <v>59</v>
      </c>
      <c r="L486" s="119">
        <v>0.14000000000000001</v>
      </c>
      <c r="M486" s="119">
        <v>32.200200000000002</v>
      </c>
      <c r="N486" s="119">
        <v>7.67</v>
      </c>
    </row>
    <row r="487" spans="1:28" ht="14.5">
      <c r="A487" s="119">
        <v>100</v>
      </c>
      <c r="B487" s="119" t="s">
        <v>183</v>
      </c>
      <c r="C487" s="119">
        <v>16</v>
      </c>
      <c r="D487" s="119">
        <v>16</v>
      </c>
      <c r="E487" s="119">
        <v>484</v>
      </c>
      <c r="F487" s="119">
        <v>6.9160000000000004</v>
      </c>
      <c r="G487" s="119">
        <v>4.7</v>
      </c>
      <c r="H487" s="119">
        <v>4</v>
      </c>
      <c r="I487" s="119">
        <v>6.1211000000000002</v>
      </c>
      <c r="J487" s="119">
        <v>3.198</v>
      </c>
      <c r="K487" s="119">
        <v>58.3</v>
      </c>
      <c r="L487" s="119">
        <v>0.15</v>
      </c>
      <c r="M487" s="119">
        <v>32.197800000000001</v>
      </c>
      <c r="N487" s="119">
        <v>7.67</v>
      </c>
    </row>
    <row r="488" spans="1:28" ht="14.5">
      <c r="A488" s="119">
        <v>100</v>
      </c>
      <c r="B488" s="119" t="s">
        <v>183</v>
      </c>
      <c r="C488" s="119">
        <v>17</v>
      </c>
      <c r="D488" s="119">
        <v>17</v>
      </c>
      <c r="E488" s="119">
        <v>485</v>
      </c>
      <c r="F488" s="119">
        <v>6.915</v>
      </c>
      <c r="G488" s="119">
        <v>4.9000000000000004</v>
      </c>
      <c r="H488" s="119">
        <v>4.2</v>
      </c>
      <c r="I488" s="119">
        <v>6.1211000000000002</v>
      </c>
      <c r="J488" s="119">
        <v>3.198</v>
      </c>
      <c r="K488" s="119">
        <v>58.3</v>
      </c>
      <c r="L488" s="119">
        <v>0.15</v>
      </c>
      <c r="M488" s="119">
        <v>32.197800000000001</v>
      </c>
      <c r="N488" s="119">
        <v>7.67</v>
      </c>
    </row>
    <row r="489" spans="1:28" ht="14.5">
      <c r="A489" s="119">
        <v>100</v>
      </c>
      <c r="B489" s="119" t="s">
        <v>183</v>
      </c>
      <c r="C489" s="119">
        <v>18</v>
      </c>
      <c r="D489" s="119">
        <v>18</v>
      </c>
      <c r="E489" s="119">
        <v>486</v>
      </c>
      <c r="F489" s="119">
        <v>6.9109999999999996</v>
      </c>
      <c r="G489" s="119">
        <v>4.5</v>
      </c>
      <c r="H489" s="119">
        <v>3.8</v>
      </c>
      <c r="I489" s="119">
        <v>6.1208999999999998</v>
      </c>
      <c r="J489" s="119">
        <v>3.198</v>
      </c>
      <c r="K489" s="119">
        <v>58.3</v>
      </c>
      <c r="L489" s="119">
        <v>0.15</v>
      </c>
      <c r="M489" s="119">
        <v>32.197699999999998</v>
      </c>
      <c r="N489" s="119">
        <v>7.67</v>
      </c>
    </row>
    <row r="490" spans="1:28" ht="14.5">
      <c r="A490" s="119">
        <v>100</v>
      </c>
      <c r="B490" s="119" t="s">
        <v>183</v>
      </c>
      <c r="C490" s="119">
        <v>19</v>
      </c>
      <c r="D490" s="119">
        <v>19</v>
      </c>
      <c r="E490" s="119">
        <v>487</v>
      </c>
      <c r="F490" s="119">
        <v>6.9269999999999996</v>
      </c>
      <c r="G490" s="119">
        <v>5.2</v>
      </c>
      <c r="H490" s="119">
        <v>4.5999999999999996</v>
      </c>
      <c r="I490" s="119">
        <v>6.1211000000000002</v>
      </c>
      <c r="J490" s="119">
        <v>3.198</v>
      </c>
      <c r="K490" s="119">
        <v>58.4</v>
      </c>
      <c r="L490" s="119">
        <v>0.15</v>
      </c>
      <c r="M490" s="119">
        <v>32.197699999999998</v>
      </c>
      <c r="N490" s="119">
        <v>7.67</v>
      </c>
    </row>
    <row r="491" spans="1:28" ht="14.5">
      <c r="A491" s="119">
        <v>100</v>
      </c>
      <c r="B491" s="119" t="s">
        <v>183</v>
      </c>
      <c r="C491" s="119">
        <v>20</v>
      </c>
      <c r="D491" s="119">
        <v>20</v>
      </c>
      <c r="E491" s="119">
        <v>488</v>
      </c>
      <c r="F491" s="119">
        <v>6.9009999999999998</v>
      </c>
      <c r="G491" s="119">
        <v>5</v>
      </c>
      <c r="H491" s="119">
        <v>4.3</v>
      </c>
      <c r="I491" s="119">
        <v>6.1212</v>
      </c>
      <c r="J491" s="119">
        <v>3.198</v>
      </c>
      <c r="K491" s="119">
        <v>58.3</v>
      </c>
      <c r="L491" s="119">
        <v>0.14000000000000001</v>
      </c>
      <c r="M491" s="119">
        <v>32.197600000000001</v>
      </c>
      <c r="N491" s="119">
        <v>7.67</v>
      </c>
    </row>
    <row r="492" spans="1:28" ht="14.5">
      <c r="A492" s="119">
        <v>100</v>
      </c>
      <c r="B492" s="119" t="s">
        <v>183</v>
      </c>
      <c r="C492" s="119">
        <v>21</v>
      </c>
      <c r="D492" s="119">
        <v>21</v>
      </c>
      <c r="E492" s="119">
        <v>489</v>
      </c>
      <c r="F492" s="119">
        <v>6.9139999999999997</v>
      </c>
      <c r="G492" s="119">
        <v>4.8</v>
      </c>
      <c r="H492" s="119">
        <v>4.2</v>
      </c>
      <c r="I492" s="119">
        <v>6.1211000000000002</v>
      </c>
      <c r="J492" s="119">
        <v>3.198</v>
      </c>
      <c r="K492" s="119">
        <v>58.3</v>
      </c>
      <c r="L492" s="119">
        <v>0.15</v>
      </c>
      <c r="M492" s="119">
        <v>32.197699999999998</v>
      </c>
      <c r="N492" s="119">
        <v>7.67</v>
      </c>
    </row>
    <row r="493" spans="1:28" ht="14.5">
      <c r="A493" s="119">
        <v>105</v>
      </c>
      <c r="B493" s="119" t="s">
        <v>184</v>
      </c>
      <c r="C493" s="119">
        <v>1</v>
      </c>
      <c r="D493" s="119">
        <v>1</v>
      </c>
      <c r="E493" s="119">
        <v>490</v>
      </c>
      <c r="F493" s="119">
        <v>1.329</v>
      </c>
      <c r="G493" s="119">
        <v>301.60000000000002</v>
      </c>
      <c r="H493" s="119">
        <v>298.10000000000002</v>
      </c>
      <c r="I493" s="119">
        <v>4.9945000000000004</v>
      </c>
      <c r="J493" s="119">
        <v>3.2673999999999999</v>
      </c>
      <c r="K493" s="119">
        <v>63.7</v>
      </c>
      <c r="L493" s="119">
        <v>0.06</v>
      </c>
      <c r="M493" s="119">
        <v>33.944499999999998</v>
      </c>
      <c r="N493" s="119">
        <v>7.21</v>
      </c>
    </row>
    <row r="494" spans="1:28" ht="14.5">
      <c r="A494" s="119">
        <v>105</v>
      </c>
      <c r="B494" s="119" t="s">
        <v>184</v>
      </c>
      <c r="C494" s="119">
        <v>2</v>
      </c>
      <c r="D494" s="119">
        <v>2</v>
      </c>
      <c r="E494" s="119">
        <v>491</v>
      </c>
      <c r="F494" s="119">
        <v>2.1030000000000002</v>
      </c>
      <c r="G494" s="119">
        <v>201.1</v>
      </c>
      <c r="H494" s="119">
        <v>198.6</v>
      </c>
      <c r="I494" s="119">
        <v>5.6619999999999999</v>
      </c>
      <c r="J494" s="119">
        <v>3.3149000000000002</v>
      </c>
      <c r="K494" s="119">
        <v>63.4</v>
      </c>
      <c r="L494" s="119">
        <v>0.05</v>
      </c>
      <c r="M494" s="119">
        <v>33.863900000000001</v>
      </c>
      <c r="N494" s="119">
        <v>7.28</v>
      </c>
    </row>
    <row r="495" spans="1:28" ht="14.5">
      <c r="A495" s="119">
        <v>105</v>
      </c>
      <c r="B495" s="119" t="s">
        <v>184</v>
      </c>
      <c r="C495" s="119">
        <v>3</v>
      </c>
      <c r="D495" s="119">
        <v>3</v>
      </c>
      <c r="E495" s="119">
        <v>492</v>
      </c>
      <c r="F495" s="119">
        <v>2.8079999999999998</v>
      </c>
      <c r="G495" s="119">
        <v>151.6</v>
      </c>
      <c r="H495" s="119">
        <v>149.5</v>
      </c>
      <c r="I495" s="119">
        <v>6.1687000000000003</v>
      </c>
      <c r="J495" s="119">
        <v>3.3458999999999999</v>
      </c>
      <c r="K495" s="119">
        <v>63.4</v>
      </c>
      <c r="L495" s="119">
        <v>0.05</v>
      </c>
      <c r="M495" s="119">
        <v>33.7318</v>
      </c>
      <c r="N495" s="119">
        <v>7.34</v>
      </c>
    </row>
    <row r="496" spans="1:28" ht="14.5">
      <c r="A496" s="119">
        <v>105</v>
      </c>
      <c r="B496" s="119" t="s">
        <v>184</v>
      </c>
      <c r="C496" s="119">
        <v>4</v>
      </c>
      <c r="D496" s="119">
        <v>4</v>
      </c>
      <c r="E496" s="119">
        <v>493</v>
      </c>
      <c r="F496" s="119">
        <v>2.81</v>
      </c>
      <c r="G496" s="119">
        <v>151.6</v>
      </c>
      <c r="H496" s="119">
        <v>149.6</v>
      </c>
      <c r="I496" s="119">
        <v>6.17</v>
      </c>
      <c r="J496" s="119">
        <v>3.3460000000000001</v>
      </c>
      <c r="K496" s="119">
        <v>63.4</v>
      </c>
      <c r="L496" s="119">
        <v>0.05</v>
      </c>
      <c r="M496" s="119">
        <v>33.7316</v>
      </c>
      <c r="N496" s="119">
        <v>7.35</v>
      </c>
    </row>
    <row r="497" spans="1:28" ht="14.5">
      <c r="A497" s="119">
        <v>105</v>
      </c>
      <c r="B497" s="119" t="s">
        <v>184</v>
      </c>
      <c r="C497" s="119">
        <v>5</v>
      </c>
      <c r="D497" s="119">
        <v>5</v>
      </c>
      <c r="E497" s="119">
        <v>494</v>
      </c>
      <c r="F497" s="119">
        <v>3.6640000000000001</v>
      </c>
      <c r="G497" s="119">
        <v>125.4</v>
      </c>
      <c r="H497" s="119">
        <v>123.6</v>
      </c>
      <c r="I497" s="119">
        <v>6.6182999999999996</v>
      </c>
      <c r="J497" s="119">
        <v>3.351</v>
      </c>
      <c r="K497" s="119">
        <v>63.2</v>
      </c>
      <c r="L497" s="119">
        <v>0.05</v>
      </c>
      <c r="M497" s="119">
        <v>33.359000000000002</v>
      </c>
      <c r="N497" s="119">
        <v>7.42</v>
      </c>
    </row>
    <row r="498" spans="1:28" ht="14.5">
      <c r="A498" s="119">
        <v>105</v>
      </c>
      <c r="B498" s="119" t="s">
        <v>184</v>
      </c>
      <c r="C498" s="119">
        <v>6</v>
      </c>
      <c r="D498" s="119">
        <v>6</v>
      </c>
      <c r="E498" s="119">
        <v>495</v>
      </c>
      <c r="F498" s="119">
        <v>6.3819999999999997</v>
      </c>
      <c r="G498" s="119">
        <v>100.7</v>
      </c>
      <c r="H498" s="119">
        <v>99.2</v>
      </c>
      <c r="I498" s="119">
        <v>5.8856000000000002</v>
      </c>
      <c r="J498" s="119">
        <v>3.2096</v>
      </c>
      <c r="K498" s="119">
        <v>62.7</v>
      </c>
      <c r="L498" s="119">
        <v>7.0000000000000007E-2</v>
      </c>
      <c r="M498" s="119">
        <v>32.505600000000001</v>
      </c>
      <c r="N498" s="119">
        <v>7.62</v>
      </c>
    </row>
    <row r="499" spans="1:28" ht="14.5">
      <c r="A499" s="119">
        <v>105</v>
      </c>
      <c r="B499" s="119" t="s">
        <v>184</v>
      </c>
      <c r="C499" s="119">
        <v>7</v>
      </c>
      <c r="D499" s="119">
        <v>7</v>
      </c>
      <c r="E499" s="119">
        <v>496</v>
      </c>
      <c r="F499" s="119">
        <v>6.3739999999999997</v>
      </c>
      <c r="G499" s="119">
        <v>101.4</v>
      </c>
      <c r="H499" s="119">
        <v>99.8</v>
      </c>
      <c r="I499" s="119">
        <v>5.8808999999999996</v>
      </c>
      <c r="J499" s="119">
        <v>3.2088999999999999</v>
      </c>
      <c r="K499" s="119">
        <v>62.7</v>
      </c>
      <c r="L499" s="119">
        <v>7.0000000000000007E-2</v>
      </c>
      <c r="M499" s="119">
        <v>32.502699999999997</v>
      </c>
      <c r="N499" s="119">
        <v>7.62</v>
      </c>
    </row>
    <row r="500" spans="1:28" ht="14.5">
      <c r="A500" s="119">
        <v>105</v>
      </c>
      <c r="B500" s="119" t="s">
        <v>184</v>
      </c>
      <c r="C500" s="119">
        <v>8</v>
      </c>
      <c r="D500" s="119">
        <v>8</v>
      </c>
      <c r="E500" s="119">
        <v>497</v>
      </c>
      <c r="F500" s="119">
        <v>6.38</v>
      </c>
      <c r="G500" s="119">
        <v>101.4</v>
      </c>
      <c r="H500" s="119">
        <v>99.9</v>
      </c>
      <c r="I500" s="119">
        <v>5.8834999999999997</v>
      </c>
      <c r="J500" s="119">
        <v>3.2092999999999998</v>
      </c>
      <c r="K500" s="119">
        <v>62.7</v>
      </c>
      <c r="L500" s="119">
        <v>7.0000000000000007E-2</v>
      </c>
      <c r="M500" s="119">
        <v>32.503900000000002</v>
      </c>
      <c r="N500" s="119">
        <v>7.62</v>
      </c>
    </row>
    <row r="501" spans="1:28" ht="14.5">
      <c r="A501" s="119">
        <v>105</v>
      </c>
      <c r="B501" s="119" t="s">
        <v>184</v>
      </c>
      <c r="C501" s="119">
        <v>9</v>
      </c>
      <c r="D501" s="119">
        <v>9</v>
      </c>
      <c r="E501" s="119">
        <v>498</v>
      </c>
      <c r="F501" s="119">
        <v>6.9740000000000002</v>
      </c>
      <c r="G501" s="119">
        <v>75.8</v>
      </c>
      <c r="H501" s="119">
        <v>74.5</v>
      </c>
      <c r="I501" s="119">
        <v>5.7980999999999998</v>
      </c>
      <c r="J501" s="119">
        <v>3.1861000000000002</v>
      </c>
      <c r="K501" s="119">
        <v>61.8</v>
      </c>
      <c r="L501" s="119">
        <v>0.09</v>
      </c>
      <c r="M501" s="119">
        <v>32.338299999999997</v>
      </c>
      <c r="N501" s="119">
        <v>7.66</v>
      </c>
    </row>
    <row r="502" spans="1:28" ht="14.5">
      <c r="A502" s="119">
        <v>105</v>
      </c>
      <c r="B502" s="119" t="s">
        <v>184</v>
      </c>
      <c r="C502" s="119">
        <v>10</v>
      </c>
      <c r="D502" s="119">
        <v>10</v>
      </c>
      <c r="E502" s="119">
        <v>499</v>
      </c>
      <c r="F502" s="119">
        <v>6.9930000000000003</v>
      </c>
      <c r="G502" s="119">
        <v>50.5</v>
      </c>
      <c r="H502" s="119">
        <v>49.4</v>
      </c>
      <c r="I502" s="119">
        <v>5.8220000000000001</v>
      </c>
      <c r="J502" s="119">
        <v>3.1865999999999999</v>
      </c>
      <c r="K502" s="119">
        <v>60.7</v>
      </c>
      <c r="L502" s="119">
        <v>0.11</v>
      </c>
      <c r="M502" s="119">
        <v>32.333199999999998</v>
      </c>
      <c r="N502" s="119">
        <v>7.66</v>
      </c>
    </row>
    <row r="503" spans="1:28" ht="14.5">
      <c r="A503" s="119">
        <v>105</v>
      </c>
      <c r="B503" s="119" t="s">
        <v>184</v>
      </c>
      <c r="C503" s="119">
        <v>11</v>
      </c>
      <c r="D503" s="119">
        <v>11</v>
      </c>
      <c r="E503" s="119">
        <v>500</v>
      </c>
      <c r="F503" s="119">
        <v>6.9870000000000001</v>
      </c>
      <c r="G503" s="119">
        <v>50.8</v>
      </c>
      <c r="H503" s="119">
        <v>49.7</v>
      </c>
      <c r="I503" s="119">
        <v>5.8221999999999996</v>
      </c>
      <c r="J503" s="119">
        <v>3.1865999999999999</v>
      </c>
      <c r="K503" s="119">
        <v>60.8</v>
      </c>
      <c r="L503" s="119">
        <v>0.11</v>
      </c>
      <c r="M503" s="119">
        <v>32.333100000000002</v>
      </c>
      <c r="N503" s="119">
        <v>7.66</v>
      </c>
    </row>
    <row r="504" spans="1:28" ht="14.5">
      <c r="A504" s="119">
        <v>105</v>
      </c>
      <c r="B504" s="119" t="s">
        <v>184</v>
      </c>
      <c r="C504" s="119">
        <v>12</v>
      </c>
      <c r="D504" s="119">
        <v>12</v>
      </c>
      <c r="E504" s="119">
        <v>501</v>
      </c>
      <c r="F504" s="119">
        <v>7.0019999999999998</v>
      </c>
      <c r="G504" s="119">
        <v>50.7</v>
      </c>
      <c r="H504" s="119">
        <v>49.7</v>
      </c>
      <c r="I504" s="119">
        <v>5.8220000000000001</v>
      </c>
      <c r="J504" s="119">
        <v>3.1865999999999999</v>
      </c>
      <c r="K504" s="119">
        <v>60.8</v>
      </c>
      <c r="L504" s="119">
        <v>0.11</v>
      </c>
      <c r="M504" s="119">
        <v>32.333199999999998</v>
      </c>
      <c r="N504" s="119">
        <v>7.66</v>
      </c>
    </row>
    <row r="505" spans="1:28" ht="14.5">
      <c r="A505" s="119">
        <v>105</v>
      </c>
      <c r="B505" s="119" t="s">
        <v>184</v>
      </c>
      <c r="C505" s="119">
        <v>13</v>
      </c>
      <c r="D505" s="119">
        <v>13</v>
      </c>
      <c r="E505" s="119">
        <v>502</v>
      </c>
      <c r="F505" s="119">
        <v>7.0629999999999997</v>
      </c>
      <c r="G505" s="119">
        <v>26.2</v>
      </c>
      <c r="H505" s="119">
        <v>25.4</v>
      </c>
      <c r="I505" s="119">
        <v>5.8368000000000002</v>
      </c>
      <c r="J505" s="119">
        <v>3.1863000000000001</v>
      </c>
      <c r="K505" s="119">
        <v>59.9</v>
      </c>
      <c r="L505" s="119">
        <v>0.13</v>
      </c>
      <c r="M505" s="119">
        <v>32.328000000000003</v>
      </c>
      <c r="N505" s="119">
        <v>7.66</v>
      </c>
    </row>
    <row r="506" spans="1:28" ht="14.5">
      <c r="A506" s="119">
        <v>105</v>
      </c>
      <c r="B506" s="119" t="s">
        <v>184</v>
      </c>
      <c r="C506" s="119">
        <v>14</v>
      </c>
      <c r="D506" s="119">
        <v>14</v>
      </c>
      <c r="E506" s="119">
        <v>503</v>
      </c>
      <c r="F506" s="119">
        <v>7.0579999999999998</v>
      </c>
      <c r="G506" s="119">
        <v>25.7</v>
      </c>
      <c r="H506" s="119">
        <v>24.9</v>
      </c>
      <c r="I506" s="119">
        <v>5.8365999999999998</v>
      </c>
      <c r="J506" s="119">
        <v>3.1863000000000001</v>
      </c>
      <c r="K506" s="119">
        <v>59.9</v>
      </c>
      <c r="L506" s="119">
        <v>0.12</v>
      </c>
      <c r="M506" s="119">
        <v>32.328000000000003</v>
      </c>
      <c r="N506" s="119">
        <v>7.66</v>
      </c>
    </row>
    <row r="507" spans="1:28" ht="14.5">
      <c r="A507" s="119">
        <v>105</v>
      </c>
      <c r="B507" s="119" t="s">
        <v>184</v>
      </c>
      <c r="C507" s="119">
        <v>15</v>
      </c>
      <c r="D507" s="119">
        <v>15</v>
      </c>
      <c r="E507" s="119">
        <v>504</v>
      </c>
      <c r="F507" s="119">
        <v>7.0540000000000003</v>
      </c>
      <c r="G507" s="119">
        <v>25.8</v>
      </c>
      <c r="H507" s="119">
        <v>25</v>
      </c>
      <c r="I507" s="119">
        <v>5.8361000000000001</v>
      </c>
      <c r="J507" s="119">
        <v>3.1863000000000001</v>
      </c>
      <c r="K507" s="119">
        <v>59.9</v>
      </c>
      <c r="L507" s="119">
        <v>0.13</v>
      </c>
      <c r="M507" s="119">
        <v>32.328000000000003</v>
      </c>
      <c r="N507" s="119">
        <v>7.66</v>
      </c>
    </row>
    <row r="508" spans="1:28" s="159" customFormat="1" ht="14.5">
      <c r="A508" s="119">
        <v>105</v>
      </c>
      <c r="B508" s="119" t="s">
        <v>184</v>
      </c>
      <c r="C508" s="119">
        <v>16</v>
      </c>
      <c r="D508" s="119">
        <v>16</v>
      </c>
      <c r="E508" s="119">
        <v>505</v>
      </c>
      <c r="F508" s="119">
        <v>7.0380000000000003</v>
      </c>
      <c r="G508" s="119">
        <v>5.9</v>
      </c>
      <c r="H508" s="119">
        <v>5.2</v>
      </c>
      <c r="I508" s="119">
        <v>5.8346</v>
      </c>
      <c r="J508" s="119">
        <v>3.1846999999999999</v>
      </c>
      <c r="K508" s="119">
        <v>60.2</v>
      </c>
      <c r="L508" s="119">
        <v>0.13</v>
      </c>
      <c r="M508" s="119">
        <v>32.321800000000003</v>
      </c>
      <c r="N508" s="119">
        <v>7.66</v>
      </c>
      <c r="O508" s="165"/>
      <c r="P508" s="165"/>
      <c r="Q508" s="167"/>
      <c r="R508" s="167"/>
      <c r="S508" s="167"/>
      <c r="T508" s="167"/>
      <c r="U508" s="170"/>
      <c r="V508" s="170"/>
      <c r="W508" s="172"/>
      <c r="X508" s="168"/>
      <c r="Y508" s="167"/>
    </row>
    <row r="509" spans="1:28" s="159" customFormat="1" ht="14.5">
      <c r="A509" s="119">
        <v>105</v>
      </c>
      <c r="B509" s="119" t="s">
        <v>184</v>
      </c>
      <c r="C509" s="119">
        <v>17</v>
      </c>
      <c r="D509" s="119">
        <v>17</v>
      </c>
      <c r="E509" s="119">
        <v>506</v>
      </c>
      <c r="F509" s="119">
        <v>7.0229999999999997</v>
      </c>
      <c r="G509" s="119">
        <v>5.7</v>
      </c>
      <c r="H509" s="119">
        <v>5.0999999999999996</v>
      </c>
      <c r="I509" s="119">
        <v>5.8345000000000002</v>
      </c>
      <c r="J509" s="119">
        <v>3.1846999999999999</v>
      </c>
      <c r="K509" s="119">
        <v>60.2</v>
      </c>
      <c r="L509" s="119">
        <v>0.13</v>
      </c>
      <c r="M509" s="119">
        <v>32.321899999999999</v>
      </c>
      <c r="N509" s="119">
        <v>7.66</v>
      </c>
      <c r="O509" s="165"/>
      <c r="P509" s="165"/>
      <c r="Q509" s="167"/>
      <c r="R509" s="167"/>
      <c r="S509" s="167"/>
      <c r="T509" s="167"/>
      <c r="U509" s="170"/>
      <c r="V509" s="170"/>
      <c r="W509" s="172"/>
      <c r="X509" s="168"/>
      <c r="Y509" s="167"/>
    </row>
    <row r="510" spans="1:28" s="159" customFormat="1" ht="14.5">
      <c r="A510" s="119">
        <v>105</v>
      </c>
      <c r="B510" s="119" t="s">
        <v>184</v>
      </c>
      <c r="C510" s="119">
        <v>18</v>
      </c>
      <c r="D510" s="119">
        <v>18</v>
      </c>
      <c r="E510" s="119">
        <v>507</v>
      </c>
      <c r="F510" s="119">
        <v>7.0359999999999996</v>
      </c>
      <c r="G510" s="119">
        <v>5.6</v>
      </c>
      <c r="H510" s="119">
        <v>4.9000000000000004</v>
      </c>
      <c r="I510" s="119">
        <v>5.8346</v>
      </c>
      <c r="J510" s="119">
        <v>3.1846999999999999</v>
      </c>
      <c r="K510" s="119">
        <v>60.3</v>
      </c>
      <c r="L510" s="119">
        <v>0.13</v>
      </c>
      <c r="M510" s="119">
        <v>32.321800000000003</v>
      </c>
      <c r="N510" s="119">
        <v>7.66</v>
      </c>
      <c r="O510" s="165"/>
      <c r="P510" s="165"/>
      <c r="Q510" s="167"/>
      <c r="R510" s="167"/>
      <c r="S510" s="167"/>
      <c r="T510" s="167"/>
      <c r="U510" s="170"/>
      <c r="V510" s="170"/>
      <c r="W510" s="172"/>
      <c r="X510" s="168"/>
      <c r="Y510" s="167"/>
    </row>
    <row r="511" spans="1:28" s="159" customFormat="1" ht="14.5">
      <c r="A511" s="119">
        <v>105</v>
      </c>
      <c r="B511" s="119" t="s">
        <v>184</v>
      </c>
      <c r="C511" s="119">
        <v>19</v>
      </c>
      <c r="D511" s="119">
        <v>19</v>
      </c>
      <c r="E511" s="119">
        <v>508</v>
      </c>
      <c r="F511" s="119">
        <v>7.0229999999999997</v>
      </c>
      <c r="G511" s="119">
        <v>5.9</v>
      </c>
      <c r="H511" s="119">
        <v>5.2</v>
      </c>
      <c r="I511" s="119">
        <v>5.8346999999999998</v>
      </c>
      <c r="J511" s="119">
        <v>3.1846999999999999</v>
      </c>
      <c r="K511" s="119">
        <v>60.2</v>
      </c>
      <c r="L511" s="119">
        <v>0.13</v>
      </c>
      <c r="M511" s="119">
        <v>32.321800000000003</v>
      </c>
      <c r="N511" s="119">
        <v>7.66</v>
      </c>
      <c r="O511" s="157"/>
      <c r="P511" s="157"/>
      <c r="Q511" s="151"/>
      <c r="R511" s="151"/>
      <c r="S511" s="151"/>
      <c r="T511" s="151"/>
      <c r="U511" s="155"/>
      <c r="V511" s="155"/>
      <c r="W511" s="158"/>
      <c r="X511" s="152"/>
      <c r="Y511" s="151"/>
    </row>
    <row r="512" spans="1:28" s="159" customFormat="1" ht="14.5">
      <c r="A512" s="119">
        <v>105</v>
      </c>
      <c r="B512" s="119" t="s">
        <v>184</v>
      </c>
      <c r="C512" s="119">
        <v>20</v>
      </c>
      <c r="D512" s="119">
        <v>20</v>
      </c>
      <c r="E512" s="119">
        <v>509</v>
      </c>
      <c r="F512" s="119">
        <v>7.0129999999999999</v>
      </c>
      <c r="G512" s="119">
        <v>5.6</v>
      </c>
      <c r="H512" s="119">
        <v>5</v>
      </c>
      <c r="I512" s="119">
        <v>5.8348000000000004</v>
      </c>
      <c r="J512" s="119">
        <v>3.1846999999999999</v>
      </c>
      <c r="K512" s="119">
        <v>60.2</v>
      </c>
      <c r="L512" s="119">
        <v>0.13</v>
      </c>
      <c r="M512" s="119">
        <v>32.321899999999999</v>
      </c>
      <c r="N512" s="119">
        <v>7.66</v>
      </c>
      <c r="O512" s="157"/>
      <c r="P512" s="151"/>
      <c r="Q512" s="151"/>
      <c r="R512" s="175"/>
      <c r="S512" s="175"/>
      <c r="T512" s="175"/>
      <c r="U512" s="173"/>
      <c r="V512" s="158"/>
      <c r="W512" s="173"/>
      <c r="X512" s="173"/>
      <c r="Y512" s="175"/>
      <c r="Z512" s="177"/>
      <c r="AA512" s="177"/>
      <c r="AB512" s="152"/>
    </row>
    <row r="513" spans="1:28" s="159" customFormat="1" ht="14.5">
      <c r="A513" s="119">
        <v>105</v>
      </c>
      <c r="B513" s="119" t="s">
        <v>184</v>
      </c>
      <c r="C513" s="119">
        <v>21</v>
      </c>
      <c r="D513" s="119">
        <v>21</v>
      </c>
      <c r="E513" s="119">
        <v>510</v>
      </c>
      <c r="F513" s="119">
        <v>7.02</v>
      </c>
      <c r="G513" s="119">
        <v>5.8</v>
      </c>
      <c r="H513" s="119">
        <v>5.0999999999999996</v>
      </c>
      <c r="I513" s="119">
        <v>5.8349000000000002</v>
      </c>
      <c r="J513" s="119">
        <v>3.1846999999999999</v>
      </c>
      <c r="K513" s="119">
        <v>60.2</v>
      </c>
      <c r="L513" s="119">
        <v>0.13</v>
      </c>
      <c r="M513" s="119">
        <v>32.321599999999997</v>
      </c>
      <c r="N513" s="119">
        <v>7.66</v>
      </c>
      <c r="O513" s="248"/>
      <c r="P513" s="173"/>
      <c r="Q513" s="247"/>
      <c r="R513" s="173"/>
      <c r="S513" s="247"/>
      <c r="T513" s="175"/>
      <c r="U513" s="247"/>
      <c r="V513" s="158"/>
      <c r="W513" s="247"/>
      <c r="Y513" s="179"/>
      <c r="AA513" s="180"/>
    </row>
    <row r="514" spans="1:28" s="159" customFormat="1" ht="14.5">
      <c r="A514" s="119">
        <v>109</v>
      </c>
      <c r="B514" s="119" t="s">
        <v>185</v>
      </c>
      <c r="C514" s="119">
        <v>1</v>
      </c>
      <c r="D514" s="119">
        <v>1</v>
      </c>
      <c r="E514" s="119">
        <v>511</v>
      </c>
      <c r="F514" s="119">
        <v>1.0780000000000001</v>
      </c>
      <c r="G514" s="119">
        <v>300.7</v>
      </c>
      <c r="H514" s="119">
        <v>297.2</v>
      </c>
      <c r="I514" s="119">
        <v>4.0994000000000002</v>
      </c>
      <c r="J514" s="119">
        <v>3.1859999999999999</v>
      </c>
      <c r="K514" s="119">
        <v>64</v>
      </c>
      <c r="L514" s="119">
        <v>0.06</v>
      </c>
      <c r="M514" s="119">
        <v>33.910899999999998</v>
      </c>
      <c r="N514" s="119">
        <v>7.16</v>
      </c>
      <c r="O514" s="248"/>
      <c r="P514" s="173"/>
      <c r="Q514" s="247"/>
      <c r="R514" s="173"/>
      <c r="S514" s="247"/>
      <c r="T514" s="175"/>
      <c r="U514" s="247"/>
      <c r="V514" s="181"/>
      <c r="W514" s="247"/>
      <c r="X514" s="182"/>
      <c r="Y514" s="183"/>
      <c r="AA514" s="180"/>
    </row>
    <row r="515" spans="1:28" s="190" customFormat="1" ht="14.5">
      <c r="A515" s="119">
        <v>109</v>
      </c>
      <c r="B515" s="119" t="s">
        <v>185</v>
      </c>
      <c r="C515" s="119">
        <v>2</v>
      </c>
      <c r="D515" s="119">
        <v>2</v>
      </c>
      <c r="E515" s="119">
        <v>512</v>
      </c>
      <c r="F515" s="119">
        <v>1.8080000000000001</v>
      </c>
      <c r="G515" s="119">
        <v>199.9</v>
      </c>
      <c r="H515" s="119">
        <v>197.4</v>
      </c>
      <c r="I515" s="119">
        <v>4.1780999999999997</v>
      </c>
      <c r="J515" s="119">
        <v>3.177</v>
      </c>
      <c r="K515" s="119">
        <v>63.5</v>
      </c>
      <c r="L515" s="119">
        <v>0.05</v>
      </c>
      <c r="M515" s="119">
        <v>33.777700000000003</v>
      </c>
      <c r="N515" s="119">
        <v>7.2</v>
      </c>
      <c r="O515" s="184"/>
      <c r="P515" s="185"/>
      <c r="Q515" s="185"/>
      <c r="R515" s="185"/>
      <c r="S515" s="185"/>
      <c r="T515" s="187"/>
      <c r="U515" s="187"/>
      <c r="V515" s="185"/>
      <c r="W515" s="189"/>
      <c r="Y515" s="191"/>
      <c r="AA515" s="189"/>
      <c r="AB515" s="186"/>
    </row>
    <row r="516" spans="1:28" ht="14.5">
      <c r="A516" s="119">
        <v>109</v>
      </c>
      <c r="B516" s="119" t="s">
        <v>185</v>
      </c>
      <c r="C516" s="119">
        <v>3</v>
      </c>
      <c r="D516" s="119">
        <v>3</v>
      </c>
      <c r="E516" s="119">
        <v>513</v>
      </c>
      <c r="F516" s="119">
        <v>2.5049999999999999</v>
      </c>
      <c r="G516" s="119">
        <v>152.69999999999999</v>
      </c>
      <c r="H516" s="119">
        <v>150.69999999999999</v>
      </c>
      <c r="I516" s="119">
        <v>4.4154</v>
      </c>
      <c r="J516" s="119">
        <v>3.1880999999999999</v>
      </c>
      <c r="K516" s="119">
        <v>63.6</v>
      </c>
      <c r="L516" s="119">
        <v>0.05</v>
      </c>
      <c r="M516" s="119">
        <v>33.689500000000002</v>
      </c>
      <c r="N516" s="119">
        <v>7.26</v>
      </c>
    </row>
    <row r="517" spans="1:28" ht="14.5">
      <c r="A517" s="119">
        <v>109</v>
      </c>
      <c r="B517" s="119" t="s">
        <v>185</v>
      </c>
      <c r="C517" s="119">
        <v>4</v>
      </c>
      <c r="D517" s="119">
        <v>4</v>
      </c>
      <c r="E517" s="119">
        <v>514</v>
      </c>
      <c r="F517" s="119">
        <v>2.5030000000000001</v>
      </c>
      <c r="G517" s="119">
        <v>152.30000000000001</v>
      </c>
      <c r="H517" s="119">
        <v>150.30000000000001</v>
      </c>
      <c r="I517" s="119">
        <v>4.4154999999999998</v>
      </c>
      <c r="J517" s="119">
        <v>3.1880999999999999</v>
      </c>
      <c r="K517" s="119">
        <v>63.6</v>
      </c>
      <c r="L517" s="119">
        <v>0.05</v>
      </c>
      <c r="M517" s="119">
        <v>33.689500000000002</v>
      </c>
      <c r="N517" s="119">
        <v>7.26</v>
      </c>
    </row>
    <row r="518" spans="1:28" ht="14.5">
      <c r="A518" s="119">
        <v>109</v>
      </c>
      <c r="B518" s="119" t="s">
        <v>185</v>
      </c>
      <c r="C518" s="119">
        <v>5</v>
      </c>
      <c r="D518" s="119">
        <v>5</v>
      </c>
      <c r="E518" s="119">
        <v>515</v>
      </c>
      <c r="F518" s="119">
        <v>2.9660000000000002</v>
      </c>
      <c r="G518" s="119">
        <v>125.1</v>
      </c>
      <c r="H518" s="119">
        <v>123.4</v>
      </c>
      <c r="I518" s="119">
        <v>4.5749000000000004</v>
      </c>
      <c r="J518" s="119">
        <v>3.1938</v>
      </c>
      <c r="K518" s="119">
        <v>63.6</v>
      </c>
      <c r="L518" s="119">
        <v>0.05</v>
      </c>
      <c r="M518" s="119">
        <v>33.607799999999997</v>
      </c>
      <c r="N518" s="119">
        <v>7.3</v>
      </c>
    </row>
    <row r="519" spans="1:28" ht="14.5">
      <c r="A519" s="119">
        <v>109</v>
      </c>
      <c r="B519" s="119" t="s">
        <v>185</v>
      </c>
      <c r="C519" s="119">
        <v>6</v>
      </c>
      <c r="D519" s="119">
        <v>6</v>
      </c>
      <c r="E519" s="119">
        <v>516</v>
      </c>
      <c r="F519" s="119">
        <v>3.8639999999999999</v>
      </c>
      <c r="G519" s="119">
        <v>101.1</v>
      </c>
      <c r="H519" s="119">
        <v>99.6</v>
      </c>
      <c r="I519" s="119">
        <v>5.0815999999999999</v>
      </c>
      <c r="J519" s="119">
        <v>3.2172000000000001</v>
      </c>
      <c r="K519" s="119">
        <v>63.5</v>
      </c>
      <c r="L519" s="119">
        <v>0.05</v>
      </c>
      <c r="M519" s="119">
        <v>33.381</v>
      </c>
      <c r="N519" s="119">
        <v>7.39</v>
      </c>
    </row>
    <row r="520" spans="1:28" ht="14.5">
      <c r="A520" s="119">
        <v>109</v>
      </c>
      <c r="B520" s="119" t="s">
        <v>185</v>
      </c>
      <c r="C520" s="119">
        <v>7</v>
      </c>
      <c r="D520" s="119">
        <v>7</v>
      </c>
      <c r="E520" s="119">
        <v>517</v>
      </c>
      <c r="F520" s="119">
        <v>3.8690000000000002</v>
      </c>
      <c r="G520" s="119">
        <v>101.4</v>
      </c>
      <c r="H520" s="119">
        <v>99.9</v>
      </c>
      <c r="I520" s="119">
        <v>5.0868000000000002</v>
      </c>
      <c r="J520" s="119">
        <v>3.2174999999999998</v>
      </c>
      <c r="K520" s="119">
        <v>63.5</v>
      </c>
      <c r="L520" s="119">
        <v>0.05</v>
      </c>
      <c r="M520" s="119">
        <v>33.3782</v>
      </c>
      <c r="N520" s="119">
        <v>7.39</v>
      </c>
    </row>
    <row r="521" spans="1:28" ht="14.5">
      <c r="A521" s="119">
        <v>109</v>
      </c>
      <c r="B521" s="119" t="s">
        <v>185</v>
      </c>
      <c r="C521" s="119">
        <v>8</v>
      </c>
      <c r="D521" s="119">
        <v>8</v>
      </c>
      <c r="E521" s="119">
        <v>518</v>
      </c>
      <c r="F521" s="119">
        <v>3.899</v>
      </c>
      <c r="G521" s="119">
        <v>101</v>
      </c>
      <c r="H521" s="119">
        <v>99.4</v>
      </c>
      <c r="I521" s="119">
        <v>5.0850999999999997</v>
      </c>
      <c r="J521" s="119">
        <v>3.2172999999999998</v>
      </c>
      <c r="K521" s="119">
        <v>63.5</v>
      </c>
      <c r="L521" s="119">
        <v>0.05</v>
      </c>
      <c r="M521" s="119">
        <v>33.377800000000001</v>
      </c>
      <c r="N521" s="119">
        <v>7.39</v>
      </c>
    </row>
    <row r="522" spans="1:28" ht="14.5">
      <c r="A522" s="119">
        <v>109</v>
      </c>
      <c r="B522" s="119" t="s">
        <v>185</v>
      </c>
      <c r="C522" s="119">
        <v>9</v>
      </c>
      <c r="D522" s="119">
        <v>9</v>
      </c>
      <c r="E522" s="119">
        <v>519</v>
      </c>
      <c r="F522" s="119">
        <v>6.5960000000000001</v>
      </c>
      <c r="G522" s="119">
        <v>75.2</v>
      </c>
      <c r="H522" s="119">
        <v>74</v>
      </c>
      <c r="I522" s="119">
        <v>5.0523999999999996</v>
      </c>
      <c r="J522" s="119">
        <v>3.1444000000000001</v>
      </c>
      <c r="K522" s="119">
        <v>62.9</v>
      </c>
      <c r="L522" s="119">
        <v>0.08</v>
      </c>
      <c r="M522" s="119">
        <v>32.586599999999997</v>
      </c>
      <c r="N522" s="119">
        <v>7.61</v>
      </c>
    </row>
    <row r="523" spans="1:28" ht="14.5">
      <c r="A523" s="119">
        <v>109</v>
      </c>
      <c r="B523" s="119" t="s">
        <v>185</v>
      </c>
      <c r="C523" s="119">
        <v>10</v>
      </c>
      <c r="D523" s="119">
        <v>10</v>
      </c>
      <c r="E523" s="119">
        <v>520</v>
      </c>
      <c r="F523" s="119">
        <v>7.0229999999999997</v>
      </c>
      <c r="G523" s="119">
        <v>52.3</v>
      </c>
      <c r="H523" s="119">
        <v>51.2</v>
      </c>
      <c r="I523" s="119">
        <v>5.0796000000000001</v>
      </c>
      <c r="J523" s="119">
        <v>3.1347999999999998</v>
      </c>
      <c r="K523" s="119">
        <v>62.2</v>
      </c>
      <c r="L523" s="119">
        <v>0.11</v>
      </c>
      <c r="M523" s="119">
        <v>32.461500000000001</v>
      </c>
      <c r="N523" s="119">
        <v>7.65</v>
      </c>
    </row>
    <row r="524" spans="1:28" s="159" customFormat="1" ht="14.5">
      <c r="A524" s="119">
        <v>109</v>
      </c>
      <c r="B524" s="119" t="s">
        <v>185</v>
      </c>
      <c r="C524" s="119">
        <v>11</v>
      </c>
      <c r="D524" s="119">
        <v>11</v>
      </c>
      <c r="E524" s="119">
        <v>521</v>
      </c>
      <c r="F524" s="119">
        <v>7.0209999999999999</v>
      </c>
      <c r="G524" s="119">
        <v>51.9</v>
      </c>
      <c r="H524" s="119">
        <v>50.8</v>
      </c>
      <c r="I524" s="119">
        <v>5.0811000000000002</v>
      </c>
      <c r="J524" s="119">
        <v>3.1349</v>
      </c>
      <c r="K524" s="119">
        <v>62.3</v>
      </c>
      <c r="L524" s="119">
        <v>0.11</v>
      </c>
      <c r="M524" s="119">
        <v>32.460999999999999</v>
      </c>
      <c r="N524" s="119">
        <v>7.65</v>
      </c>
      <c r="O524" s="165"/>
      <c r="P524" s="165"/>
      <c r="Q524" s="167"/>
      <c r="R524" s="167"/>
      <c r="S524" s="167"/>
      <c r="T524" s="167"/>
      <c r="U524" s="170"/>
      <c r="V524" s="170"/>
      <c r="W524" s="172"/>
      <c r="X524" s="168"/>
      <c r="Y524" s="167"/>
    </row>
    <row r="525" spans="1:28" s="159" customFormat="1" ht="14.5">
      <c r="A525" s="119">
        <v>109</v>
      </c>
      <c r="B525" s="119" t="s">
        <v>185</v>
      </c>
      <c r="C525" s="119">
        <v>12</v>
      </c>
      <c r="D525" s="119">
        <v>12</v>
      </c>
      <c r="E525" s="119">
        <v>522</v>
      </c>
      <c r="F525" s="119">
        <v>7.0220000000000002</v>
      </c>
      <c r="G525" s="119">
        <v>52</v>
      </c>
      <c r="H525" s="119">
        <v>51</v>
      </c>
      <c r="I525" s="119">
        <v>5.0803000000000003</v>
      </c>
      <c r="J525" s="119">
        <v>3.1349</v>
      </c>
      <c r="K525" s="119">
        <v>62.2</v>
      </c>
      <c r="L525" s="119">
        <v>0.11</v>
      </c>
      <c r="M525" s="119">
        <v>32.461300000000001</v>
      </c>
      <c r="N525" s="119">
        <v>7.65</v>
      </c>
      <c r="O525" s="165"/>
      <c r="P525" s="165"/>
      <c r="Q525" s="167"/>
      <c r="R525" s="167"/>
      <c r="S525" s="167"/>
      <c r="T525" s="167"/>
      <c r="U525" s="170"/>
      <c r="V525" s="170"/>
      <c r="W525" s="172"/>
      <c r="X525" s="168"/>
      <c r="Y525" s="167"/>
    </row>
    <row r="526" spans="1:28" s="159" customFormat="1" ht="14.5">
      <c r="A526" s="119">
        <v>109</v>
      </c>
      <c r="B526" s="119" t="s">
        <v>185</v>
      </c>
      <c r="C526" s="119">
        <v>13</v>
      </c>
      <c r="D526" s="119">
        <v>13</v>
      </c>
      <c r="E526" s="119">
        <v>523</v>
      </c>
      <c r="F526" s="119">
        <v>7.1630000000000003</v>
      </c>
      <c r="G526" s="119">
        <v>25.9</v>
      </c>
      <c r="H526" s="119">
        <v>25.1</v>
      </c>
      <c r="I526" s="119">
        <v>5.3239000000000001</v>
      </c>
      <c r="J526" s="119">
        <v>3.15</v>
      </c>
      <c r="K526" s="119">
        <v>59.1</v>
      </c>
      <c r="L526" s="119">
        <v>0.17</v>
      </c>
      <c r="M526" s="119">
        <v>32.410600000000002</v>
      </c>
      <c r="N526" s="119">
        <v>7.67</v>
      </c>
      <c r="O526" s="157"/>
      <c r="P526" s="157"/>
      <c r="Q526" s="151"/>
      <c r="R526" s="151"/>
      <c r="S526" s="151"/>
      <c r="T526" s="151"/>
      <c r="U526" s="155"/>
      <c r="V526" s="155"/>
      <c r="W526" s="158"/>
      <c r="X526" s="152"/>
      <c r="Y526" s="151"/>
    </row>
    <row r="527" spans="1:28" s="159" customFormat="1" ht="14.5">
      <c r="A527" s="119">
        <v>109</v>
      </c>
      <c r="B527" s="119" t="s">
        <v>185</v>
      </c>
      <c r="C527" s="119">
        <v>14</v>
      </c>
      <c r="D527" s="119">
        <v>14</v>
      </c>
      <c r="E527" s="119">
        <v>524</v>
      </c>
      <c r="F527" s="119">
        <v>7.1580000000000004</v>
      </c>
      <c r="G527" s="119">
        <v>26.2</v>
      </c>
      <c r="H527" s="119">
        <v>25.4</v>
      </c>
      <c r="I527" s="119">
        <v>5.3238000000000003</v>
      </c>
      <c r="J527" s="119">
        <v>3.15</v>
      </c>
      <c r="K527" s="119">
        <v>59.2</v>
      </c>
      <c r="L527" s="119">
        <v>0.16</v>
      </c>
      <c r="M527" s="119">
        <v>32.410699999999999</v>
      </c>
      <c r="N527" s="119">
        <v>7.67</v>
      </c>
      <c r="O527" s="157"/>
      <c r="P527" s="151"/>
      <c r="Q527" s="151"/>
      <c r="R527" s="175"/>
      <c r="S527" s="175"/>
      <c r="T527" s="175"/>
      <c r="U527" s="173"/>
      <c r="V527" s="158"/>
      <c r="W527" s="173"/>
      <c r="X527" s="173"/>
      <c r="Y527" s="175"/>
      <c r="Z527" s="177"/>
      <c r="AA527" s="177"/>
      <c r="AB527" s="152"/>
    </row>
    <row r="528" spans="1:28" s="159" customFormat="1" ht="14.5">
      <c r="A528" s="119">
        <v>109</v>
      </c>
      <c r="B528" s="119" t="s">
        <v>185</v>
      </c>
      <c r="C528" s="119">
        <v>15</v>
      </c>
      <c r="D528" s="119">
        <v>15</v>
      </c>
      <c r="E528" s="119">
        <v>525</v>
      </c>
      <c r="F528" s="119">
        <v>7.1609999999999996</v>
      </c>
      <c r="G528" s="119">
        <v>26.2</v>
      </c>
      <c r="H528" s="119">
        <v>25.4</v>
      </c>
      <c r="I528" s="119">
        <v>5.3235999999999999</v>
      </c>
      <c r="J528" s="119">
        <v>3.15</v>
      </c>
      <c r="K528" s="119">
        <v>59.1</v>
      </c>
      <c r="L528" s="119">
        <v>0.16</v>
      </c>
      <c r="M528" s="119">
        <v>32.410800000000002</v>
      </c>
      <c r="N528" s="119">
        <v>7.67</v>
      </c>
      <c r="O528" s="248"/>
      <c r="P528" s="173"/>
      <c r="Q528" s="247"/>
      <c r="R528" s="173"/>
      <c r="S528" s="247"/>
      <c r="T528" s="175"/>
      <c r="U528" s="247"/>
      <c r="V528" s="158"/>
      <c r="W528" s="247"/>
      <c r="Y528" s="179"/>
      <c r="AA528" s="180"/>
    </row>
    <row r="529" spans="1:28" s="159" customFormat="1" ht="14.5">
      <c r="A529" s="119">
        <v>109</v>
      </c>
      <c r="B529" s="119" t="s">
        <v>185</v>
      </c>
      <c r="C529" s="119">
        <v>16</v>
      </c>
      <c r="D529" s="119">
        <v>16</v>
      </c>
      <c r="E529" s="119">
        <v>526</v>
      </c>
      <c r="F529" s="119">
        <v>7.1349999999999998</v>
      </c>
      <c r="G529" s="119">
        <v>6.1</v>
      </c>
      <c r="H529" s="119">
        <v>5.5</v>
      </c>
      <c r="I529" s="119">
        <v>5.3879999999999999</v>
      </c>
      <c r="J529" s="119">
        <v>3.1541999999999999</v>
      </c>
      <c r="K529" s="119">
        <v>59.3</v>
      </c>
      <c r="L529" s="119">
        <v>0.14000000000000001</v>
      </c>
      <c r="M529" s="119">
        <v>32.4069</v>
      </c>
      <c r="N529" s="119">
        <v>7.67</v>
      </c>
      <c r="O529" s="248"/>
      <c r="P529" s="173"/>
      <c r="Q529" s="247"/>
      <c r="R529" s="173"/>
      <c r="S529" s="247"/>
      <c r="T529" s="175"/>
      <c r="U529" s="247"/>
      <c r="V529" s="181"/>
      <c r="W529" s="247"/>
      <c r="X529" s="182"/>
      <c r="Y529" s="183"/>
      <c r="AA529" s="180"/>
    </row>
    <row r="530" spans="1:28" s="190" customFormat="1" ht="14.5">
      <c r="A530" s="119">
        <v>109</v>
      </c>
      <c r="B530" s="119" t="s">
        <v>185</v>
      </c>
      <c r="C530" s="119">
        <v>17</v>
      </c>
      <c r="D530" s="119">
        <v>17</v>
      </c>
      <c r="E530" s="119">
        <v>527</v>
      </c>
      <c r="F530" s="119">
        <v>7.1440000000000001</v>
      </c>
      <c r="G530" s="119">
        <v>6.1</v>
      </c>
      <c r="H530" s="119">
        <v>5.4</v>
      </c>
      <c r="I530" s="119">
        <v>5.3883000000000001</v>
      </c>
      <c r="J530" s="119">
        <v>3.1543000000000001</v>
      </c>
      <c r="K530" s="119">
        <v>59.2</v>
      </c>
      <c r="L530" s="119">
        <v>0.15</v>
      </c>
      <c r="M530" s="119">
        <v>32.406999999999996</v>
      </c>
      <c r="N530" s="119">
        <v>7.67</v>
      </c>
      <c r="O530" s="184"/>
      <c r="P530" s="185"/>
      <c r="Q530" s="185"/>
      <c r="R530" s="185"/>
      <c r="S530" s="185"/>
      <c r="T530" s="187"/>
      <c r="U530" s="187"/>
      <c r="V530" s="185"/>
      <c r="W530" s="189"/>
      <c r="Y530" s="191"/>
      <c r="AA530" s="189"/>
      <c r="AB530" s="186"/>
    </row>
    <row r="531" spans="1:28" ht="14.5">
      <c r="A531" s="119">
        <v>109</v>
      </c>
      <c r="B531" s="119" t="s">
        <v>185</v>
      </c>
      <c r="C531" s="119">
        <v>18</v>
      </c>
      <c r="D531" s="119">
        <v>18</v>
      </c>
      <c r="E531" s="119">
        <v>528</v>
      </c>
      <c r="F531" s="119">
        <v>7.1669999999999998</v>
      </c>
      <c r="G531" s="119">
        <v>6.6</v>
      </c>
      <c r="H531" s="119">
        <v>5.9</v>
      </c>
      <c r="I531" s="119">
        <v>5.3895999999999997</v>
      </c>
      <c r="J531" s="119">
        <v>3.1543999999999999</v>
      </c>
      <c r="K531" s="119">
        <v>59.3</v>
      </c>
      <c r="L531" s="119">
        <v>0.14000000000000001</v>
      </c>
      <c r="M531" s="119">
        <v>32.406799999999997</v>
      </c>
      <c r="N531" s="119">
        <v>7.67</v>
      </c>
    </row>
    <row r="532" spans="1:28" ht="14.5">
      <c r="A532" s="119">
        <v>109</v>
      </c>
      <c r="B532" s="119" t="s">
        <v>185</v>
      </c>
      <c r="C532" s="119">
        <v>19</v>
      </c>
      <c r="D532" s="119">
        <v>19</v>
      </c>
      <c r="E532" s="119">
        <v>529</v>
      </c>
      <c r="F532" s="119">
        <v>7.1509999999999998</v>
      </c>
      <c r="G532" s="119">
        <v>6.7</v>
      </c>
      <c r="H532" s="119">
        <v>6.1</v>
      </c>
      <c r="I532" s="119">
        <v>5.3933</v>
      </c>
      <c r="J532" s="119">
        <v>3.1547999999999998</v>
      </c>
      <c r="K532" s="119">
        <v>59.3</v>
      </c>
      <c r="L532" s="119">
        <v>0.14000000000000001</v>
      </c>
      <c r="M532" s="119">
        <v>32.407299999999999</v>
      </c>
      <c r="N532" s="119">
        <v>7.67</v>
      </c>
    </row>
    <row r="533" spans="1:28" ht="14.5">
      <c r="A533" s="119">
        <v>109</v>
      </c>
      <c r="B533" s="119" t="s">
        <v>185</v>
      </c>
      <c r="C533" s="119">
        <v>20</v>
      </c>
      <c r="D533" s="119">
        <v>20</v>
      </c>
      <c r="E533" s="119">
        <v>530</v>
      </c>
      <c r="F533" s="119">
        <v>7.1379999999999999</v>
      </c>
      <c r="G533" s="119">
        <v>6.5</v>
      </c>
      <c r="H533" s="119">
        <v>5.9</v>
      </c>
      <c r="I533" s="119">
        <v>5.3918999999999997</v>
      </c>
      <c r="J533" s="119">
        <v>3.1545999999999998</v>
      </c>
      <c r="K533" s="119">
        <v>59.2</v>
      </c>
      <c r="L533" s="119">
        <v>0.14000000000000001</v>
      </c>
      <c r="M533" s="119">
        <v>32.4069</v>
      </c>
      <c r="N533" s="119">
        <v>7.67</v>
      </c>
    </row>
    <row r="534" spans="1:28" ht="14.5">
      <c r="A534" s="119">
        <v>109</v>
      </c>
      <c r="B534" s="119" t="s">
        <v>185</v>
      </c>
      <c r="C534" s="119">
        <v>21</v>
      </c>
      <c r="D534" s="119">
        <v>21</v>
      </c>
      <c r="E534" s="119">
        <v>531</v>
      </c>
      <c r="F534" s="119">
        <v>7.1550000000000002</v>
      </c>
      <c r="G534" s="119">
        <v>6.3</v>
      </c>
      <c r="H534" s="119">
        <v>5.7</v>
      </c>
      <c r="I534" s="119">
        <v>5.3914</v>
      </c>
      <c r="J534" s="119">
        <v>3.1545999999999998</v>
      </c>
      <c r="K534" s="119">
        <v>59.2</v>
      </c>
      <c r="L534" s="119">
        <v>0.14000000000000001</v>
      </c>
      <c r="M534" s="119">
        <v>32.4071</v>
      </c>
      <c r="N534" s="119">
        <v>7.67</v>
      </c>
    </row>
    <row r="535" spans="1:28" ht="14.5">
      <c r="A535" s="119">
        <v>113</v>
      </c>
      <c r="B535" s="119" t="s">
        <v>186</v>
      </c>
      <c r="C535" s="119">
        <v>1</v>
      </c>
      <c r="D535" s="119">
        <v>1</v>
      </c>
      <c r="E535" s="119">
        <v>532</v>
      </c>
      <c r="F535" s="119">
        <v>1.0429999999999999</v>
      </c>
      <c r="G535" s="119">
        <v>308.2</v>
      </c>
      <c r="H535" s="119">
        <v>304.60000000000002</v>
      </c>
      <c r="I535" s="119">
        <v>4.4267000000000003</v>
      </c>
      <c r="J535" s="119">
        <v>3.2189999999999999</v>
      </c>
      <c r="K535" s="119">
        <v>64.099999999999994</v>
      </c>
      <c r="L535" s="119">
        <v>0.06</v>
      </c>
      <c r="M535" s="119">
        <v>33.957999999999998</v>
      </c>
      <c r="N535" s="119">
        <v>7.18</v>
      </c>
    </row>
    <row r="536" spans="1:28" ht="14.5">
      <c r="A536" s="119">
        <v>113</v>
      </c>
      <c r="B536" s="119" t="s">
        <v>186</v>
      </c>
      <c r="C536" s="119">
        <v>2</v>
      </c>
      <c r="D536" s="119">
        <v>2</v>
      </c>
      <c r="E536" s="119">
        <v>533</v>
      </c>
      <c r="F536" s="119">
        <v>1.93</v>
      </c>
      <c r="G536" s="119">
        <v>202.3</v>
      </c>
      <c r="H536" s="119">
        <v>199.8</v>
      </c>
      <c r="I536" s="119">
        <v>4.2507000000000001</v>
      </c>
      <c r="J536" s="119">
        <v>3.1825999999999999</v>
      </c>
      <c r="K536" s="119">
        <v>63.6</v>
      </c>
      <c r="L536" s="119">
        <v>0.05</v>
      </c>
      <c r="M536" s="119">
        <v>33.767200000000003</v>
      </c>
      <c r="N536" s="119">
        <v>7.22</v>
      </c>
    </row>
    <row r="537" spans="1:28" ht="14.5">
      <c r="A537" s="119">
        <v>113</v>
      </c>
      <c r="B537" s="119" t="s">
        <v>186</v>
      </c>
      <c r="C537" s="119">
        <v>3</v>
      </c>
      <c r="D537" s="119">
        <v>3</v>
      </c>
      <c r="E537" s="119">
        <v>534</v>
      </c>
      <c r="F537" s="119">
        <v>2.4900000000000002</v>
      </c>
      <c r="G537" s="119">
        <v>151.19999999999999</v>
      </c>
      <c r="H537" s="119">
        <v>149.19999999999999</v>
      </c>
      <c r="I537" s="119">
        <v>4.9904999999999999</v>
      </c>
      <c r="J537" s="119">
        <v>3.2435</v>
      </c>
      <c r="K537" s="119">
        <v>63.6</v>
      </c>
      <c r="L537" s="119">
        <v>0.05</v>
      </c>
      <c r="M537" s="119">
        <v>33.749000000000002</v>
      </c>
      <c r="N537" s="119">
        <v>7.29</v>
      </c>
    </row>
    <row r="538" spans="1:28" ht="14.5">
      <c r="A538" s="119">
        <v>113</v>
      </c>
      <c r="B538" s="119" t="s">
        <v>186</v>
      </c>
      <c r="C538" s="119">
        <v>4</v>
      </c>
      <c r="D538" s="119">
        <v>4</v>
      </c>
      <c r="E538" s="119">
        <v>535</v>
      </c>
      <c r="F538" s="119">
        <v>2.5179999999999998</v>
      </c>
      <c r="G538" s="119">
        <v>150.5</v>
      </c>
      <c r="H538" s="119">
        <v>148.5</v>
      </c>
      <c r="I538" s="119">
        <v>4.9934000000000003</v>
      </c>
      <c r="J538" s="119">
        <v>3.2439</v>
      </c>
      <c r="K538" s="119">
        <v>63.6</v>
      </c>
      <c r="L538" s="119">
        <v>0.05</v>
      </c>
      <c r="M538" s="119">
        <v>33.751600000000003</v>
      </c>
      <c r="N538" s="119">
        <v>7.29</v>
      </c>
    </row>
    <row r="539" spans="1:28" ht="14.5">
      <c r="A539" s="119">
        <v>113</v>
      </c>
      <c r="B539" s="119" t="s">
        <v>186</v>
      </c>
      <c r="C539" s="119">
        <v>5</v>
      </c>
      <c r="D539" s="119">
        <v>5</v>
      </c>
      <c r="E539" s="119">
        <v>536</v>
      </c>
      <c r="F539" s="119">
        <v>3.073</v>
      </c>
      <c r="G539" s="119">
        <v>126.1</v>
      </c>
      <c r="H539" s="119">
        <v>124.3</v>
      </c>
      <c r="I539" s="119">
        <v>4.8327999999999998</v>
      </c>
      <c r="J539" s="119">
        <v>3.2166000000000001</v>
      </c>
      <c r="K539" s="119">
        <v>63.6</v>
      </c>
      <c r="L539" s="119">
        <v>0.05</v>
      </c>
      <c r="M539" s="119">
        <v>33.611499999999999</v>
      </c>
      <c r="N539" s="119">
        <v>7.33</v>
      </c>
    </row>
    <row r="540" spans="1:28" ht="14.5">
      <c r="A540" s="119">
        <v>113</v>
      </c>
      <c r="B540" s="119" t="s">
        <v>186</v>
      </c>
      <c r="C540" s="119">
        <v>6</v>
      </c>
      <c r="D540" s="119">
        <v>6</v>
      </c>
      <c r="E540" s="119">
        <v>537</v>
      </c>
      <c r="F540" s="119">
        <v>4.532</v>
      </c>
      <c r="G540" s="119">
        <v>99.1</v>
      </c>
      <c r="H540" s="119">
        <v>97.6</v>
      </c>
      <c r="I540" s="119">
        <v>5.1052999999999997</v>
      </c>
      <c r="J540" s="119">
        <v>3.1974</v>
      </c>
      <c r="K540" s="119">
        <v>63.3</v>
      </c>
      <c r="L540" s="119">
        <v>0.06</v>
      </c>
      <c r="M540" s="119">
        <v>33.130600000000001</v>
      </c>
      <c r="N540" s="119">
        <v>7.47</v>
      </c>
    </row>
    <row r="541" spans="1:28" ht="14.5">
      <c r="A541" s="119">
        <v>113</v>
      </c>
      <c r="B541" s="119" t="s">
        <v>186</v>
      </c>
      <c r="C541" s="119">
        <v>7</v>
      </c>
      <c r="D541" s="119">
        <v>7</v>
      </c>
      <c r="E541" s="119">
        <v>538</v>
      </c>
      <c r="F541" s="119">
        <v>4.6680000000000001</v>
      </c>
      <c r="G541" s="119">
        <v>100.1</v>
      </c>
      <c r="H541" s="119">
        <v>98.6</v>
      </c>
      <c r="I541" s="119">
        <v>5.1067999999999998</v>
      </c>
      <c r="J541" s="119">
        <v>3.1978</v>
      </c>
      <c r="K541" s="119">
        <v>63.3</v>
      </c>
      <c r="L541" s="119">
        <v>0.06</v>
      </c>
      <c r="M541" s="119">
        <v>33.133099999999999</v>
      </c>
      <c r="N541" s="119">
        <v>7.47</v>
      </c>
    </row>
    <row r="542" spans="1:28" ht="14.5">
      <c r="A542" s="119">
        <v>113</v>
      </c>
      <c r="B542" s="119" t="s">
        <v>186</v>
      </c>
      <c r="C542" s="119">
        <v>8</v>
      </c>
      <c r="D542" s="119">
        <v>8</v>
      </c>
      <c r="E542" s="119">
        <v>539</v>
      </c>
      <c r="F542" s="119">
        <v>4.6109999999999998</v>
      </c>
      <c r="G542" s="119">
        <v>101.1</v>
      </c>
      <c r="H542" s="119">
        <v>99.6</v>
      </c>
      <c r="I542" s="119">
        <v>5.1147999999999998</v>
      </c>
      <c r="J542" s="119">
        <v>3.2006000000000001</v>
      </c>
      <c r="K542" s="119">
        <v>63.4</v>
      </c>
      <c r="L542" s="119">
        <v>0.06</v>
      </c>
      <c r="M542" s="119">
        <v>33.157200000000003</v>
      </c>
      <c r="N542" s="119">
        <v>7.46</v>
      </c>
    </row>
    <row r="543" spans="1:28" ht="14.5">
      <c r="A543" s="119">
        <v>113</v>
      </c>
      <c r="B543" s="119" t="s">
        <v>186</v>
      </c>
      <c r="C543" s="119">
        <v>9</v>
      </c>
      <c r="D543" s="119">
        <v>9</v>
      </c>
      <c r="E543" s="119">
        <v>540</v>
      </c>
      <c r="F543" s="119">
        <v>7.2009999999999996</v>
      </c>
      <c r="G543" s="119">
        <v>74.900000000000006</v>
      </c>
      <c r="H543" s="119">
        <v>73.599999999999994</v>
      </c>
      <c r="I543" s="119">
        <v>4.5434000000000001</v>
      </c>
      <c r="J543" s="119">
        <v>3.0943999999999998</v>
      </c>
      <c r="K543" s="119">
        <v>61.5</v>
      </c>
      <c r="L543" s="119">
        <v>0.11</v>
      </c>
      <c r="M543" s="119">
        <v>32.508400000000002</v>
      </c>
      <c r="N543" s="119">
        <v>7.65</v>
      </c>
    </row>
    <row r="544" spans="1:28" ht="14.5">
      <c r="A544" s="119">
        <v>113</v>
      </c>
      <c r="B544" s="119" t="s">
        <v>186</v>
      </c>
      <c r="C544" s="119">
        <v>10</v>
      </c>
      <c r="D544" s="119">
        <v>10</v>
      </c>
      <c r="E544" s="119">
        <v>541</v>
      </c>
      <c r="F544" s="119">
        <v>7.149</v>
      </c>
      <c r="G544" s="119">
        <v>50.1</v>
      </c>
      <c r="H544" s="119">
        <v>49.1</v>
      </c>
      <c r="I544" s="119">
        <v>5.0406000000000004</v>
      </c>
      <c r="J544" s="119">
        <v>3.1307999999999998</v>
      </c>
      <c r="K544" s="119">
        <v>61.1</v>
      </c>
      <c r="L544" s="119">
        <v>0.12</v>
      </c>
      <c r="M544" s="119">
        <v>32.454000000000001</v>
      </c>
      <c r="N544" s="119">
        <v>7.66</v>
      </c>
    </row>
    <row r="545" spans="1:28" ht="14.5">
      <c r="A545" s="119">
        <v>113</v>
      </c>
      <c r="B545" s="119" t="s">
        <v>186</v>
      </c>
      <c r="C545" s="119">
        <v>11</v>
      </c>
      <c r="D545" s="119">
        <v>11</v>
      </c>
      <c r="E545" s="119">
        <v>542</v>
      </c>
      <c r="F545" s="119">
        <v>7.1379999999999999</v>
      </c>
      <c r="G545" s="119">
        <v>51.8</v>
      </c>
      <c r="H545" s="119">
        <v>50.7</v>
      </c>
      <c r="I545" s="119">
        <v>5.0312000000000001</v>
      </c>
      <c r="J545" s="119">
        <v>3.1301000000000001</v>
      </c>
      <c r="K545" s="119">
        <v>61.1</v>
      </c>
      <c r="L545" s="119">
        <v>0.12</v>
      </c>
      <c r="M545" s="119">
        <v>32.454999999999998</v>
      </c>
      <c r="N545" s="119">
        <v>7.66</v>
      </c>
    </row>
    <row r="546" spans="1:28" ht="14.5">
      <c r="A546" s="119">
        <v>113</v>
      </c>
      <c r="B546" s="119" t="s">
        <v>186</v>
      </c>
      <c r="C546" s="119">
        <v>12</v>
      </c>
      <c r="D546" s="119">
        <v>12</v>
      </c>
      <c r="E546" s="119">
        <v>543</v>
      </c>
      <c r="F546" s="119">
        <v>7.1449999999999996</v>
      </c>
      <c r="G546" s="119">
        <v>50.5</v>
      </c>
      <c r="H546" s="119">
        <v>49.4</v>
      </c>
      <c r="I546" s="119">
        <v>5.0420999999999996</v>
      </c>
      <c r="J546" s="119">
        <v>3.1309</v>
      </c>
      <c r="K546" s="119">
        <v>61</v>
      </c>
      <c r="L546" s="119">
        <v>0.12</v>
      </c>
      <c r="M546" s="119">
        <v>32.4542</v>
      </c>
      <c r="N546" s="119">
        <v>7.66</v>
      </c>
    </row>
    <row r="547" spans="1:28" ht="14.5">
      <c r="A547" s="119">
        <v>113</v>
      </c>
      <c r="B547" s="119" t="s">
        <v>186</v>
      </c>
      <c r="C547" s="119">
        <v>13</v>
      </c>
      <c r="D547" s="119">
        <v>13</v>
      </c>
      <c r="E547" s="119">
        <v>544</v>
      </c>
      <c r="F547" s="119">
        <v>7.1340000000000003</v>
      </c>
      <c r="G547" s="119">
        <v>25.4</v>
      </c>
      <c r="H547" s="119">
        <v>24.6</v>
      </c>
      <c r="I547" s="119">
        <v>5.2266000000000004</v>
      </c>
      <c r="J547" s="119">
        <v>3.1429</v>
      </c>
      <c r="K547" s="119">
        <v>60.8</v>
      </c>
      <c r="L547" s="119">
        <v>0.12</v>
      </c>
      <c r="M547" s="119">
        <v>32.424399999999999</v>
      </c>
      <c r="N547" s="119">
        <v>7.67</v>
      </c>
    </row>
    <row r="548" spans="1:28" ht="14.5">
      <c r="A548" s="119">
        <v>113</v>
      </c>
      <c r="B548" s="119" t="s">
        <v>186</v>
      </c>
      <c r="C548" s="119">
        <v>14</v>
      </c>
      <c r="D548" s="119">
        <v>14</v>
      </c>
      <c r="E548" s="119">
        <v>545</v>
      </c>
      <c r="F548" s="119">
        <v>7.141</v>
      </c>
      <c r="G548" s="119">
        <v>26.4</v>
      </c>
      <c r="H548" s="119">
        <v>25.5</v>
      </c>
      <c r="I548" s="119">
        <v>5.2263999999999999</v>
      </c>
      <c r="J548" s="119">
        <v>3.1429</v>
      </c>
      <c r="K548" s="119">
        <v>60.8</v>
      </c>
      <c r="L548" s="119">
        <v>0.12</v>
      </c>
      <c r="M548" s="119">
        <v>32.424399999999999</v>
      </c>
      <c r="N548" s="119">
        <v>7.67</v>
      </c>
    </row>
    <row r="549" spans="1:28" ht="14.5">
      <c r="A549" s="119">
        <v>113</v>
      </c>
      <c r="B549" s="119" t="s">
        <v>186</v>
      </c>
      <c r="C549" s="119">
        <v>15</v>
      </c>
      <c r="D549" s="119">
        <v>15</v>
      </c>
      <c r="E549" s="119">
        <v>546</v>
      </c>
      <c r="F549" s="119">
        <v>7.1360000000000001</v>
      </c>
      <c r="G549" s="119">
        <v>25</v>
      </c>
      <c r="H549" s="119">
        <v>24.2</v>
      </c>
      <c r="I549" s="119">
        <v>5.2264999999999997</v>
      </c>
      <c r="J549" s="119">
        <v>3.1429</v>
      </c>
      <c r="K549" s="119">
        <v>60.7</v>
      </c>
      <c r="L549" s="119">
        <v>0.12</v>
      </c>
      <c r="M549" s="119">
        <v>32.424300000000002</v>
      </c>
      <c r="N549" s="119">
        <v>7.67</v>
      </c>
    </row>
    <row r="550" spans="1:28" ht="14.5">
      <c r="A550" s="119">
        <v>113</v>
      </c>
      <c r="B550" s="119" t="s">
        <v>186</v>
      </c>
      <c r="C550" s="119">
        <v>16</v>
      </c>
      <c r="D550" s="119">
        <v>16</v>
      </c>
      <c r="E550" s="119">
        <v>547</v>
      </c>
      <c r="F550" s="119">
        <v>7.07</v>
      </c>
      <c r="G550" s="119">
        <v>5.9</v>
      </c>
      <c r="H550" s="119">
        <v>5.3</v>
      </c>
      <c r="I550" s="119">
        <v>5.2256</v>
      </c>
      <c r="J550" s="119">
        <v>3.1419999999999999</v>
      </c>
      <c r="K550" s="119">
        <v>60.7</v>
      </c>
      <c r="L550" s="119">
        <v>0.12</v>
      </c>
      <c r="M550" s="119">
        <v>32.424399999999999</v>
      </c>
      <c r="N550" s="119">
        <v>7.67</v>
      </c>
    </row>
    <row r="551" spans="1:28" ht="14.5">
      <c r="A551" s="119">
        <v>113</v>
      </c>
      <c r="B551" s="119" t="s">
        <v>186</v>
      </c>
      <c r="C551" s="119">
        <v>17</v>
      </c>
      <c r="D551" s="119">
        <v>17</v>
      </c>
      <c r="E551" s="119">
        <v>548</v>
      </c>
      <c r="F551" s="119">
        <v>7.0869999999999997</v>
      </c>
      <c r="G551" s="119">
        <v>5.8</v>
      </c>
      <c r="H551" s="119">
        <v>5.2</v>
      </c>
      <c r="I551" s="119">
        <v>5.2256999999999998</v>
      </c>
      <c r="J551" s="119">
        <v>3.1419999999999999</v>
      </c>
      <c r="K551" s="119">
        <v>60.5</v>
      </c>
      <c r="L551" s="119">
        <v>0.12</v>
      </c>
      <c r="M551" s="119">
        <v>32.424300000000002</v>
      </c>
      <c r="N551" s="119">
        <v>7.67</v>
      </c>
    </row>
    <row r="552" spans="1:28" ht="14.5">
      <c r="A552" s="119">
        <v>113</v>
      </c>
      <c r="B552" s="119" t="s">
        <v>186</v>
      </c>
      <c r="C552" s="119">
        <v>18</v>
      </c>
      <c r="D552" s="119">
        <v>18</v>
      </c>
      <c r="E552" s="119">
        <v>549</v>
      </c>
      <c r="F552" s="119">
        <v>7.0869999999999997</v>
      </c>
      <c r="G552" s="119">
        <v>6.6</v>
      </c>
      <c r="H552" s="119">
        <v>5.9</v>
      </c>
      <c r="I552" s="119">
        <v>5.2256</v>
      </c>
      <c r="J552" s="119">
        <v>3.1419999999999999</v>
      </c>
      <c r="K552" s="119">
        <v>60.7</v>
      </c>
      <c r="L552" s="119">
        <v>0.12</v>
      </c>
      <c r="M552" s="119">
        <v>32.424300000000002</v>
      </c>
      <c r="N552" s="119">
        <v>7.67</v>
      </c>
    </row>
    <row r="553" spans="1:28" ht="14.5">
      <c r="A553" s="119">
        <v>113</v>
      </c>
      <c r="B553" s="119" t="s">
        <v>186</v>
      </c>
      <c r="C553" s="119">
        <v>19</v>
      </c>
      <c r="D553" s="119">
        <v>19</v>
      </c>
      <c r="E553" s="119">
        <v>550</v>
      </c>
      <c r="F553" s="119">
        <v>7.0839999999999996</v>
      </c>
      <c r="G553" s="119">
        <v>6.5</v>
      </c>
      <c r="H553" s="119">
        <v>5.8</v>
      </c>
      <c r="I553" s="119">
        <v>5.2256</v>
      </c>
      <c r="J553" s="119">
        <v>3.1419999999999999</v>
      </c>
      <c r="K553" s="119">
        <v>60.7</v>
      </c>
      <c r="L553" s="119">
        <v>0.12</v>
      </c>
      <c r="M553" s="119">
        <v>32.424300000000002</v>
      </c>
      <c r="N553" s="119">
        <v>7.67</v>
      </c>
    </row>
    <row r="554" spans="1:28" ht="14.5">
      <c r="A554" s="119">
        <v>113</v>
      </c>
      <c r="B554" s="119" t="s">
        <v>186</v>
      </c>
      <c r="C554" s="119">
        <v>20</v>
      </c>
      <c r="D554" s="119">
        <v>20</v>
      </c>
      <c r="E554" s="119">
        <v>551</v>
      </c>
      <c r="F554" s="119">
        <v>7.0730000000000004</v>
      </c>
      <c r="G554" s="119">
        <v>5.7</v>
      </c>
      <c r="H554" s="119">
        <v>5.0999999999999996</v>
      </c>
      <c r="I554" s="119">
        <v>5.2256</v>
      </c>
      <c r="J554" s="119">
        <v>3.1419000000000001</v>
      </c>
      <c r="K554" s="119">
        <v>60.7</v>
      </c>
      <c r="L554" s="119">
        <v>0.12</v>
      </c>
      <c r="M554" s="119">
        <v>32.424300000000002</v>
      </c>
      <c r="N554" s="119">
        <v>7.67</v>
      </c>
    </row>
    <row r="555" spans="1:28" s="159" customFormat="1" ht="14.5">
      <c r="A555" s="119">
        <v>113</v>
      </c>
      <c r="B555" s="119" t="s">
        <v>186</v>
      </c>
      <c r="C555" s="119">
        <v>21</v>
      </c>
      <c r="D555" s="119">
        <v>21</v>
      </c>
      <c r="E555" s="119">
        <v>552</v>
      </c>
      <c r="F555" s="119">
        <v>7.0890000000000004</v>
      </c>
      <c r="G555" s="119">
        <v>6.4</v>
      </c>
      <c r="H555" s="119">
        <v>5.7</v>
      </c>
      <c r="I555" s="119">
        <v>5.2256999999999998</v>
      </c>
      <c r="J555" s="119">
        <v>3.1419999999999999</v>
      </c>
      <c r="K555" s="119">
        <v>60.7</v>
      </c>
      <c r="L555" s="119">
        <v>0.12</v>
      </c>
      <c r="M555" s="119">
        <v>32.424300000000002</v>
      </c>
      <c r="N555" s="119">
        <v>7.67</v>
      </c>
      <c r="O555" s="165"/>
      <c r="P555" s="165"/>
      <c r="Q555" s="167"/>
      <c r="R555" s="167"/>
      <c r="S555" s="167"/>
      <c r="T555" s="167"/>
      <c r="U555" s="170"/>
      <c r="V555" s="170"/>
      <c r="W555" s="172"/>
      <c r="X555" s="168"/>
      <c r="Y555" s="167"/>
    </row>
    <row r="556" spans="1:28" s="159" customFormat="1" ht="14.5">
      <c r="A556" s="119">
        <v>117</v>
      </c>
      <c r="B556" s="119" t="s">
        <v>187</v>
      </c>
      <c r="C556" s="119">
        <v>1</v>
      </c>
      <c r="D556" s="119">
        <v>1</v>
      </c>
      <c r="E556" s="119">
        <v>553</v>
      </c>
      <c r="F556" s="119">
        <v>0.69899999999999995</v>
      </c>
      <c r="G556" s="119">
        <v>301.89999999999998</v>
      </c>
      <c r="H556" s="119">
        <v>298.3</v>
      </c>
      <c r="I556" s="119">
        <v>3.9922</v>
      </c>
      <c r="J556" s="119">
        <v>3.1777000000000002</v>
      </c>
      <c r="K556" s="119">
        <v>63.8</v>
      </c>
      <c r="L556" s="119">
        <v>0.06</v>
      </c>
      <c r="M556" s="119">
        <v>33.923000000000002</v>
      </c>
      <c r="N556" s="119">
        <v>7.14</v>
      </c>
      <c r="O556" s="165"/>
      <c r="P556" s="165"/>
      <c r="Q556" s="167"/>
      <c r="R556" s="167"/>
      <c r="S556" s="167"/>
      <c r="T556" s="167"/>
      <c r="U556" s="170"/>
      <c r="V556" s="170"/>
      <c r="W556" s="172"/>
      <c r="X556" s="168"/>
      <c r="Y556" s="167"/>
    </row>
    <row r="557" spans="1:28" s="159" customFormat="1" ht="14.5">
      <c r="A557" s="119">
        <v>117</v>
      </c>
      <c r="B557" s="119" t="s">
        <v>187</v>
      </c>
      <c r="C557" s="119">
        <v>2</v>
      </c>
      <c r="D557" s="119">
        <v>2</v>
      </c>
      <c r="E557" s="119">
        <v>554</v>
      </c>
      <c r="F557" s="119">
        <v>1.417</v>
      </c>
      <c r="G557" s="119">
        <v>202.4</v>
      </c>
      <c r="H557" s="119">
        <v>199.8</v>
      </c>
      <c r="I557" s="119">
        <v>4.5553999999999997</v>
      </c>
      <c r="J557" s="119">
        <v>3.2168000000000001</v>
      </c>
      <c r="K557" s="119">
        <v>63.5</v>
      </c>
      <c r="L557" s="119">
        <v>0.05</v>
      </c>
      <c r="M557" s="119">
        <v>33.856400000000001</v>
      </c>
      <c r="N557" s="119">
        <v>7.21</v>
      </c>
      <c r="O557" s="157"/>
      <c r="P557" s="157"/>
      <c r="Q557" s="151"/>
      <c r="R557" s="151"/>
      <c r="S557" s="151"/>
      <c r="T557" s="151"/>
      <c r="U557" s="155"/>
      <c r="V557" s="155"/>
      <c r="W557" s="158"/>
      <c r="X557" s="152"/>
      <c r="Y557" s="151"/>
    </row>
    <row r="558" spans="1:28" s="159" customFormat="1" ht="14.5">
      <c r="A558" s="119">
        <v>117</v>
      </c>
      <c r="B558" s="119" t="s">
        <v>187</v>
      </c>
      <c r="C558" s="119">
        <v>3</v>
      </c>
      <c r="D558" s="119">
        <v>3</v>
      </c>
      <c r="E558" s="119">
        <v>555</v>
      </c>
      <c r="F558" s="119">
        <v>2.0590000000000002</v>
      </c>
      <c r="G558" s="119">
        <v>148.1</v>
      </c>
      <c r="H558" s="119">
        <v>146.1</v>
      </c>
      <c r="I558" s="119">
        <v>4.9391999999999996</v>
      </c>
      <c r="J558" s="119">
        <v>3.2425000000000002</v>
      </c>
      <c r="K558" s="119">
        <v>63.5</v>
      </c>
      <c r="L558" s="119">
        <v>0.05</v>
      </c>
      <c r="M558" s="119">
        <v>33.791800000000002</v>
      </c>
      <c r="N558" s="119">
        <v>7.27</v>
      </c>
      <c r="O558" s="157"/>
      <c r="P558" s="151"/>
      <c r="Q558" s="151"/>
      <c r="R558" s="175"/>
      <c r="S558" s="175"/>
      <c r="T558" s="175"/>
      <c r="U558" s="173"/>
      <c r="V558" s="158"/>
      <c r="W558" s="173"/>
      <c r="X558" s="173"/>
      <c r="Y558" s="175"/>
      <c r="Z558" s="177"/>
      <c r="AA558" s="177"/>
      <c r="AB558" s="152"/>
    </row>
    <row r="559" spans="1:28" s="159" customFormat="1" ht="14.5">
      <c r="A559" s="119">
        <v>117</v>
      </c>
      <c r="B559" s="119" t="s">
        <v>187</v>
      </c>
      <c r="C559" s="119">
        <v>4</v>
      </c>
      <c r="D559" s="119">
        <v>4</v>
      </c>
      <c r="E559" s="119">
        <v>556</v>
      </c>
      <c r="F559" s="119">
        <v>2.0569999999999999</v>
      </c>
      <c r="G559" s="119">
        <v>150</v>
      </c>
      <c r="H559" s="119">
        <v>148</v>
      </c>
      <c r="I559" s="119">
        <v>4.9267000000000003</v>
      </c>
      <c r="J559" s="119">
        <v>3.2414000000000001</v>
      </c>
      <c r="K559" s="119">
        <v>63.5</v>
      </c>
      <c r="L559" s="119">
        <v>0.05</v>
      </c>
      <c r="M559" s="119">
        <v>33.790500000000002</v>
      </c>
      <c r="N559" s="119">
        <v>7.27</v>
      </c>
      <c r="O559" s="248"/>
      <c r="P559" s="173"/>
      <c r="Q559" s="247"/>
      <c r="R559" s="173"/>
      <c r="S559" s="247"/>
      <c r="T559" s="175"/>
      <c r="U559" s="247"/>
      <c r="V559" s="158"/>
      <c r="W559" s="247"/>
      <c r="Y559" s="179"/>
      <c r="AA559" s="180"/>
    </row>
    <row r="560" spans="1:28" s="159" customFormat="1" ht="14.5">
      <c r="A560" s="119">
        <v>117</v>
      </c>
      <c r="B560" s="119" t="s">
        <v>187</v>
      </c>
      <c r="C560" s="119">
        <v>5</v>
      </c>
      <c r="D560" s="119">
        <v>5</v>
      </c>
      <c r="E560" s="119">
        <v>557</v>
      </c>
      <c r="F560" s="119">
        <v>2.2549999999999999</v>
      </c>
      <c r="G560" s="119">
        <v>126.6</v>
      </c>
      <c r="H560" s="119">
        <v>124.8</v>
      </c>
      <c r="I560" s="119">
        <v>5.2084000000000001</v>
      </c>
      <c r="J560" s="119">
        <v>3.2637999999999998</v>
      </c>
      <c r="K560" s="119">
        <v>63.5</v>
      </c>
      <c r="L560" s="119">
        <v>0.05</v>
      </c>
      <c r="M560" s="119">
        <v>33.775199999999998</v>
      </c>
      <c r="N560" s="119">
        <v>7.29</v>
      </c>
      <c r="O560" s="248"/>
      <c r="P560" s="173"/>
      <c r="Q560" s="247"/>
      <c r="R560" s="173"/>
      <c r="S560" s="247"/>
      <c r="T560" s="175"/>
      <c r="U560" s="247"/>
      <c r="V560" s="181"/>
      <c r="W560" s="247"/>
      <c r="X560" s="182"/>
      <c r="Y560" s="183"/>
      <c r="AA560" s="180"/>
    </row>
    <row r="561" spans="1:28" s="190" customFormat="1" ht="14.5">
      <c r="A561" s="119">
        <v>117</v>
      </c>
      <c r="B561" s="119" t="s">
        <v>187</v>
      </c>
      <c r="C561" s="119">
        <v>6</v>
      </c>
      <c r="D561" s="119">
        <v>6</v>
      </c>
      <c r="E561" s="119">
        <v>558</v>
      </c>
      <c r="F561" s="119">
        <v>3.1909999999999998</v>
      </c>
      <c r="G561" s="119">
        <v>102.3</v>
      </c>
      <c r="H561" s="119">
        <v>100.7</v>
      </c>
      <c r="I561" s="119">
        <v>5.0279999999999996</v>
      </c>
      <c r="J561" s="119">
        <v>3.2269999999999999</v>
      </c>
      <c r="K561" s="119">
        <v>63.6</v>
      </c>
      <c r="L561" s="119">
        <v>0.05</v>
      </c>
      <c r="M561" s="119">
        <v>33.546799999999998</v>
      </c>
      <c r="N561" s="119">
        <v>7.35</v>
      </c>
      <c r="O561" s="184"/>
      <c r="P561" s="185"/>
      <c r="Q561" s="185"/>
      <c r="R561" s="185"/>
      <c r="S561" s="185"/>
      <c r="T561" s="187"/>
      <c r="U561" s="187"/>
      <c r="V561" s="185"/>
      <c r="W561" s="189"/>
      <c r="Y561" s="191"/>
      <c r="AA561" s="189"/>
      <c r="AB561" s="186"/>
    </row>
    <row r="562" spans="1:28" ht="14.5">
      <c r="A562" s="119">
        <v>117</v>
      </c>
      <c r="B562" s="119" t="s">
        <v>187</v>
      </c>
      <c r="C562" s="119">
        <v>7</v>
      </c>
      <c r="D562" s="119">
        <v>7</v>
      </c>
      <c r="E562" s="119">
        <v>559</v>
      </c>
      <c r="F562" s="119">
        <v>3.1389999999999998</v>
      </c>
      <c r="G562" s="119">
        <v>100.6</v>
      </c>
      <c r="H562" s="119">
        <v>99.1</v>
      </c>
      <c r="I562" s="119">
        <v>4.9871999999999996</v>
      </c>
      <c r="J562" s="119">
        <v>3.2206000000000001</v>
      </c>
      <c r="K562" s="119">
        <v>63.6</v>
      </c>
      <c r="L562" s="119">
        <v>0.05</v>
      </c>
      <c r="M562" s="119">
        <v>33.514699999999998</v>
      </c>
      <c r="N562" s="119">
        <v>7.36</v>
      </c>
    </row>
    <row r="563" spans="1:28" ht="14.5">
      <c r="A563" s="119">
        <v>117</v>
      </c>
      <c r="B563" s="119" t="s">
        <v>187</v>
      </c>
      <c r="C563" s="119">
        <v>8</v>
      </c>
      <c r="D563" s="119">
        <v>8</v>
      </c>
      <c r="E563" s="119">
        <v>560</v>
      </c>
      <c r="F563" s="119">
        <v>3.2360000000000002</v>
      </c>
      <c r="G563" s="119">
        <v>101.6</v>
      </c>
      <c r="H563" s="119">
        <v>100</v>
      </c>
      <c r="I563" s="119">
        <v>5.0045999999999999</v>
      </c>
      <c r="J563" s="119">
        <v>3.2233999999999998</v>
      </c>
      <c r="K563" s="119">
        <v>63.6</v>
      </c>
      <c r="L563" s="119">
        <v>0.05</v>
      </c>
      <c r="M563" s="119">
        <v>33.528399999999998</v>
      </c>
      <c r="N563" s="119">
        <v>7.36</v>
      </c>
    </row>
    <row r="564" spans="1:28" ht="14.5">
      <c r="A564" s="119">
        <v>117</v>
      </c>
      <c r="B564" s="119" t="s">
        <v>187</v>
      </c>
      <c r="C564" s="119">
        <v>9</v>
      </c>
      <c r="D564" s="119">
        <v>9</v>
      </c>
      <c r="E564" s="119">
        <v>561</v>
      </c>
      <c r="F564" s="119">
        <v>5.2919999999999998</v>
      </c>
      <c r="G564" s="119">
        <v>76.2</v>
      </c>
      <c r="H564" s="119">
        <v>74.900000000000006</v>
      </c>
      <c r="I564" s="119">
        <v>4.4116999999999997</v>
      </c>
      <c r="J564" s="119">
        <v>3.1280000000000001</v>
      </c>
      <c r="K564" s="119">
        <v>63.4</v>
      </c>
      <c r="L564" s="119">
        <v>7.0000000000000007E-2</v>
      </c>
      <c r="M564" s="119">
        <v>33.029299999999999</v>
      </c>
      <c r="N564" s="119">
        <v>7.51</v>
      </c>
    </row>
    <row r="565" spans="1:28" ht="14.5">
      <c r="A565" s="119">
        <v>117</v>
      </c>
      <c r="B565" s="119" t="s">
        <v>187</v>
      </c>
      <c r="C565" s="119">
        <v>10</v>
      </c>
      <c r="D565" s="119">
        <v>10</v>
      </c>
      <c r="E565" s="119">
        <v>562</v>
      </c>
      <c r="F565" s="119">
        <v>7.2270000000000003</v>
      </c>
      <c r="G565" s="119">
        <v>53.1</v>
      </c>
      <c r="H565" s="119">
        <v>52</v>
      </c>
      <c r="I565" s="119">
        <v>4.1189</v>
      </c>
      <c r="J565" s="119">
        <v>3.0594999999999999</v>
      </c>
      <c r="K565" s="119">
        <v>61.7</v>
      </c>
      <c r="L565" s="119">
        <v>0.11</v>
      </c>
      <c r="M565" s="119">
        <v>32.530099999999997</v>
      </c>
      <c r="N565" s="119">
        <v>7.65</v>
      </c>
    </row>
    <row r="566" spans="1:28" ht="14.5">
      <c r="A566" s="119">
        <v>117</v>
      </c>
      <c r="B566" s="119" t="s">
        <v>187</v>
      </c>
      <c r="C566" s="119">
        <v>11</v>
      </c>
      <c r="D566" s="119">
        <v>11</v>
      </c>
      <c r="E566" s="119">
        <v>563</v>
      </c>
      <c r="F566" s="119">
        <v>7.2439999999999998</v>
      </c>
      <c r="G566" s="119">
        <v>52.7</v>
      </c>
      <c r="H566" s="119">
        <v>51.7</v>
      </c>
      <c r="I566" s="119">
        <v>4.1161000000000003</v>
      </c>
      <c r="J566" s="119">
        <v>3.0592000000000001</v>
      </c>
      <c r="K566" s="119">
        <v>61.8</v>
      </c>
      <c r="L566" s="119">
        <v>0.11</v>
      </c>
      <c r="M566" s="119">
        <v>32.529400000000003</v>
      </c>
      <c r="N566" s="119">
        <v>7.65</v>
      </c>
    </row>
    <row r="567" spans="1:28" ht="14.5">
      <c r="A567" s="119">
        <v>117</v>
      </c>
      <c r="B567" s="119" t="s">
        <v>187</v>
      </c>
      <c r="C567" s="119">
        <v>12</v>
      </c>
      <c r="D567" s="119">
        <v>12</v>
      </c>
      <c r="E567" s="119">
        <v>564</v>
      </c>
      <c r="F567" s="119">
        <v>7.2510000000000003</v>
      </c>
      <c r="G567" s="119">
        <v>52.9</v>
      </c>
      <c r="H567" s="119">
        <v>51.8</v>
      </c>
      <c r="I567" s="119">
        <v>4.1167999999999996</v>
      </c>
      <c r="J567" s="119">
        <v>3.0592999999999999</v>
      </c>
      <c r="K567" s="119">
        <v>61.8</v>
      </c>
      <c r="L567" s="119">
        <v>0.11</v>
      </c>
      <c r="M567" s="119">
        <v>32.529800000000002</v>
      </c>
      <c r="N567" s="119">
        <v>7.65</v>
      </c>
    </row>
    <row r="568" spans="1:28" ht="14.5">
      <c r="A568" s="119">
        <v>117</v>
      </c>
      <c r="B568" s="119" t="s">
        <v>187</v>
      </c>
      <c r="C568" s="119">
        <v>13</v>
      </c>
      <c r="D568" s="119">
        <v>13</v>
      </c>
      <c r="E568" s="119">
        <v>565</v>
      </c>
      <c r="F568" s="119">
        <v>7.2489999999999997</v>
      </c>
      <c r="G568" s="119">
        <v>27.3</v>
      </c>
      <c r="H568" s="119">
        <v>26.5</v>
      </c>
      <c r="I568" s="119">
        <v>4.3571999999999997</v>
      </c>
      <c r="J568" s="119">
        <v>3.0735000000000001</v>
      </c>
      <c r="K568" s="119">
        <v>59.7</v>
      </c>
      <c r="L568" s="119">
        <v>0.14000000000000001</v>
      </c>
      <c r="M568" s="119">
        <v>32.472099999999998</v>
      </c>
      <c r="N568" s="119">
        <v>7.65</v>
      </c>
    </row>
    <row r="569" spans="1:28" ht="14.5">
      <c r="A569" s="119">
        <v>117</v>
      </c>
      <c r="B569" s="119" t="s">
        <v>187</v>
      </c>
      <c r="C569" s="119">
        <v>14</v>
      </c>
      <c r="D569" s="119">
        <v>14</v>
      </c>
      <c r="E569" s="119">
        <v>566</v>
      </c>
      <c r="F569" s="119">
        <v>7.27</v>
      </c>
      <c r="G569" s="119">
        <v>27.4</v>
      </c>
      <c r="H569" s="119">
        <v>26.6</v>
      </c>
      <c r="I569" s="119">
        <v>4.3582999999999998</v>
      </c>
      <c r="J569" s="119">
        <v>3.0735999999999999</v>
      </c>
      <c r="K569" s="119">
        <v>59.8</v>
      </c>
      <c r="L569" s="119">
        <v>0.13</v>
      </c>
      <c r="M569" s="119">
        <v>32.471800000000002</v>
      </c>
      <c r="N569" s="119">
        <v>7.65</v>
      </c>
    </row>
    <row r="570" spans="1:28" ht="14.5">
      <c r="A570" s="119">
        <v>117</v>
      </c>
      <c r="B570" s="119" t="s">
        <v>187</v>
      </c>
      <c r="C570" s="119">
        <v>15</v>
      </c>
      <c r="D570" s="119">
        <v>15</v>
      </c>
      <c r="E570" s="119">
        <v>567</v>
      </c>
      <c r="F570" s="119">
        <v>7.2690000000000001</v>
      </c>
      <c r="G570" s="119">
        <v>26.5</v>
      </c>
      <c r="H570" s="119">
        <v>25.7</v>
      </c>
      <c r="I570" s="119">
        <v>4.3760000000000003</v>
      </c>
      <c r="J570" s="119">
        <v>3.0750000000000002</v>
      </c>
      <c r="K570" s="119">
        <v>59.8</v>
      </c>
      <c r="L570" s="119">
        <v>0.13</v>
      </c>
      <c r="M570" s="119">
        <v>32.4709</v>
      </c>
      <c r="N570" s="119">
        <v>7.65</v>
      </c>
    </row>
    <row r="571" spans="1:28" ht="14.5">
      <c r="A571" s="119">
        <v>117</v>
      </c>
      <c r="B571" s="119" t="s">
        <v>187</v>
      </c>
      <c r="C571" s="119">
        <v>16</v>
      </c>
      <c r="D571" s="119">
        <v>16</v>
      </c>
      <c r="E571" s="119">
        <v>568</v>
      </c>
      <c r="F571" s="119">
        <v>7.1840000000000002</v>
      </c>
      <c r="G571" s="119">
        <v>5.7</v>
      </c>
      <c r="H571" s="119">
        <v>5.0999999999999996</v>
      </c>
      <c r="I571" s="119">
        <v>4.7195</v>
      </c>
      <c r="J571" s="119">
        <v>3.1006999999999998</v>
      </c>
      <c r="K571" s="119">
        <v>60</v>
      </c>
      <c r="L571" s="119">
        <v>0.12</v>
      </c>
      <c r="M571" s="119">
        <v>32.443199999999997</v>
      </c>
      <c r="N571" s="119">
        <v>7.66</v>
      </c>
    </row>
    <row r="572" spans="1:28" ht="14.5">
      <c r="A572" s="119">
        <v>117</v>
      </c>
      <c r="B572" s="119" t="s">
        <v>187</v>
      </c>
      <c r="C572" s="119">
        <v>17</v>
      </c>
      <c r="D572" s="119">
        <v>17</v>
      </c>
      <c r="E572" s="119">
        <v>569</v>
      </c>
      <c r="F572" s="119">
        <v>7.2080000000000002</v>
      </c>
      <c r="G572" s="119">
        <v>6.1</v>
      </c>
      <c r="H572" s="119">
        <v>5.4</v>
      </c>
      <c r="I572" s="119">
        <v>4.7160000000000002</v>
      </c>
      <c r="J572" s="119">
        <v>3.1004</v>
      </c>
      <c r="K572" s="119">
        <v>60</v>
      </c>
      <c r="L572" s="119">
        <v>0.12</v>
      </c>
      <c r="M572" s="119">
        <v>32.443199999999997</v>
      </c>
      <c r="N572" s="119">
        <v>7.66</v>
      </c>
    </row>
    <row r="573" spans="1:28" ht="14.5">
      <c r="A573" s="119">
        <v>117</v>
      </c>
      <c r="B573" s="119" t="s">
        <v>187</v>
      </c>
      <c r="C573" s="119">
        <v>18</v>
      </c>
      <c r="D573" s="119">
        <v>18</v>
      </c>
      <c r="E573" s="119">
        <v>570</v>
      </c>
      <c r="F573" s="119">
        <v>7.1989999999999998</v>
      </c>
      <c r="G573" s="119">
        <v>6.9</v>
      </c>
      <c r="H573" s="119">
        <v>6.3</v>
      </c>
      <c r="I573" s="119">
        <v>4.7134999999999998</v>
      </c>
      <c r="J573" s="119">
        <v>3.1002000000000001</v>
      </c>
      <c r="K573" s="119">
        <v>60</v>
      </c>
      <c r="L573" s="119">
        <v>0.12</v>
      </c>
      <c r="M573" s="119">
        <v>32.443199999999997</v>
      </c>
      <c r="N573" s="119">
        <v>7.66</v>
      </c>
    </row>
    <row r="574" spans="1:28" ht="14.5">
      <c r="A574" s="119">
        <v>117</v>
      </c>
      <c r="B574" s="119" t="s">
        <v>187</v>
      </c>
      <c r="C574" s="119">
        <v>19</v>
      </c>
      <c r="D574" s="119">
        <v>19</v>
      </c>
      <c r="E574" s="119">
        <v>571</v>
      </c>
      <c r="F574" s="119">
        <v>7.1749999999999998</v>
      </c>
      <c r="G574" s="119">
        <v>7.2</v>
      </c>
      <c r="H574" s="119">
        <v>6.6</v>
      </c>
      <c r="I574" s="119">
        <v>4.7138999999999998</v>
      </c>
      <c r="J574" s="119">
        <v>3.1002999999999998</v>
      </c>
      <c r="K574" s="119">
        <v>60</v>
      </c>
      <c r="L574" s="119">
        <v>0.12</v>
      </c>
      <c r="M574" s="119">
        <v>32.443100000000001</v>
      </c>
      <c r="N574" s="119">
        <v>7.66</v>
      </c>
    </row>
    <row r="575" spans="1:28" ht="14.5">
      <c r="A575" s="119">
        <v>117</v>
      </c>
      <c r="B575" s="119" t="s">
        <v>187</v>
      </c>
      <c r="C575" s="119">
        <v>20</v>
      </c>
      <c r="D575" s="119">
        <v>20</v>
      </c>
      <c r="E575" s="119">
        <v>572</v>
      </c>
      <c r="F575" s="119">
        <v>7.1669999999999998</v>
      </c>
      <c r="G575" s="119">
        <v>6.2</v>
      </c>
      <c r="H575" s="119">
        <v>5.6</v>
      </c>
      <c r="I575" s="119">
        <v>4.7144000000000004</v>
      </c>
      <c r="J575" s="119">
        <v>3.1002999999999998</v>
      </c>
      <c r="K575" s="119">
        <v>60</v>
      </c>
      <c r="L575" s="119">
        <v>0.13</v>
      </c>
      <c r="M575" s="119">
        <v>32.443199999999997</v>
      </c>
      <c r="N575" s="119">
        <v>7.66</v>
      </c>
    </row>
    <row r="576" spans="1:28" ht="14.5">
      <c r="A576" s="119">
        <v>117</v>
      </c>
      <c r="B576" s="119" t="s">
        <v>187</v>
      </c>
      <c r="C576" s="119">
        <v>21</v>
      </c>
      <c r="D576" s="119">
        <v>21</v>
      </c>
      <c r="E576" s="119">
        <v>573</v>
      </c>
      <c r="F576" s="119">
        <v>7.1909999999999998</v>
      </c>
      <c r="G576" s="119">
        <v>6.4</v>
      </c>
      <c r="H576" s="119">
        <v>5.7</v>
      </c>
      <c r="I576" s="119">
        <v>4.7161</v>
      </c>
      <c r="J576" s="119">
        <v>3.1004</v>
      </c>
      <c r="K576" s="119">
        <v>60</v>
      </c>
      <c r="L576" s="119">
        <v>0.12</v>
      </c>
      <c r="M576" s="119">
        <v>32.443199999999997</v>
      </c>
      <c r="N576" s="119">
        <v>7.66</v>
      </c>
    </row>
    <row r="577" spans="1:28" ht="14.5">
      <c r="A577" s="119">
        <v>121</v>
      </c>
      <c r="B577" s="119" t="s">
        <v>188</v>
      </c>
      <c r="C577" s="119">
        <v>1</v>
      </c>
      <c r="D577" s="119">
        <v>1</v>
      </c>
      <c r="E577" s="119">
        <v>574</v>
      </c>
      <c r="F577" s="119">
        <v>1.333</v>
      </c>
      <c r="G577" s="119">
        <v>300.8</v>
      </c>
      <c r="H577" s="119">
        <v>297.3</v>
      </c>
      <c r="I577" s="119">
        <v>4.5172999999999996</v>
      </c>
      <c r="J577" s="119">
        <v>3.2204000000000002</v>
      </c>
      <c r="K577" s="119">
        <v>63.8</v>
      </c>
      <c r="L577" s="119">
        <v>0.05</v>
      </c>
      <c r="M577" s="119">
        <v>33.886000000000003</v>
      </c>
      <c r="N577" s="119">
        <v>7.21</v>
      </c>
    </row>
    <row r="578" spans="1:28" ht="14.5">
      <c r="A578" s="119">
        <v>121</v>
      </c>
      <c r="B578" s="119" t="s">
        <v>188</v>
      </c>
      <c r="C578" s="119">
        <v>2</v>
      </c>
      <c r="D578" s="119">
        <v>2</v>
      </c>
      <c r="E578" s="119">
        <v>575</v>
      </c>
      <c r="F578" s="119">
        <v>2.056</v>
      </c>
      <c r="G578" s="119">
        <v>201.4</v>
      </c>
      <c r="H578" s="119">
        <v>198.9</v>
      </c>
      <c r="I578" s="119">
        <v>5.5622999999999996</v>
      </c>
      <c r="J578" s="119">
        <v>3.3056000000000001</v>
      </c>
      <c r="K578" s="119">
        <v>63.6</v>
      </c>
      <c r="L578" s="119">
        <v>0.05</v>
      </c>
      <c r="M578" s="119">
        <v>33.858499999999999</v>
      </c>
      <c r="N578" s="119">
        <v>7.29</v>
      </c>
    </row>
    <row r="579" spans="1:28" ht="14.5">
      <c r="A579" s="119">
        <v>121</v>
      </c>
      <c r="B579" s="119" t="s">
        <v>188</v>
      </c>
      <c r="C579" s="119">
        <v>3</v>
      </c>
      <c r="D579" s="119">
        <v>3</v>
      </c>
      <c r="E579" s="119">
        <v>576</v>
      </c>
      <c r="F579" s="119">
        <v>2.44</v>
      </c>
      <c r="G579" s="119">
        <v>150.30000000000001</v>
      </c>
      <c r="H579" s="119">
        <v>148.19999999999999</v>
      </c>
      <c r="I579" s="119">
        <v>5.9828000000000001</v>
      </c>
      <c r="J579" s="119">
        <v>3.3338999999999999</v>
      </c>
      <c r="K579" s="119">
        <v>63.4</v>
      </c>
      <c r="L579" s="119">
        <v>0.05</v>
      </c>
      <c r="M579" s="119">
        <v>33.782200000000003</v>
      </c>
      <c r="N579" s="119">
        <v>7.34</v>
      </c>
    </row>
    <row r="580" spans="1:28" ht="14.5">
      <c r="A580" s="119">
        <v>121</v>
      </c>
      <c r="B580" s="119" t="s">
        <v>188</v>
      </c>
      <c r="C580" s="119">
        <v>4</v>
      </c>
      <c r="D580" s="119">
        <v>4</v>
      </c>
      <c r="E580" s="119">
        <v>577</v>
      </c>
      <c r="F580" s="119">
        <v>2.4529999999999998</v>
      </c>
      <c r="G580" s="119">
        <v>150.9</v>
      </c>
      <c r="H580" s="119">
        <v>148.80000000000001</v>
      </c>
      <c r="I580" s="119">
        <v>5.984</v>
      </c>
      <c r="J580" s="119">
        <v>3.3340000000000001</v>
      </c>
      <c r="K580" s="119">
        <v>63.4</v>
      </c>
      <c r="L580" s="119">
        <v>0.05</v>
      </c>
      <c r="M580" s="119">
        <v>33.782800000000002</v>
      </c>
      <c r="N580" s="119">
        <v>7.34</v>
      </c>
    </row>
    <row r="581" spans="1:28" ht="14.5">
      <c r="A581" s="119">
        <v>121</v>
      </c>
      <c r="B581" s="119" t="s">
        <v>188</v>
      </c>
      <c r="C581" s="119">
        <v>5</v>
      </c>
      <c r="D581" s="119">
        <v>5</v>
      </c>
      <c r="E581" s="119">
        <v>578</v>
      </c>
      <c r="F581" s="119">
        <v>2.8170000000000002</v>
      </c>
      <c r="G581" s="119">
        <v>125.9</v>
      </c>
      <c r="H581" s="119">
        <v>124.1</v>
      </c>
      <c r="I581" s="119">
        <v>6.2748999999999997</v>
      </c>
      <c r="J581" s="119">
        <v>3.3496000000000001</v>
      </c>
      <c r="K581" s="119">
        <v>63.4</v>
      </c>
      <c r="L581" s="119">
        <v>0.05</v>
      </c>
      <c r="M581" s="119">
        <v>33.680599999999998</v>
      </c>
      <c r="N581" s="119">
        <v>7.37</v>
      </c>
    </row>
    <row r="582" spans="1:28" ht="14.5">
      <c r="A582" s="119">
        <v>121</v>
      </c>
      <c r="B582" s="119" t="s">
        <v>188</v>
      </c>
      <c r="C582" s="119">
        <v>6</v>
      </c>
      <c r="D582" s="119">
        <v>6</v>
      </c>
      <c r="E582" s="119">
        <v>579</v>
      </c>
      <c r="F582" s="119">
        <v>3.2189999999999999</v>
      </c>
      <c r="G582" s="119">
        <v>101.9</v>
      </c>
      <c r="H582" s="119">
        <v>100.3</v>
      </c>
      <c r="I582" s="119">
        <v>6.4237000000000002</v>
      </c>
      <c r="J582" s="119">
        <v>3.3475000000000001</v>
      </c>
      <c r="K582" s="119">
        <v>63.3</v>
      </c>
      <c r="L582" s="119">
        <v>0.05</v>
      </c>
      <c r="M582" s="119">
        <v>33.522300000000001</v>
      </c>
      <c r="N582" s="119">
        <v>7.41</v>
      </c>
    </row>
    <row r="583" spans="1:28" ht="14.5">
      <c r="A583" s="119">
        <v>121</v>
      </c>
      <c r="B583" s="119" t="s">
        <v>188</v>
      </c>
      <c r="C583" s="119">
        <v>7</v>
      </c>
      <c r="D583" s="119">
        <v>7</v>
      </c>
      <c r="E583" s="119">
        <v>580</v>
      </c>
      <c r="F583" s="119">
        <v>3.1909999999999998</v>
      </c>
      <c r="G583" s="119">
        <v>101.2</v>
      </c>
      <c r="H583" s="119">
        <v>99.6</v>
      </c>
      <c r="I583" s="119">
        <v>6.3757999999999999</v>
      </c>
      <c r="J583" s="119">
        <v>3.3416000000000001</v>
      </c>
      <c r="K583" s="119">
        <v>63.3</v>
      </c>
      <c r="L583" s="119">
        <v>0.05</v>
      </c>
      <c r="M583" s="119">
        <v>33.503900000000002</v>
      </c>
      <c r="N583" s="119">
        <v>7.41</v>
      </c>
    </row>
    <row r="584" spans="1:28" s="159" customFormat="1" ht="14.5">
      <c r="A584" s="119">
        <v>121</v>
      </c>
      <c r="B584" s="119" t="s">
        <v>188</v>
      </c>
      <c r="C584" s="119">
        <v>8</v>
      </c>
      <c r="D584" s="119">
        <v>8</v>
      </c>
      <c r="E584" s="119">
        <v>581</v>
      </c>
      <c r="F584" s="119">
        <v>3.24</v>
      </c>
      <c r="G584" s="119">
        <v>101</v>
      </c>
      <c r="H584" s="119">
        <v>99.5</v>
      </c>
      <c r="I584" s="119">
        <v>6.3727999999999998</v>
      </c>
      <c r="J584" s="119">
        <v>3.3411</v>
      </c>
      <c r="K584" s="119">
        <v>63.3</v>
      </c>
      <c r="L584" s="119">
        <v>0.05</v>
      </c>
      <c r="M584" s="119">
        <v>33.501399999999997</v>
      </c>
      <c r="N584" s="119">
        <v>7.41</v>
      </c>
      <c r="O584" s="165"/>
      <c r="P584" s="165"/>
      <c r="Q584" s="167"/>
      <c r="R584" s="167"/>
      <c r="S584" s="167"/>
      <c r="T584" s="167"/>
      <c r="U584" s="170"/>
      <c r="V584" s="170"/>
      <c r="W584" s="172"/>
      <c r="X584" s="168"/>
      <c r="Y584" s="167"/>
    </row>
    <row r="585" spans="1:28" s="159" customFormat="1" ht="14.5">
      <c r="A585" s="119">
        <v>121</v>
      </c>
      <c r="B585" s="119" t="s">
        <v>188</v>
      </c>
      <c r="C585" s="119">
        <v>9</v>
      </c>
      <c r="D585" s="119">
        <v>9</v>
      </c>
      <c r="E585" s="119">
        <v>582</v>
      </c>
      <c r="F585" s="119">
        <v>5.633</v>
      </c>
      <c r="G585" s="119">
        <v>77.599999999999994</v>
      </c>
      <c r="H585" s="119">
        <v>76.3</v>
      </c>
      <c r="I585" s="119">
        <v>5.6162000000000001</v>
      </c>
      <c r="J585" s="119">
        <v>3.2077</v>
      </c>
      <c r="K585" s="119">
        <v>62.7</v>
      </c>
      <c r="L585" s="119">
        <v>7.0000000000000007E-2</v>
      </c>
      <c r="M585" s="119">
        <v>32.756599999999999</v>
      </c>
      <c r="N585" s="119">
        <v>7.58</v>
      </c>
      <c r="O585" s="165"/>
      <c r="P585" s="165"/>
      <c r="Q585" s="167"/>
      <c r="R585" s="167"/>
      <c r="S585" s="167"/>
      <c r="T585" s="167"/>
      <c r="U585" s="170"/>
      <c r="V585" s="170"/>
      <c r="W585" s="172"/>
      <c r="X585" s="168"/>
      <c r="Y585" s="167"/>
    </row>
    <row r="586" spans="1:28" s="159" customFormat="1" ht="14.5">
      <c r="A586" s="119">
        <v>121</v>
      </c>
      <c r="B586" s="119" t="s">
        <v>188</v>
      </c>
      <c r="C586" s="119">
        <v>10</v>
      </c>
      <c r="D586" s="119">
        <v>10</v>
      </c>
      <c r="E586" s="119">
        <v>583</v>
      </c>
      <c r="F586" s="119">
        <v>7.0970000000000004</v>
      </c>
      <c r="G586" s="119">
        <v>51.8</v>
      </c>
      <c r="H586" s="119">
        <v>50.7</v>
      </c>
      <c r="I586" s="119">
        <v>5.2022000000000004</v>
      </c>
      <c r="J586" s="119">
        <v>3.1377000000000002</v>
      </c>
      <c r="K586" s="119">
        <v>60.6</v>
      </c>
      <c r="L586" s="119">
        <v>0.13</v>
      </c>
      <c r="M586" s="119">
        <v>32.3752</v>
      </c>
      <c r="N586" s="119">
        <v>7.68</v>
      </c>
      <c r="O586" s="157"/>
      <c r="P586" s="157"/>
      <c r="Q586" s="151"/>
      <c r="R586" s="151"/>
      <c r="S586" s="151"/>
      <c r="T586" s="151"/>
      <c r="U586" s="155"/>
      <c r="V586" s="155"/>
      <c r="W586" s="158"/>
      <c r="X586" s="152"/>
      <c r="Y586" s="151"/>
    </row>
    <row r="587" spans="1:28" s="159" customFormat="1" ht="14.5">
      <c r="A587" s="119">
        <v>121</v>
      </c>
      <c r="B587" s="119" t="s">
        <v>188</v>
      </c>
      <c r="C587" s="119">
        <v>11</v>
      </c>
      <c r="D587" s="119">
        <v>11</v>
      </c>
      <c r="E587" s="119">
        <v>584</v>
      </c>
      <c r="F587" s="119">
        <v>7.1070000000000002</v>
      </c>
      <c r="G587" s="119">
        <v>50.8</v>
      </c>
      <c r="H587" s="119">
        <v>49.7</v>
      </c>
      <c r="I587" s="119">
        <v>5.1996000000000002</v>
      </c>
      <c r="J587" s="119">
        <v>3.1375000000000002</v>
      </c>
      <c r="K587" s="119">
        <v>60.5</v>
      </c>
      <c r="L587" s="119">
        <v>0.12</v>
      </c>
      <c r="M587" s="119">
        <v>32.375900000000001</v>
      </c>
      <c r="N587" s="119">
        <v>7.68</v>
      </c>
      <c r="O587" s="157"/>
      <c r="P587" s="151"/>
      <c r="Q587" s="151"/>
      <c r="R587" s="175"/>
      <c r="S587" s="175"/>
      <c r="T587" s="175"/>
      <c r="U587" s="173"/>
      <c r="V587" s="158"/>
      <c r="W587" s="173"/>
      <c r="X587" s="173"/>
      <c r="Y587" s="175"/>
      <c r="Z587" s="177"/>
      <c r="AA587" s="177"/>
      <c r="AB587" s="152"/>
    </row>
    <row r="588" spans="1:28" s="159" customFormat="1" ht="14.5">
      <c r="A588" s="119">
        <v>121</v>
      </c>
      <c r="B588" s="119" t="s">
        <v>188</v>
      </c>
      <c r="C588" s="119">
        <v>12</v>
      </c>
      <c r="D588" s="119">
        <v>12</v>
      </c>
      <c r="E588" s="119">
        <v>585</v>
      </c>
      <c r="F588" s="119">
        <v>7.0890000000000004</v>
      </c>
      <c r="G588" s="119">
        <v>50.1</v>
      </c>
      <c r="H588" s="119">
        <v>49.1</v>
      </c>
      <c r="I588" s="119">
        <v>5.1980000000000004</v>
      </c>
      <c r="J588" s="119">
        <v>3.1375999999999999</v>
      </c>
      <c r="K588" s="119">
        <v>60.7</v>
      </c>
      <c r="L588" s="119">
        <v>0.12</v>
      </c>
      <c r="M588" s="119">
        <v>32.378900000000002</v>
      </c>
      <c r="N588" s="119">
        <v>7.68</v>
      </c>
      <c r="O588" s="248"/>
      <c r="P588" s="173"/>
      <c r="Q588" s="247"/>
      <c r="R588" s="173"/>
      <c r="S588" s="247"/>
      <c r="T588" s="175"/>
      <c r="U588" s="247"/>
      <c r="V588" s="158"/>
      <c r="W588" s="247"/>
      <c r="Y588" s="179"/>
      <c r="AA588" s="180"/>
    </row>
    <row r="589" spans="1:28" s="159" customFormat="1" ht="14.5">
      <c r="A589" s="119">
        <v>121</v>
      </c>
      <c r="B589" s="119" t="s">
        <v>188</v>
      </c>
      <c r="C589" s="119">
        <v>13</v>
      </c>
      <c r="D589" s="119">
        <v>13</v>
      </c>
      <c r="E589" s="119">
        <v>586</v>
      </c>
      <c r="F589" s="119">
        <v>7.0979999999999999</v>
      </c>
      <c r="G589" s="119">
        <v>25.2</v>
      </c>
      <c r="H589" s="119">
        <v>24.4</v>
      </c>
      <c r="I589" s="119">
        <v>5.2652999999999999</v>
      </c>
      <c r="J589" s="119">
        <v>3.1392000000000002</v>
      </c>
      <c r="K589" s="119">
        <v>59.7</v>
      </c>
      <c r="L589" s="119">
        <v>0.13</v>
      </c>
      <c r="M589" s="119">
        <v>32.344900000000003</v>
      </c>
      <c r="N589" s="119">
        <v>7.68</v>
      </c>
      <c r="O589" s="248"/>
      <c r="P589" s="173"/>
      <c r="Q589" s="247"/>
      <c r="R589" s="173"/>
      <c r="S589" s="247"/>
      <c r="T589" s="175"/>
      <c r="U589" s="247"/>
      <c r="V589" s="181"/>
      <c r="W589" s="247"/>
      <c r="X589" s="182"/>
      <c r="Y589" s="183"/>
      <c r="AA589" s="180"/>
    </row>
    <row r="590" spans="1:28" s="190" customFormat="1" ht="14.5">
      <c r="A590" s="119">
        <v>121</v>
      </c>
      <c r="B590" s="119" t="s">
        <v>188</v>
      </c>
      <c r="C590" s="119">
        <v>14</v>
      </c>
      <c r="D590" s="119">
        <v>14</v>
      </c>
      <c r="E590" s="119">
        <v>587</v>
      </c>
      <c r="F590" s="119">
        <v>7.0839999999999996</v>
      </c>
      <c r="G590" s="119">
        <v>25.2</v>
      </c>
      <c r="H590" s="119">
        <v>24.4</v>
      </c>
      <c r="I590" s="119">
        <v>5.2652999999999999</v>
      </c>
      <c r="J590" s="119">
        <v>3.1392000000000002</v>
      </c>
      <c r="K590" s="119">
        <v>59.6</v>
      </c>
      <c r="L590" s="119">
        <v>0.13</v>
      </c>
      <c r="M590" s="119">
        <v>32.344999999999999</v>
      </c>
      <c r="N590" s="119">
        <v>7.68</v>
      </c>
      <c r="O590" s="184"/>
      <c r="P590" s="185"/>
      <c r="Q590" s="185"/>
      <c r="R590" s="185"/>
      <c r="S590" s="185"/>
      <c r="T590" s="187"/>
      <c r="U590" s="187"/>
      <c r="V590" s="185"/>
      <c r="W590" s="189"/>
      <c r="Y590" s="191"/>
      <c r="AA590" s="189"/>
      <c r="AB590" s="186"/>
    </row>
    <row r="591" spans="1:28" ht="14.5">
      <c r="A591" s="119">
        <v>121</v>
      </c>
      <c r="B591" s="119" t="s">
        <v>188</v>
      </c>
      <c r="C591" s="119">
        <v>15</v>
      </c>
      <c r="D591" s="119">
        <v>15</v>
      </c>
      <c r="E591" s="119">
        <v>588</v>
      </c>
      <c r="F591" s="119">
        <v>7.1</v>
      </c>
      <c r="G591" s="119">
        <v>25.3</v>
      </c>
      <c r="H591" s="119">
        <v>24.4</v>
      </c>
      <c r="I591" s="119">
        <v>5.2656000000000001</v>
      </c>
      <c r="J591" s="119">
        <v>3.1392000000000002</v>
      </c>
      <c r="K591" s="119">
        <v>59.8</v>
      </c>
      <c r="L591" s="119">
        <v>0.13</v>
      </c>
      <c r="M591" s="119">
        <v>32.344799999999999</v>
      </c>
      <c r="N591" s="119">
        <v>7.68</v>
      </c>
    </row>
    <row r="592" spans="1:28" ht="14.5">
      <c r="A592" s="119">
        <v>121</v>
      </c>
      <c r="B592" s="119" t="s">
        <v>188</v>
      </c>
      <c r="C592" s="119">
        <v>16</v>
      </c>
      <c r="D592" s="119">
        <v>16</v>
      </c>
      <c r="E592" s="119">
        <v>589</v>
      </c>
      <c r="F592" s="119">
        <v>6.9420000000000002</v>
      </c>
      <c r="G592" s="119">
        <v>5.3</v>
      </c>
      <c r="H592" s="119">
        <v>4.5999999999999996</v>
      </c>
      <c r="I592" s="119">
        <v>5.2716000000000003</v>
      </c>
      <c r="J592" s="119">
        <v>3.1385000000000001</v>
      </c>
      <c r="K592" s="119">
        <v>59.7</v>
      </c>
      <c r="L592" s="119">
        <v>0.13</v>
      </c>
      <c r="M592" s="119">
        <v>32.340400000000002</v>
      </c>
      <c r="N592" s="119">
        <v>7.68</v>
      </c>
    </row>
    <row r="593" spans="1:14" ht="14.5">
      <c r="A593" s="119">
        <v>121</v>
      </c>
      <c r="B593" s="119" t="s">
        <v>188</v>
      </c>
      <c r="C593" s="119">
        <v>17</v>
      </c>
      <c r="D593" s="119">
        <v>17</v>
      </c>
      <c r="E593" s="119">
        <v>590</v>
      </c>
      <c r="F593" s="119">
        <v>6.9580000000000002</v>
      </c>
      <c r="G593" s="119">
        <v>5.9</v>
      </c>
      <c r="H593" s="119">
        <v>5.2</v>
      </c>
      <c r="I593" s="119">
        <v>5.2713000000000001</v>
      </c>
      <c r="J593" s="119">
        <v>3.1385000000000001</v>
      </c>
      <c r="K593" s="119">
        <v>59.7</v>
      </c>
      <c r="L593" s="119">
        <v>0.13</v>
      </c>
      <c r="M593" s="119">
        <v>32.340600000000002</v>
      </c>
      <c r="N593" s="119">
        <v>7.68</v>
      </c>
    </row>
    <row r="594" spans="1:14" ht="14.5">
      <c r="A594" s="119">
        <v>121</v>
      </c>
      <c r="B594" s="119" t="s">
        <v>188</v>
      </c>
      <c r="C594" s="119">
        <v>18</v>
      </c>
      <c r="D594" s="119">
        <v>18</v>
      </c>
      <c r="E594" s="119">
        <v>591</v>
      </c>
      <c r="F594" s="119">
        <v>6.9320000000000004</v>
      </c>
      <c r="G594" s="119">
        <v>5.7</v>
      </c>
      <c r="H594" s="119">
        <v>5.0999999999999996</v>
      </c>
      <c r="I594" s="119">
        <v>5.2714999999999996</v>
      </c>
      <c r="J594" s="119">
        <v>3.1383999999999999</v>
      </c>
      <c r="K594" s="119">
        <v>59.7</v>
      </c>
      <c r="L594" s="119">
        <v>0.13</v>
      </c>
      <c r="M594" s="119">
        <v>32.339500000000001</v>
      </c>
      <c r="N594" s="119">
        <v>7.68</v>
      </c>
    </row>
    <row r="595" spans="1:14" ht="14.5">
      <c r="A595" s="119">
        <v>121</v>
      </c>
      <c r="B595" s="119" t="s">
        <v>188</v>
      </c>
      <c r="C595" s="119">
        <v>19</v>
      </c>
      <c r="D595" s="119">
        <v>19</v>
      </c>
      <c r="E595" s="119">
        <v>592</v>
      </c>
      <c r="F595" s="119">
        <v>6.9390000000000001</v>
      </c>
      <c r="G595" s="119">
        <v>5.3</v>
      </c>
      <c r="H595" s="119">
        <v>4.7</v>
      </c>
      <c r="I595" s="119">
        <v>5.2716000000000003</v>
      </c>
      <c r="J595" s="119">
        <v>3.1385000000000001</v>
      </c>
      <c r="K595" s="119">
        <v>59.7</v>
      </c>
      <c r="L595" s="119">
        <v>0.13</v>
      </c>
      <c r="M595" s="119">
        <v>32.340499999999999</v>
      </c>
      <c r="N595" s="119">
        <v>7.68</v>
      </c>
    </row>
    <row r="596" spans="1:14" ht="14.5">
      <c r="A596" s="119">
        <v>121</v>
      </c>
      <c r="B596" s="119" t="s">
        <v>188</v>
      </c>
      <c r="C596" s="119">
        <v>20</v>
      </c>
      <c r="D596" s="119">
        <v>20</v>
      </c>
      <c r="E596" s="119">
        <v>593</v>
      </c>
      <c r="F596" s="119">
        <v>6.952</v>
      </c>
      <c r="G596" s="119">
        <v>5.5</v>
      </c>
      <c r="H596" s="119">
        <v>4.8</v>
      </c>
      <c r="I596" s="119">
        <v>5.2714999999999996</v>
      </c>
      <c r="J596" s="119">
        <v>3.1385000000000001</v>
      </c>
      <c r="K596" s="119">
        <v>59.8</v>
      </c>
      <c r="L596" s="119">
        <v>0.13</v>
      </c>
      <c r="M596" s="119">
        <v>32.340499999999999</v>
      </c>
      <c r="N596" s="119">
        <v>7.68</v>
      </c>
    </row>
    <row r="597" spans="1:14" ht="14.5">
      <c r="A597" s="119">
        <v>121</v>
      </c>
      <c r="B597" s="119" t="s">
        <v>188</v>
      </c>
      <c r="C597" s="119">
        <v>21</v>
      </c>
      <c r="D597" s="119">
        <v>21</v>
      </c>
      <c r="E597" s="119">
        <v>594</v>
      </c>
      <c r="F597" s="119">
        <v>6.9509999999999996</v>
      </c>
      <c r="G597" s="119">
        <v>5.7</v>
      </c>
      <c r="H597" s="119">
        <v>5</v>
      </c>
      <c r="I597" s="119">
        <v>5.2714999999999996</v>
      </c>
      <c r="J597" s="119">
        <v>3.1385000000000001</v>
      </c>
      <c r="K597" s="119">
        <v>59.7</v>
      </c>
      <c r="L597" s="119">
        <v>0.13</v>
      </c>
      <c r="M597" s="119">
        <v>32.340499999999999</v>
      </c>
      <c r="N597" s="119">
        <v>7.68</v>
      </c>
    </row>
    <row r="598" spans="1:14" ht="14.5">
      <c r="A598" s="119">
        <v>124</v>
      </c>
      <c r="B598" s="119" t="s">
        <v>189</v>
      </c>
      <c r="C598" s="119">
        <v>1</v>
      </c>
      <c r="D598" s="119">
        <v>1</v>
      </c>
      <c r="E598" s="119">
        <v>595</v>
      </c>
      <c r="F598" s="119">
        <v>1.236</v>
      </c>
      <c r="G598" s="119">
        <v>2001.8</v>
      </c>
      <c r="H598" s="119">
        <v>1973.4</v>
      </c>
      <c r="I598" s="119">
        <v>1.9207000000000001</v>
      </c>
      <c r="J598" s="119">
        <v>3.1236000000000002</v>
      </c>
      <c r="K598" s="119">
        <v>64.3</v>
      </c>
      <c r="L598" s="119">
        <v>0.06</v>
      </c>
      <c r="M598" s="119">
        <v>34.5792</v>
      </c>
      <c r="N598" s="119">
        <v>7.25</v>
      </c>
    </row>
    <row r="599" spans="1:14" ht="14.5">
      <c r="A599" s="119">
        <v>124</v>
      </c>
      <c r="B599" s="119" t="s">
        <v>189</v>
      </c>
      <c r="C599" s="119">
        <v>2</v>
      </c>
      <c r="D599" s="119">
        <v>2</v>
      </c>
      <c r="E599" s="119">
        <v>596</v>
      </c>
      <c r="F599" s="119">
        <v>0.58899999999999997</v>
      </c>
      <c r="G599" s="119">
        <v>1502.7</v>
      </c>
      <c r="H599" s="119">
        <v>1482.9</v>
      </c>
      <c r="I599" s="119">
        <v>2.3127</v>
      </c>
      <c r="J599" s="119">
        <v>3.1307</v>
      </c>
      <c r="K599" s="119">
        <v>64.099999999999994</v>
      </c>
      <c r="L599" s="119">
        <v>0.06</v>
      </c>
      <c r="M599" s="119">
        <v>34.4983</v>
      </c>
      <c r="N599" s="119">
        <v>7.2</v>
      </c>
    </row>
    <row r="600" spans="1:14" ht="14.5">
      <c r="A600" s="119">
        <v>124</v>
      </c>
      <c r="B600" s="119" t="s">
        <v>189</v>
      </c>
      <c r="C600" s="119">
        <v>3</v>
      </c>
      <c r="D600" s="119">
        <v>3</v>
      </c>
      <c r="E600" s="119">
        <v>597</v>
      </c>
      <c r="F600" s="119">
        <v>0.39300000000000002</v>
      </c>
      <c r="G600" s="119">
        <v>1252.0999999999999</v>
      </c>
      <c r="H600" s="119">
        <v>1236.3</v>
      </c>
      <c r="I600" s="119">
        <v>2.5941999999999998</v>
      </c>
      <c r="J600" s="119">
        <v>3.1398999999999999</v>
      </c>
      <c r="K600" s="119">
        <v>64.099999999999994</v>
      </c>
      <c r="L600" s="119">
        <v>0.06</v>
      </c>
      <c r="M600" s="119">
        <v>34.439799999999998</v>
      </c>
      <c r="N600" s="119">
        <v>7.18</v>
      </c>
    </row>
    <row r="601" spans="1:14" ht="14.5">
      <c r="A601" s="119">
        <v>124</v>
      </c>
      <c r="B601" s="119" t="s">
        <v>189</v>
      </c>
      <c r="C601" s="119">
        <v>4</v>
      </c>
      <c r="D601" s="119">
        <v>4</v>
      </c>
      <c r="E601" s="119">
        <v>598</v>
      </c>
      <c r="F601" s="119">
        <v>0.33300000000000002</v>
      </c>
      <c r="G601" s="119">
        <v>1000.6</v>
      </c>
      <c r="H601" s="119">
        <v>988.5</v>
      </c>
      <c r="I601" s="119">
        <v>2.9015</v>
      </c>
      <c r="J601" s="119">
        <v>3.1505000000000001</v>
      </c>
      <c r="K601" s="119">
        <v>64.099999999999994</v>
      </c>
      <c r="L601" s="119">
        <v>0.05</v>
      </c>
      <c r="M601" s="119">
        <v>34.372300000000003</v>
      </c>
      <c r="N601" s="119">
        <v>7.18</v>
      </c>
    </row>
    <row r="602" spans="1:14" ht="14.5">
      <c r="A602" s="119">
        <v>124</v>
      </c>
      <c r="B602" s="119" t="s">
        <v>189</v>
      </c>
      <c r="C602" s="119">
        <v>5</v>
      </c>
      <c r="D602" s="119">
        <v>5</v>
      </c>
      <c r="E602" s="119">
        <v>599</v>
      </c>
      <c r="F602" s="119">
        <v>0.314</v>
      </c>
      <c r="G602" s="119">
        <v>802.1</v>
      </c>
      <c r="H602" s="119">
        <v>792.6</v>
      </c>
      <c r="I602" s="119">
        <v>3.2360000000000002</v>
      </c>
      <c r="J602" s="119">
        <v>3.1646000000000001</v>
      </c>
      <c r="K602" s="119">
        <v>64.099999999999994</v>
      </c>
      <c r="L602" s="119">
        <v>0.05</v>
      </c>
      <c r="M602" s="119">
        <v>34.293199999999999</v>
      </c>
      <c r="N602" s="119">
        <v>7.18</v>
      </c>
    </row>
    <row r="603" spans="1:14" ht="14.5">
      <c r="A603" s="119">
        <v>124</v>
      </c>
      <c r="B603" s="119" t="s">
        <v>189</v>
      </c>
      <c r="C603" s="119">
        <v>6</v>
      </c>
      <c r="D603" s="119">
        <v>6</v>
      </c>
      <c r="E603" s="119">
        <v>600</v>
      </c>
      <c r="F603" s="119">
        <v>0.35</v>
      </c>
      <c r="G603" s="119">
        <v>604.20000000000005</v>
      </c>
      <c r="H603" s="119">
        <v>597.20000000000005</v>
      </c>
      <c r="I603" s="119">
        <v>3.5548000000000002</v>
      </c>
      <c r="J603" s="119">
        <v>3.1760999999999999</v>
      </c>
      <c r="K603" s="119">
        <v>64.099999999999994</v>
      </c>
      <c r="L603" s="119">
        <v>0.05</v>
      </c>
      <c r="M603" s="119">
        <v>34.1999</v>
      </c>
      <c r="N603" s="119">
        <v>7.18</v>
      </c>
    </row>
    <row r="604" spans="1:14" ht="14.5">
      <c r="A604" s="119">
        <v>124</v>
      </c>
      <c r="B604" s="119" t="s">
        <v>189</v>
      </c>
      <c r="C604" s="119">
        <v>7</v>
      </c>
      <c r="D604" s="119">
        <v>7</v>
      </c>
      <c r="E604" s="119">
        <v>601</v>
      </c>
      <c r="F604" s="119">
        <v>0.53200000000000003</v>
      </c>
      <c r="G604" s="119">
        <v>402.5</v>
      </c>
      <c r="H604" s="119">
        <v>397.8</v>
      </c>
      <c r="I604" s="119">
        <v>3.8220000000000001</v>
      </c>
      <c r="J604" s="119">
        <v>3.1779000000000002</v>
      </c>
      <c r="K604" s="119">
        <v>64</v>
      </c>
      <c r="L604" s="119">
        <v>0.05</v>
      </c>
      <c r="M604" s="119">
        <v>34.049199999999999</v>
      </c>
      <c r="N604" s="119">
        <v>7.16</v>
      </c>
    </row>
    <row r="605" spans="1:14" ht="14.5">
      <c r="A605" s="119">
        <v>124</v>
      </c>
      <c r="B605" s="119" t="s">
        <v>189</v>
      </c>
      <c r="C605" s="119">
        <v>8</v>
      </c>
      <c r="D605" s="119">
        <v>8</v>
      </c>
      <c r="E605" s="119">
        <v>602</v>
      </c>
      <c r="F605" s="119">
        <v>0.70899999999999996</v>
      </c>
      <c r="G605" s="119">
        <v>301.60000000000002</v>
      </c>
      <c r="H605" s="119">
        <v>298</v>
      </c>
      <c r="I605" s="119">
        <v>3.91</v>
      </c>
      <c r="J605" s="119">
        <v>3.1709000000000001</v>
      </c>
      <c r="K605" s="119">
        <v>63.8</v>
      </c>
      <c r="L605" s="119">
        <v>0.05</v>
      </c>
      <c r="M605" s="119">
        <v>33.927900000000001</v>
      </c>
      <c r="N605" s="119">
        <v>7.15</v>
      </c>
    </row>
    <row r="606" spans="1:14" ht="14.5">
      <c r="A606" s="119">
        <v>124</v>
      </c>
      <c r="B606" s="119" t="s">
        <v>189</v>
      </c>
      <c r="C606" s="119">
        <v>9</v>
      </c>
      <c r="D606" s="119">
        <v>9</v>
      </c>
      <c r="E606" s="119">
        <v>603</v>
      </c>
      <c r="F606" s="119">
        <v>0.87</v>
      </c>
      <c r="G606" s="119">
        <v>249.5</v>
      </c>
      <c r="H606" s="119">
        <v>246.5</v>
      </c>
      <c r="I606" s="119">
        <v>3.9491000000000001</v>
      </c>
      <c r="J606" s="119">
        <v>3.1667000000000001</v>
      </c>
      <c r="K606" s="119">
        <v>63.6</v>
      </c>
      <c r="L606" s="119">
        <v>0.05</v>
      </c>
      <c r="M606" s="119">
        <v>33.864600000000003</v>
      </c>
      <c r="N606" s="119">
        <v>7.15</v>
      </c>
    </row>
    <row r="607" spans="1:14" ht="14.5">
      <c r="A607" s="119">
        <v>124</v>
      </c>
      <c r="B607" s="119" t="s">
        <v>189</v>
      </c>
      <c r="C607" s="119">
        <v>10</v>
      </c>
      <c r="D607" s="119">
        <v>10</v>
      </c>
      <c r="E607" s="119">
        <v>604</v>
      </c>
      <c r="F607" s="119">
        <v>1.2170000000000001</v>
      </c>
      <c r="G607" s="119">
        <v>200.7</v>
      </c>
      <c r="H607" s="119">
        <v>198.2</v>
      </c>
      <c r="I607" s="119">
        <v>3.9607000000000001</v>
      </c>
      <c r="J607" s="119">
        <v>3.1612</v>
      </c>
      <c r="K607" s="119">
        <v>63.6</v>
      </c>
      <c r="L607" s="119">
        <v>0.05</v>
      </c>
      <c r="M607" s="119">
        <v>33.813899999999997</v>
      </c>
      <c r="N607" s="119">
        <v>7.17</v>
      </c>
    </row>
    <row r="608" spans="1:14" ht="14.5">
      <c r="A608" s="119">
        <v>124</v>
      </c>
      <c r="B608" s="119" t="s">
        <v>189</v>
      </c>
      <c r="C608" s="119">
        <v>11</v>
      </c>
      <c r="D608" s="119">
        <v>11</v>
      </c>
      <c r="E608" s="119">
        <v>605</v>
      </c>
      <c r="F608" s="119">
        <v>1.542</v>
      </c>
      <c r="G608" s="119">
        <v>175.4</v>
      </c>
      <c r="H608" s="119">
        <v>173.1</v>
      </c>
      <c r="I608" s="119">
        <v>4.0171000000000001</v>
      </c>
      <c r="J608" s="119">
        <v>3.1613000000000002</v>
      </c>
      <c r="K608" s="119">
        <v>63.6</v>
      </c>
      <c r="L608" s="119">
        <v>0.06</v>
      </c>
      <c r="M608" s="119">
        <v>33.7697</v>
      </c>
      <c r="N608" s="119">
        <v>7.2</v>
      </c>
    </row>
    <row r="609" spans="1:28" ht="14.5">
      <c r="A609" s="119">
        <v>124</v>
      </c>
      <c r="B609" s="119" t="s">
        <v>189</v>
      </c>
      <c r="C609" s="119">
        <v>12</v>
      </c>
      <c r="D609" s="119">
        <v>12</v>
      </c>
      <c r="E609" s="119">
        <v>606</v>
      </c>
      <c r="F609" s="119">
        <v>1.861</v>
      </c>
      <c r="G609" s="119">
        <v>151.19999999999999</v>
      </c>
      <c r="H609" s="119">
        <v>149.1</v>
      </c>
      <c r="I609" s="119">
        <v>4.1368</v>
      </c>
      <c r="J609" s="119">
        <v>3.1671</v>
      </c>
      <c r="K609" s="119">
        <v>63.6</v>
      </c>
      <c r="L609" s="119">
        <v>0.06</v>
      </c>
      <c r="M609" s="119">
        <v>33.728200000000001</v>
      </c>
      <c r="N609" s="119">
        <v>7.23</v>
      </c>
    </row>
    <row r="610" spans="1:28" ht="14.5">
      <c r="A610" s="119">
        <v>124</v>
      </c>
      <c r="B610" s="119" t="s">
        <v>189</v>
      </c>
      <c r="C610" s="119">
        <v>13</v>
      </c>
      <c r="D610" s="119">
        <v>13</v>
      </c>
      <c r="E610" s="119">
        <v>607</v>
      </c>
      <c r="F610" s="119">
        <v>2.4239999999999999</v>
      </c>
      <c r="G610" s="119">
        <v>125.5</v>
      </c>
      <c r="H610" s="119">
        <v>123.7</v>
      </c>
      <c r="I610" s="119">
        <v>4.3029999999999999</v>
      </c>
      <c r="J610" s="119">
        <v>3.1713</v>
      </c>
      <c r="K610" s="119">
        <v>63.6</v>
      </c>
      <c r="L610" s="119">
        <v>0.06</v>
      </c>
      <c r="M610" s="119">
        <v>33.621400000000001</v>
      </c>
      <c r="N610" s="119">
        <v>7.27</v>
      </c>
    </row>
    <row r="611" spans="1:28" ht="14.5">
      <c r="A611" s="119">
        <v>124</v>
      </c>
      <c r="B611" s="119" t="s">
        <v>189</v>
      </c>
      <c r="C611" s="119">
        <v>14</v>
      </c>
      <c r="D611" s="119">
        <v>14</v>
      </c>
      <c r="E611" s="119">
        <v>608</v>
      </c>
      <c r="F611" s="119">
        <v>4.2859999999999996</v>
      </c>
      <c r="G611" s="119">
        <v>102.4</v>
      </c>
      <c r="H611" s="119">
        <v>100.9</v>
      </c>
      <c r="I611" s="119">
        <v>4.5143000000000004</v>
      </c>
      <c r="J611" s="119">
        <v>3.1562999999999999</v>
      </c>
      <c r="K611" s="119">
        <v>63.4</v>
      </c>
      <c r="L611" s="119">
        <v>7.0000000000000007E-2</v>
      </c>
      <c r="M611" s="119">
        <v>33.244</v>
      </c>
      <c r="N611" s="119">
        <v>7.43</v>
      </c>
    </row>
    <row r="612" spans="1:28" ht="14.5">
      <c r="A612" s="119">
        <v>124</v>
      </c>
      <c r="B612" s="119" t="s">
        <v>189</v>
      </c>
      <c r="C612" s="119">
        <v>15</v>
      </c>
      <c r="D612" s="119">
        <v>15</v>
      </c>
      <c r="E612" s="119">
        <v>609</v>
      </c>
      <c r="F612" s="119">
        <v>6.7569999999999997</v>
      </c>
      <c r="G612" s="119">
        <v>75.900000000000006</v>
      </c>
      <c r="H612" s="119">
        <v>74.599999999999994</v>
      </c>
      <c r="I612" s="119">
        <v>3.9192999999999998</v>
      </c>
      <c r="J612" s="119">
        <v>3.0592000000000001</v>
      </c>
      <c r="K612" s="119">
        <v>62.9</v>
      </c>
      <c r="L612" s="119">
        <v>0.09</v>
      </c>
      <c r="M612" s="119">
        <v>32.713200000000001</v>
      </c>
      <c r="N612" s="119">
        <v>7.61</v>
      </c>
    </row>
    <row r="613" spans="1:28" ht="14.5">
      <c r="A613" s="119">
        <v>124</v>
      </c>
      <c r="B613" s="119" t="s">
        <v>189</v>
      </c>
      <c r="C613" s="119">
        <v>16</v>
      </c>
      <c r="D613" s="119">
        <v>16</v>
      </c>
      <c r="E613" s="119">
        <v>610</v>
      </c>
      <c r="F613" s="119">
        <v>7.2060000000000004</v>
      </c>
      <c r="G613" s="119">
        <v>61.9</v>
      </c>
      <c r="H613" s="119">
        <v>60.7</v>
      </c>
      <c r="I613" s="119">
        <v>4.1554000000000002</v>
      </c>
      <c r="J613" s="119">
        <v>3.0606</v>
      </c>
      <c r="K613" s="119">
        <v>60.9</v>
      </c>
      <c r="L613" s="119">
        <v>0.11</v>
      </c>
      <c r="M613" s="119">
        <v>32.502899999999997</v>
      </c>
      <c r="N613" s="119">
        <v>7.65</v>
      </c>
    </row>
    <row r="614" spans="1:28" ht="14.5">
      <c r="A614" s="119">
        <v>124</v>
      </c>
      <c r="B614" s="119" t="s">
        <v>189</v>
      </c>
      <c r="C614" s="119">
        <v>17</v>
      </c>
      <c r="D614" s="119">
        <v>17</v>
      </c>
      <c r="E614" s="119">
        <v>611</v>
      </c>
      <c r="F614" s="119">
        <v>7.2569999999999997</v>
      </c>
      <c r="G614" s="119">
        <v>54</v>
      </c>
      <c r="H614" s="119">
        <v>52.9</v>
      </c>
      <c r="I614" s="119">
        <v>4.1855000000000002</v>
      </c>
      <c r="J614" s="119">
        <v>3.0607000000000002</v>
      </c>
      <c r="K614" s="119">
        <v>60.6</v>
      </c>
      <c r="L614" s="119">
        <v>0.11</v>
      </c>
      <c r="M614" s="119">
        <v>32.4771</v>
      </c>
      <c r="N614" s="119">
        <v>7.66</v>
      </c>
    </row>
    <row r="615" spans="1:28" s="159" customFormat="1" ht="14.5">
      <c r="A615" s="119">
        <v>124</v>
      </c>
      <c r="B615" s="119" t="s">
        <v>189</v>
      </c>
      <c r="C615" s="119">
        <v>18</v>
      </c>
      <c r="D615" s="119">
        <v>18</v>
      </c>
      <c r="E615" s="119">
        <v>612</v>
      </c>
      <c r="F615" s="119">
        <v>7.2610000000000001</v>
      </c>
      <c r="G615" s="119">
        <v>25.5</v>
      </c>
      <c r="H615" s="119">
        <v>24.7</v>
      </c>
      <c r="I615" s="119">
        <v>4.1901000000000002</v>
      </c>
      <c r="J615" s="119">
        <v>3.0596999999999999</v>
      </c>
      <c r="K615" s="119">
        <v>60.1</v>
      </c>
      <c r="L615" s="119">
        <v>0.12</v>
      </c>
      <c r="M615" s="119">
        <v>32.476399999999998</v>
      </c>
      <c r="N615" s="119">
        <v>7.66</v>
      </c>
      <c r="O615" s="165"/>
      <c r="P615" s="165"/>
      <c r="Q615" s="167"/>
      <c r="R615" s="167"/>
      <c r="S615" s="167"/>
      <c r="T615" s="167"/>
      <c r="U615" s="170"/>
      <c r="V615" s="170"/>
      <c r="W615" s="172"/>
      <c r="X615" s="168"/>
      <c r="Y615" s="167"/>
    </row>
    <row r="616" spans="1:28" s="159" customFormat="1" ht="14.5">
      <c r="A616" s="119">
        <v>124</v>
      </c>
      <c r="B616" s="119" t="s">
        <v>189</v>
      </c>
      <c r="C616" s="119">
        <v>19</v>
      </c>
      <c r="D616" s="119">
        <v>19</v>
      </c>
      <c r="E616" s="119">
        <v>613</v>
      </c>
      <c r="F616" s="119">
        <v>7.2759999999999998</v>
      </c>
      <c r="G616" s="119">
        <v>12.3</v>
      </c>
      <c r="H616" s="119">
        <v>11.5</v>
      </c>
      <c r="I616" s="119">
        <v>4.1896000000000004</v>
      </c>
      <c r="J616" s="119">
        <v>3.0590999999999999</v>
      </c>
      <c r="K616" s="119">
        <v>60.2</v>
      </c>
      <c r="L616" s="119">
        <v>0.11</v>
      </c>
      <c r="M616" s="119">
        <v>32.476300000000002</v>
      </c>
      <c r="N616" s="119">
        <v>7.66</v>
      </c>
      <c r="O616" s="165"/>
      <c r="P616" s="165"/>
      <c r="Q616" s="167"/>
      <c r="R616" s="167"/>
      <c r="S616" s="167"/>
      <c r="T616" s="167"/>
      <c r="U616" s="170"/>
      <c r="V616" s="170"/>
      <c r="W616" s="172"/>
      <c r="X616" s="168"/>
      <c r="Y616" s="167"/>
    </row>
    <row r="617" spans="1:28" s="159" customFormat="1" ht="14.5">
      <c r="A617" s="119">
        <v>124</v>
      </c>
      <c r="B617" s="119" t="s">
        <v>189</v>
      </c>
      <c r="C617" s="119">
        <v>20</v>
      </c>
      <c r="D617" s="119">
        <v>20</v>
      </c>
      <c r="E617" s="119">
        <v>614</v>
      </c>
      <c r="F617" s="119">
        <v>7.2770000000000001</v>
      </c>
      <c r="G617" s="119">
        <v>6</v>
      </c>
      <c r="H617" s="119">
        <v>5.3</v>
      </c>
      <c r="I617" s="119">
        <v>4.1897000000000002</v>
      </c>
      <c r="J617" s="119">
        <v>3.0588000000000002</v>
      </c>
      <c r="K617" s="119">
        <v>60.1</v>
      </c>
      <c r="L617" s="119">
        <v>0.1</v>
      </c>
      <c r="M617" s="119">
        <v>32.476100000000002</v>
      </c>
      <c r="N617" s="119">
        <v>7.66</v>
      </c>
      <c r="O617" s="165"/>
      <c r="P617" s="165"/>
      <c r="Q617" s="167"/>
      <c r="R617" s="167"/>
      <c r="S617" s="167"/>
      <c r="T617" s="167"/>
      <c r="U617" s="170"/>
      <c r="V617" s="170"/>
      <c r="W617" s="172"/>
      <c r="X617" s="168"/>
      <c r="Y617" s="167"/>
    </row>
    <row r="618" spans="1:28" s="159" customFormat="1" ht="14.5">
      <c r="A618" s="119">
        <v>124</v>
      </c>
      <c r="B618" s="119" t="s">
        <v>189</v>
      </c>
      <c r="C618" s="119">
        <v>21</v>
      </c>
      <c r="D618" s="119">
        <v>21</v>
      </c>
      <c r="E618" s="119">
        <v>615</v>
      </c>
      <c r="F618" s="119">
        <v>7.258</v>
      </c>
      <c r="G618" s="119">
        <v>6.4</v>
      </c>
      <c r="H618" s="119">
        <v>5.7</v>
      </c>
      <c r="I618" s="119">
        <v>4.1894</v>
      </c>
      <c r="J618" s="119">
        <v>3.0588000000000002</v>
      </c>
      <c r="K618" s="119">
        <v>60.1</v>
      </c>
      <c r="L618" s="119">
        <v>0.1</v>
      </c>
      <c r="M618" s="119">
        <v>32.476199999999999</v>
      </c>
      <c r="N618" s="119">
        <v>7.66</v>
      </c>
      <c r="O618" s="157"/>
      <c r="P618" s="157"/>
      <c r="Q618" s="151"/>
      <c r="R618" s="151"/>
      <c r="S618" s="151"/>
      <c r="T618" s="151"/>
      <c r="U618" s="155"/>
      <c r="V618" s="155"/>
      <c r="W618" s="158"/>
      <c r="X618" s="152"/>
      <c r="Y618" s="151"/>
    </row>
    <row r="619" spans="1:28" s="159" customFormat="1" ht="14.5">
      <c r="A619" s="119">
        <v>124</v>
      </c>
      <c r="B619" s="119" t="s">
        <v>189</v>
      </c>
      <c r="C619" s="119">
        <v>22</v>
      </c>
      <c r="D619" s="119">
        <v>22</v>
      </c>
      <c r="E619" s="119">
        <v>616</v>
      </c>
      <c r="F619" s="119">
        <v>7.26</v>
      </c>
      <c r="G619" s="119">
        <v>6.9</v>
      </c>
      <c r="H619" s="119">
        <v>6.3</v>
      </c>
      <c r="I619" s="119">
        <v>4.1894</v>
      </c>
      <c r="J619" s="119">
        <v>3.0588000000000002</v>
      </c>
      <c r="K619" s="119">
        <v>60.1</v>
      </c>
      <c r="L619" s="119">
        <v>0.09</v>
      </c>
      <c r="M619" s="119">
        <v>32.476199999999999</v>
      </c>
      <c r="N619" s="119">
        <v>7.66</v>
      </c>
      <c r="O619" s="157"/>
      <c r="P619" s="151"/>
      <c r="Q619" s="151"/>
      <c r="R619" s="175"/>
      <c r="S619" s="175"/>
      <c r="T619" s="175"/>
      <c r="U619" s="173"/>
      <c r="V619" s="158"/>
      <c r="W619" s="173"/>
      <c r="X619" s="173"/>
      <c r="Y619" s="175"/>
      <c r="Z619" s="177"/>
      <c r="AA619" s="177"/>
      <c r="AB619" s="152"/>
    </row>
    <row r="620" spans="1:28" s="159" customFormat="1" ht="14.5">
      <c r="A620" s="119">
        <v>124</v>
      </c>
      <c r="B620" s="119" t="s">
        <v>189</v>
      </c>
      <c r="C620" s="119">
        <v>23</v>
      </c>
      <c r="D620" s="119">
        <v>23</v>
      </c>
      <c r="E620" s="119">
        <v>617</v>
      </c>
      <c r="F620" s="119">
        <v>7.2759999999999998</v>
      </c>
      <c r="G620" s="119">
        <v>6.8</v>
      </c>
      <c r="H620" s="119">
        <v>6.2</v>
      </c>
      <c r="I620" s="119">
        <v>4.1894999999999998</v>
      </c>
      <c r="J620" s="119">
        <v>3.0588000000000002</v>
      </c>
      <c r="K620" s="119">
        <v>60.1</v>
      </c>
      <c r="L620" s="119">
        <v>0.1</v>
      </c>
      <c r="M620" s="119">
        <v>32.476199999999999</v>
      </c>
      <c r="N620" s="119">
        <v>7.66</v>
      </c>
      <c r="O620" s="248"/>
      <c r="P620" s="173"/>
      <c r="Q620" s="247"/>
      <c r="R620" s="173"/>
      <c r="S620" s="247"/>
      <c r="T620" s="175"/>
      <c r="U620" s="247"/>
      <c r="V620" s="158"/>
      <c r="W620" s="247"/>
      <c r="Y620" s="179"/>
      <c r="AA620" s="180"/>
    </row>
    <row r="621" spans="1:28" s="159" customFormat="1" ht="14.5">
      <c r="A621" s="119">
        <v>124</v>
      </c>
      <c r="B621" s="119" t="s">
        <v>189</v>
      </c>
      <c r="C621" s="119">
        <v>24</v>
      </c>
      <c r="D621" s="119">
        <v>24</v>
      </c>
      <c r="E621" s="119">
        <v>618</v>
      </c>
      <c r="F621" s="119">
        <v>7.2690000000000001</v>
      </c>
      <c r="G621" s="119">
        <v>4.0999999999999996</v>
      </c>
      <c r="H621" s="119">
        <v>3.5</v>
      </c>
      <c r="I621" s="119">
        <v>4.1900000000000004</v>
      </c>
      <c r="J621" s="119">
        <v>3.0588000000000002</v>
      </c>
      <c r="K621" s="119">
        <v>60.1</v>
      </c>
      <c r="L621" s="119">
        <v>0.1</v>
      </c>
      <c r="M621" s="119">
        <v>32.476300000000002</v>
      </c>
      <c r="N621" s="119">
        <v>7.66</v>
      </c>
      <c r="O621" s="248"/>
      <c r="P621" s="173"/>
      <c r="Q621" s="247"/>
      <c r="R621" s="173"/>
      <c r="S621" s="247"/>
      <c r="T621" s="175"/>
      <c r="U621" s="247"/>
      <c r="V621" s="181"/>
      <c r="W621" s="247"/>
      <c r="X621" s="182"/>
      <c r="Y621" s="183"/>
      <c r="AA621" s="180"/>
    </row>
    <row r="622" spans="1:28" s="190" customFormat="1" ht="14.5">
      <c r="A622" s="119">
        <v>130</v>
      </c>
      <c r="B622" s="119" t="s">
        <v>190</v>
      </c>
      <c r="C622" s="119">
        <v>1</v>
      </c>
      <c r="D622" s="119">
        <v>1</v>
      </c>
      <c r="E622" s="119">
        <v>619</v>
      </c>
      <c r="F622" s="119">
        <v>1</v>
      </c>
      <c r="G622" s="119">
        <v>302.3</v>
      </c>
      <c r="H622" s="119">
        <v>298.8</v>
      </c>
      <c r="I622" s="119">
        <v>4.4631999999999996</v>
      </c>
      <c r="J622" s="119">
        <v>3.2210000000000001</v>
      </c>
      <c r="K622" s="119">
        <v>64</v>
      </c>
      <c r="L622" s="119">
        <v>0.06</v>
      </c>
      <c r="M622" s="119">
        <v>33.947200000000002</v>
      </c>
      <c r="N622" s="119">
        <v>7.21</v>
      </c>
      <c r="O622" s="184"/>
      <c r="P622" s="185"/>
      <c r="Q622" s="185"/>
      <c r="R622" s="185"/>
      <c r="S622" s="185"/>
      <c r="T622" s="187"/>
      <c r="U622" s="187"/>
      <c r="V622" s="185"/>
      <c r="W622" s="189"/>
      <c r="Y622" s="191"/>
      <c r="AA622" s="189"/>
      <c r="AB622" s="186"/>
    </row>
    <row r="623" spans="1:28" ht="14.5">
      <c r="A623" s="119">
        <v>130</v>
      </c>
      <c r="B623" s="119" t="s">
        <v>190</v>
      </c>
      <c r="C623" s="119">
        <v>2</v>
      </c>
      <c r="D623" s="119">
        <v>2</v>
      </c>
      <c r="E623" s="119">
        <v>620</v>
      </c>
      <c r="F623" s="119">
        <v>1.655</v>
      </c>
      <c r="G623" s="119">
        <v>201.6</v>
      </c>
      <c r="H623" s="119">
        <v>199.1</v>
      </c>
      <c r="I623" s="119">
        <v>4.9550000000000001</v>
      </c>
      <c r="J623" s="119">
        <v>3.2522000000000002</v>
      </c>
      <c r="K623" s="119">
        <v>63.6</v>
      </c>
      <c r="L623" s="119">
        <v>0.05</v>
      </c>
      <c r="M623" s="119">
        <v>33.8596</v>
      </c>
      <c r="N623" s="119">
        <v>7.26</v>
      </c>
    </row>
    <row r="624" spans="1:28" ht="14.5">
      <c r="A624" s="119">
        <v>130</v>
      </c>
      <c r="B624" s="119" t="s">
        <v>190</v>
      </c>
      <c r="C624" s="119">
        <v>3</v>
      </c>
      <c r="D624" s="119">
        <v>3</v>
      </c>
      <c r="E624" s="119">
        <v>621</v>
      </c>
      <c r="F624" s="119">
        <v>2.1309999999999998</v>
      </c>
      <c r="G624" s="119">
        <v>152.19999999999999</v>
      </c>
      <c r="H624" s="119">
        <v>150.19999999999999</v>
      </c>
      <c r="I624" s="119">
        <v>5.3151000000000002</v>
      </c>
      <c r="J624" s="119">
        <v>3.2776999999999998</v>
      </c>
      <c r="K624" s="119">
        <v>63.6</v>
      </c>
      <c r="L624" s="119">
        <v>0.05</v>
      </c>
      <c r="M624" s="119">
        <v>33.814</v>
      </c>
      <c r="N624" s="119">
        <v>7.31</v>
      </c>
    </row>
    <row r="625" spans="1:28" ht="14.5">
      <c r="A625" s="119">
        <v>130</v>
      </c>
      <c r="B625" s="119" t="s">
        <v>190</v>
      </c>
      <c r="C625" s="119">
        <v>4</v>
      </c>
      <c r="D625" s="119">
        <v>4</v>
      </c>
      <c r="E625" s="119">
        <v>622</v>
      </c>
      <c r="F625" s="119">
        <v>2.133</v>
      </c>
      <c r="G625" s="119">
        <v>152</v>
      </c>
      <c r="H625" s="119">
        <v>150</v>
      </c>
      <c r="I625" s="119">
        <v>5.3148</v>
      </c>
      <c r="J625" s="119">
        <v>3.2776999999999998</v>
      </c>
      <c r="K625" s="119">
        <v>63.6</v>
      </c>
      <c r="L625" s="119">
        <v>0.05</v>
      </c>
      <c r="M625" s="119">
        <v>33.814</v>
      </c>
      <c r="N625" s="119">
        <v>7.31</v>
      </c>
    </row>
    <row r="626" spans="1:28" ht="14.5">
      <c r="A626" s="119">
        <v>130</v>
      </c>
      <c r="B626" s="119" t="s">
        <v>190</v>
      </c>
      <c r="C626" s="119">
        <v>5</v>
      </c>
      <c r="D626" s="119">
        <v>5</v>
      </c>
      <c r="E626" s="119">
        <v>623</v>
      </c>
      <c r="F626" s="119">
        <v>2.4660000000000002</v>
      </c>
      <c r="G626" s="119">
        <v>124.8</v>
      </c>
      <c r="H626" s="119">
        <v>123</v>
      </c>
      <c r="I626" s="119">
        <v>5.7298</v>
      </c>
      <c r="J626" s="119">
        <v>3.3083999999999998</v>
      </c>
      <c r="K626" s="119">
        <v>63.6</v>
      </c>
      <c r="L626" s="119">
        <v>0.05</v>
      </c>
      <c r="M626" s="119">
        <v>33.760800000000003</v>
      </c>
      <c r="N626" s="119">
        <v>7.34</v>
      </c>
    </row>
    <row r="627" spans="1:28" ht="14.5">
      <c r="A627" s="119">
        <v>130</v>
      </c>
      <c r="B627" s="119" t="s">
        <v>190</v>
      </c>
      <c r="C627" s="119">
        <v>6</v>
      </c>
      <c r="D627" s="119">
        <v>6</v>
      </c>
      <c r="E627" s="119">
        <v>624</v>
      </c>
      <c r="F627" s="119">
        <v>3.8090000000000002</v>
      </c>
      <c r="G627" s="119">
        <v>100.7</v>
      </c>
      <c r="H627" s="119">
        <v>99.1</v>
      </c>
      <c r="I627" s="119">
        <v>5.3712</v>
      </c>
      <c r="J627" s="119">
        <v>3.2452000000000001</v>
      </c>
      <c r="K627" s="119">
        <v>63.5</v>
      </c>
      <c r="L627" s="119">
        <v>0.05</v>
      </c>
      <c r="M627" s="119">
        <v>33.412199999999999</v>
      </c>
      <c r="N627" s="119">
        <v>7.44</v>
      </c>
    </row>
    <row r="628" spans="1:28" ht="14.5">
      <c r="A628" s="119">
        <v>130</v>
      </c>
      <c r="B628" s="119" t="s">
        <v>190</v>
      </c>
      <c r="C628" s="119">
        <v>7</v>
      </c>
      <c r="D628" s="119">
        <v>7</v>
      </c>
      <c r="E628" s="119">
        <v>625</v>
      </c>
      <c r="F628" s="119">
        <v>3.7909999999999999</v>
      </c>
      <c r="G628" s="119">
        <v>100.1</v>
      </c>
      <c r="H628" s="119">
        <v>98.6</v>
      </c>
      <c r="I628" s="119">
        <v>5.3392999999999997</v>
      </c>
      <c r="J628" s="119">
        <v>3.2408000000000001</v>
      </c>
      <c r="K628" s="119">
        <v>63.5</v>
      </c>
      <c r="L628" s="119">
        <v>0.05</v>
      </c>
      <c r="M628" s="119">
        <v>33.394300000000001</v>
      </c>
      <c r="N628" s="119">
        <v>7.44</v>
      </c>
    </row>
    <row r="629" spans="1:28" ht="14.5">
      <c r="A629" s="119">
        <v>130</v>
      </c>
      <c r="B629" s="119" t="s">
        <v>190</v>
      </c>
      <c r="C629" s="119">
        <v>8</v>
      </c>
      <c r="D629" s="119">
        <v>8</v>
      </c>
      <c r="E629" s="119">
        <v>626</v>
      </c>
      <c r="F629" s="119">
        <v>3.8180000000000001</v>
      </c>
      <c r="G629" s="119">
        <v>100.2</v>
      </c>
      <c r="H629" s="119">
        <v>98.7</v>
      </c>
      <c r="I629" s="119">
        <v>5.3360000000000003</v>
      </c>
      <c r="J629" s="119">
        <v>3.2404000000000002</v>
      </c>
      <c r="K629" s="119">
        <v>63.5</v>
      </c>
      <c r="L629" s="119">
        <v>0.05</v>
      </c>
      <c r="M629" s="119">
        <v>33.392499999999998</v>
      </c>
      <c r="N629" s="119">
        <v>7.44</v>
      </c>
    </row>
    <row r="630" spans="1:28" ht="14.5">
      <c r="A630" s="119">
        <v>130</v>
      </c>
      <c r="B630" s="119" t="s">
        <v>190</v>
      </c>
      <c r="C630" s="119">
        <v>9</v>
      </c>
      <c r="D630" s="119">
        <v>9</v>
      </c>
      <c r="E630" s="119">
        <v>627</v>
      </c>
      <c r="F630" s="119">
        <v>6.9630000000000001</v>
      </c>
      <c r="G630" s="119">
        <v>75.900000000000006</v>
      </c>
      <c r="H630" s="119">
        <v>74.599999999999994</v>
      </c>
      <c r="I630" s="119">
        <v>4.2713999999999999</v>
      </c>
      <c r="J630" s="119">
        <v>3.0792000000000002</v>
      </c>
      <c r="K630" s="119">
        <v>62.6</v>
      </c>
      <c r="L630" s="119">
        <v>0.08</v>
      </c>
      <c r="M630" s="119">
        <v>32.598999999999997</v>
      </c>
      <c r="N630" s="119">
        <v>7.65</v>
      </c>
    </row>
    <row r="631" spans="1:28" s="159" customFormat="1" ht="14.5">
      <c r="A631" s="119">
        <v>130</v>
      </c>
      <c r="B631" s="119" t="s">
        <v>190</v>
      </c>
      <c r="C631" s="119">
        <v>10</v>
      </c>
      <c r="D631" s="119">
        <v>10</v>
      </c>
      <c r="E631" s="119">
        <v>628</v>
      </c>
      <c r="F631" s="119">
        <v>7.2530000000000001</v>
      </c>
      <c r="G631" s="119">
        <v>51.3</v>
      </c>
      <c r="H631" s="119">
        <v>50.3</v>
      </c>
      <c r="I631" s="119">
        <v>4.3971</v>
      </c>
      <c r="J631" s="119">
        <v>3.0817000000000001</v>
      </c>
      <c r="K631" s="119">
        <v>60.7</v>
      </c>
      <c r="L631" s="119">
        <v>0.11</v>
      </c>
      <c r="M631" s="119">
        <v>32.515599999999999</v>
      </c>
      <c r="N631" s="119">
        <v>7.67</v>
      </c>
      <c r="O631" s="165"/>
      <c r="P631" s="165"/>
      <c r="Q631" s="167"/>
      <c r="R631" s="167"/>
      <c r="S631" s="167"/>
      <c r="T631" s="167"/>
      <c r="U631" s="170"/>
      <c r="V631" s="170"/>
      <c r="W631" s="172"/>
      <c r="X631" s="168"/>
      <c r="Y631" s="167"/>
    </row>
    <row r="632" spans="1:28" s="159" customFormat="1" ht="14.5">
      <c r="A632" s="119">
        <v>130</v>
      </c>
      <c r="B632" s="119" t="s">
        <v>190</v>
      </c>
      <c r="C632" s="119">
        <v>11</v>
      </c>
      <c r="D632" s="119">
        <v>11</v>
      </c>
      <c r="E632" s="119">
        <v>629</v>
      </c>
      <c r="F632" s="119">
        <v>7.2359999999999998</v>
      </c>
      <c r="G632" s="119">
        <v>52.3</v>
      </c>
      <c r="H632" s="119">
        <v>51.3</v>
      </c>
      <c r="I632" s="119">
        <v>4.3954000000000004</v>
      </c>
      <c r="J632" s="119">
        <v>3.0815999999999999</v>
      </c>
      <c r="K632" s="119">
        <v>60.7</v>
      </c>
      <c r="L632" s="119">
        <v>0.11</v>
      </c>
      <c r="M632" s="119">
        <v>32.515799999999999</v>
      </c>
      <c r="N632" s="119">
        <v>7.67</v>
      </c>
      <c r="O632" s="165"/>
      <c r="P632" s="165"/>
      <c r="Q632" s="167"/>
      <c r="R632" s="167"/>
      <c r="S632" s="167"/>
      <c r="T632" s="167"/>
      <c r="U632" s="170"/>
      <c r="V632" s="170"/>
      <c r="W632" s="172"/>
      <c r="X632" s="168"/>
      <c r="Y632" s="167"/>
    </row>
    <row r="633" spans="1:28" s="159" customFormat="1" ht="14.5">
      <c r="A633" s="119">
        <v>130</v>
      </c>
      <c r="B633" s="119" t="s">
        <v>190</v>
      </c>
      <c r="C633" s="119">
        <v>12</v>
      </c>
      <c r="D633" s="119">
        <v>12</v>
      </c>
      <c r="E633" s="119">
        <v>630</v>
      </c>
      <c r="F633" s="119">
        <v>7.2350000000000003</v>
      </c>
      <c r="G633" s="119">
        <v>51.3</v>
      </c>
      <c r="H633" s="119">
        <v>50.2</v>
      </c>
      <c r="I633" s="119">
        <v>4.3964999999999996</v>
      </c>
      <c r="J633" s="119">
        <v>3.0815999999999999</v>
      </c>
      <c r="K633" s="119">
        <v>60.7</v>
      </c>
      <c r="L633" s="119">
        <v>0.11</v>
      </c>
      <c r="M633" s="119">
        <v>32.515700000000002</v>
      </c>
      <c r="N633" s="119">
        <v>7.67</v>
      </c>
      <c r="O633" s="165"/>
      <c r="P633" s="165"/>
      <c r="Q633" s="167"/>
      <c r="R633" s="167"/>
      <c r="S633" s="167"/>
      <c r="T633" s="167"/>
      <c r="U633" s="170"/>
      <c r="V633" s="170"/>
      <c r="W633" s="172"/>
      <c r="X633" s="168"/>
      <c r="Y633" s="167"/>
    </row>
    <row r="634" spans="1:28" s="159" customFormat="1" ht="14.5">
      <c r="A634" s="119">
        <v>130</v>
      </c>
      <c r="B634" s="119" t="s">
        <v>190</v>
      </c>
      <c r="C634" s="119">
        <v>13</v>
      </c>
      <c r="D634" s="119">
        <v>13</v>
      </c>
      <c r="E634" s="119">
        <v>631</v>
      </c>
      <c r="F634" s="119">
        <v>7.2460000000000004</v>
      </c>
      <c r="G634" s="119">
        <v>25.7</v>
      </c>
      <c r="H634" s="119">
        <v>24.9</v>
      </c>
      <c r="I634" s="119">
        <v>4.4515000000000002</v>
      </c>
      <c r="J634" s="119">
        <v>3.0847000000000002</v>
      </c>
      <c r="K634" s="119">
        <v>60.1</v>
      </c>
      <c r="L634" s="119">
        <v>0.11</v>
      </c>
      <c r="M634" s="119">
        <v>32.510599999999997</v>
      </c>
      <c r="N634" s="119">
        <v>7.68</v>
      </c>
      <c r="O634" s="157"/>
      <c r="P634" s="157"/>
      <c r="Q634" s="151"/>
      <c r="R634" s="151"/>
      <c r="S634" s="151"/>
      <c r="T634" s="151"/>
      <c r="U634" s="155"/>
      <c r="V634" s="155"/>
      <c r="W634" s="158"/>
      <c r="X634" s="152"/>
      <c r="Y634" s="151"/>
    </row>
    <row r="635" spans="1:28" s="159" customFormat="1" ht="14.5">
      <c r="A635" s="119">
        <v>130</v>
      </c>
      <c r="B635" s="119" t="s">
        <v>190</v>
      </c>
      <c r="C635" s="119">
        <v>14</v>
      </c>
      <c r="D635" s="119">
        <v>14</v>
      </c>
      <c r="E635" s="119">
        <v>632</v>
      </c>
      <c r="F635" s="119">
        <v>7.226</v>
      </c>
      <c r="G635" s="119">
        <v>27</v>
      </c>
      <c r="H635" s="119">
        <v>26.2</v>
      </c>
      <c r="I635" s="119">
        <v>4.4523000000000001</v>
      </c>
      <c r="J635" s="119">
        <v>3.0848</v>
      </c>
      <c r="K635" s="119">
        <v>60.1</v>
      </c>
      <c r="L635" s="119">
        <v>0.11</v>
      </c>
      <c r="M635" s="119">
        <v>32.5105</v>
      </c>
      <c r="N635" s="119">
        <v>7.68</v>
      </c>
      <c r="O635" s="157"/>
      <c r="P635" s="151"/>
      <c r="Q635" s="151"/>
      <c r="R635" s="175"/>
      <c r="S635" s="175"/>
      <c r="T635" s="175"/>
      <c r="U635" s="173"/>
      <c r="V635" s="158"/>
      <c r="W635" s="173"/>
      <c r="X635" s="173"/>
      <c r="Y635" s="175"/>
      <c r="Z635" s="177"/>
      <c r="AA635" s="177"/>
      <c r="AB635" s="152"/>
    </row>
    <row r="636" spans="1:28" s="159" customFormat="1" ht="14.5">
      <c r="A636" s="119">
        <v>130</v>
      </c>
      <c r="B636" s="119" t="s">
        <v>190</v>
      </c>
      <c r="C636" s="119">
        <v>15</v>
      </c>
      <c r="D636" s="119">
        <v>15</v>
      </c>
      <c r="E636" s="119">
        <v>633</v>
      </c>
      <c r="F636" s="119">
        <v>7.2430000000000003</v>
      </c>
      <c r="G636" s="119">
        <v>26.4</v>
      </c>
      <c r="H636" s="119">
        <v>25.6</v>
      </c>
      <c r="I636" s="119">
        <v>4.4554</v>
      </c>
      <c r="J636" s="119">
        <v>3.085</v>
      </c>
      <c r="K636" s="119">
        <v>60.1</v>
      </c>
      <c r="L636" s="119">
        <v>0.11</v>
      </c>
      <c r="M636" s="119">
        <v>32.510199999999998</v>
      </c>
      <c r="N636" s="119">
        <v>7.68</v>
      </c>
      <c r="O636" s="248"/>
      <c r="P636" s="173"/>
      <c r="Q636" s="247"/>
      <c r="R636" s="173"/>
      <c r="S636" s="247"/>
      <c r="T636" s="175"/>
      <c r="U636" s="247"/>
      <c r="V636" s="158"/>
      <c r="W636" s="247"/>
      <c r="Y636" s="179"/>
      <c r="AA636" s="180"/>
    </row>
    <row r="637" spans="1:28" s="159" customFormat="1" ht="14.5">
      <c r="A637" s="119">
        <v>130</v>
      </c>
      <c r="B637" s="119" t="s">
        <v>190</v>
      </c>
      <c r="C637" s="119">
        <v>16</v>
      </c>
      <c r="D637" s="119">
        <v>16</v>
      </c>
      <c r="E637" s="119">
        <v>634</v>
      </c>
      <c r="F637" s="119">
        <v>7.1079999999999997</v>
      </c>
      <c r="G637" s="119">
        <v>6.1</v>
      </c>
      <c r="H637" s="119">
        <v>5.4</v>
      </c>
      <c r="I637" s="119">
        <v>4.4839000000000002</v>
      </c>
      <c r="J637" s="119">
        <v>3.0863999999999998</v>
      </c>
      <c r="K637" s="119">
        <v>59.9</v>
      </c>
      <c r="L637" s="119">
        <v>0.12</v>
      </c>
      <c r="M637" s="119">
        <v>32.508800000000001</v>
      </c>
      <c r="N637" s="119">
        <v>7.68</v>
      </c>
      <c r="O637" s="248"/>
      <c r="P637" s="173"/>
      <c r="Q637" s="247"/>
      <c r="R637" s="173"/>
      <c r="S637" s="247"/>
      <c r="T637" s="175"/>
      <c r="U637" s="247"/>
      <c r="V637" s="181"/>
      <c r="W637" s="247"/>
      <c r="X637" s="182"/>
      <c r="Y637" s="183"/>
      <c r="AA637" s="180"/>
    </row>
    <row r="638" spans="1:28" s="190" customFormat="1" ht="14.5">
      <c r="A638" s="119">
        <v>130</v>
      </c>
      <c r="B638" s="119" t="s">
        <v>190</v>
      </c>
      <c r="C638" s="119">
        <v>17</v>
      </c>
      <c r="D638" s="119">
        <v>17</v>
      </c>
      <c r="E638" s="119">
        <v>635</v>
      </c>
      <c r="F638" s="119">
        <v>7.0970000000000004</v>
      </c>
      <c r="G638" s="119">
        <v>5.8</v>
      </c>
      <c r="H638" s="119">
        <v>5.2</v>
      </c>
      <c r="I638" s="119">
        <v>4.4843000000000002</v>
      </c>
      <c r="J638" s="119">
        <v>3.0865</v>
      </c>
      <c r="K638" s="119">
        <v>59.9</v>
      </c>
      <c r="L638" s="119">
        <v>0.12</v>
      </c>
      <c r="M638" s="119">
        <v>32.508899999999997</v>
      </c>
      <c r="N638" s="119">
        <v>7.68</v>
      </c>
      <c r="O638" s="184"/>
      <c r="P638" s="185"/>
      <c r="Q638" s="185"/>
      <c r="R638" s="185"/>
      <c r="S638" s="185"/>
      <c r="T638" s="187"/>
      <c r="U638" s="187"/>
      <c r="V638" s="185"/>
      <c r="W638" s="189"/>
      <c r="Y638" s="191"/>
      <c r="AA638" s="189"/>
      <c r="AB638" s="186"/>
    </row>
    <row r="639" spans="1:28" ht="14.5">
      <c r="A639" s="119">
        <v>130</v>
      </c>
      <c r="B639" s="119" t="s">
        <v>190</v>
      </c>
      <c r="C639" s="119">
        <v>18</v>
      </c>
      <c r="D639" s="119">
        <v>18</v>
      </c>
      <c r="E639" s="119">
        <v>636</v>
      </c>
      <c r="F639" s="119">
        <v>7.1239999999999997</v>
      </c>
      <c r="G639" s="119">
        <v>6.5</v>
      </c>
      <c r="H639" s="119">
        <v>5.9</v>
      </c>
      <c r="I639" s="119">
        <v>4.4832000000000001</v>
      </c>
      <c r="J639" s="119">
        <v>3.0863999999999998</v>
      </c>
      <c r="K639" s="119">
        <v>60</v>
      </c>
      <c r="L639" s="119">
        <v>0.12</v>
      </c>
      <c r="M639" s="119">
        <v>32.509</v>
      </c>
      <c r="N639" s="119">
        <v>7.68</v>
      </c>
    </row>
    <row r="640" spans="1:28" ht="14.5">
      <c r="A640" s="119">
        <v>130</v>
      </c>
      <c r="B640" s="119" t="s">
        <v>190</v>
      </c>
      <c r="C640" s="119">
        <v>19</v>
      </c>
      <c r="D640" s="119">
        <v>19</v>
      </c>
      <c r="E640" s="119">
        <v>637</v>
      </c>
      <c r="F640" s="119">
        <v>7.117</v>
      </c>
      <c r="G640" s="119">
        <v>6.5</v>
      </c>
      <c r="H640" s="119">
        <v>5.8</v>
      </c>
      <c r="I640" s="119">
        <v>4.4836</v>
      </c>
      <c r="J640" s="119">
        <v>3.0863999999999998</v>
      </c>
      <c r="K640" s="119">
        <v>59.9</v>
      </c>
      <c r="L640" s="119">
        <v>0.12</v>
      </c>
      <c r="M640" s="119">
        <v>32.508899999999997</v>
      </c>
      <c r="N640" s="119">
        <v>7.68</v>
      </c>
    </row>
    <row r="641" spans="1:14" ht="14.5">
      <c r="A641" s="119">
        <v>130</v>
      </c>
      <c r="B641" s="119" t="s">
        <v>190</v>
      </c>
      <c r="C641" s="119">
        <v>20</v>
      </c>
      <c r="D641" s="119">
        <v>20</v>
      </c>
      <c r="E641" s="119">
        <v>638</v>
      </c>
      <c r="F641" s="119">
        <v>7.0940000000000003</v>
      </c>
      <c r="G641" s="119">
        <v>5.8</v>
      </c>
      <c r="H641" s="119">
        <v>5.2</v>
      </c>
      <c r="I641" s="119">
        <v>4.484</v>
      </c>
      <c r="J641" s="119">
        <v>3.0863999999999998</v>
      </c>
      <c r="K641" s="119">
        <v>59.9</v>
      </c>
      <c r="L641" s="119">
        <v>0.12</v>
      </c>
      <c r="M641" s="119">
        <v>32.508899999999997</v>
      </c>
      <c r="N641" s="119">
        <v>7.68</v>
      </c>
    </row>
    <row r="642" spans="1:14" ht="14.5">
      <c r="A642" s="119">
        <v>130</v>
      </c>
      <c r="B642" s="119" t="s">
        <v>190</v>
      </c>
      <c r="C642" s="119">
        <v>21</v>
      </c>
      <c r="D642" s="119">
        <v>21</v>
      </c>
      <c r="E642" s="119">
        <v>639</v>
      </c>
      <c r="F642" s="119">
        <v>7.101</v>
      </c>
      <c r="G642" s="119">
        <v>6.2</v>
      </c>
      <c r="H642" s="119">
        <v>5.6</v>
      </c>
      <c r="I642" s="119">
        <v>4.4832999999999998</v>
      </c>
      <c r="J642" s="119">
        <v>3.0863999999999998</v>
      </c>
      <c r="K642" s="119">
        <v>59.9</v>
      </c>
      <c r="L642" s="119">
        <v>0.12</v>
      </c>
      <c r="M642" s="119">
        <v>32.509</v>
      </c>
      <c r="N642" s="119">
        <v>7.68</v>
      </c>
    </row>
    <row r="643" spans="1:14" ht="14.5">
      <c r="A643" s="119">
        <v>133</v>
      </c>
      <c r="B643" s="119" t="s">
        <v>191</v>
      </c>
      <c r="C643" s="119">
        <v>1</v>
      </c>
      <c r="D643" s="119">
        <v>1</v>
      </c>
      <c r="E643" s="119">
        <v>640</v>
      </c>
      <c r="F643" s="119">
        <v>1.246</v>
      </c>
      <c r="G643" s="119">
        <v>1999.4</v>
      </c>
      <c r="H643" s="119">
        <v>1971.3</v>
      </c>
      <c r="I643" s="119">
        <v>1.9112</v>
      </c>
      <c r="J643" s="119">
        <v>3.1227999999999998</v>
      </c>
      <c r="K643" s="119">
        <v>64.3</v>
      </c>
      <c r="L643" s="119">
        <v>0.06</v>
      </c>
      <c r="M643" s="119">
        <v>34.5807</v>
      </c>
      <c r="N643" s="119">
        <v>7.25</v>
      </c>
    </row>
    <row r="644" spans="1:14" ht="14.5">
      <c r="A644" s="119">
        <v>133</v>
      </c>
      <c r="B644" s="119" t="s">
        <v>191</v>
      </c>
      <c r="C644" s="119">
        <v>2</v>
      </c>
      <c r="D644" s="119">
        <v>2</v>
      </c>
      <c r="E644" s="119">
        <v>641</v>
      </c>
      <c r="F644" s="119">
        <v>0.60799999999999998</v>
      </c>
      <c r="G644" s="119">
        <v>1503.1</v>
      </c>
      <c r="H644" s="119">
        <v>1483.6</v>
      </c>
      <c r="I644" s="119">
        <v>2.3054999999999999</v>
      </c>
      <c r="J644" s="119">
        <v>3.1301000000000001</v>
      </c>
      <c r="K644" s="119">
        <v>64.2</v>
      </c>
      <c r="L644" s="119">
        <v>0.06</v>
      </c>
      <c r="M644" s="119">
        <v>34.498899999999999</v>
      </c>
      <c r="N644" s="119">
        <v>7.2</v>
      </c>
    </row>
    <row r="645" spans="1:14" ht="14.5">
      <c r="A645" s="119">
        <v>133</v>
      </c>
      <c r="B645" s="119" t="s">
        <v>191</v>
      </c>
      <c r="C645" s="119">
        <v>3</v>
      </c>
      <c r="D645" s="119">
        <v>3</v>
      </c>
      <c r="E645" s="119">
        <v>642</v>
      </c>
      <c r="F645" s="119">
        <v>0.42499999999999999</v>
      </c>
      <c r="G645" s="119">
        <v>1251.4000000000001</v>
      </c>
      <c r="H645" s="119">
        <v>1235.8</v>
      </c>
      <c r="I645" s="119">
        <v>2.5390999999999999</v>
      </c>
      <c r="J645" s="119">
        <v>3.1360000000000001</v>
      </c>
      <c r="K645" s="119">
        <v>64.099999999999994</v>
      </c>
      <c r="L645" s="119">
        <v>0.05</v>
      </c>
      <c r="M645" s="119">
        <v>34.451000000000001</v>
      </c>
      <c r="N645" s="119">
        <v>7.19</v>
      </c>
    </row>
    <row r="646" spans="1:14" ht="14.5">
      <c r="A646" s="119">
        <v>133</v>
      </c>
      <c r="B646" s="119" t="s">
        <v>191</v>
      </c>
      <c r="C646" s="119">
        <v>4</v>
      </c>
      <c r="D646" s="119">
        <v>4</v>
      </c>
      <c r="E646" s="119">
        <v>643</v>
      </c>
      <c r="F646" s="119">
        <v>0.32100000000000001</v>
      </c>
      <c r="G646" s="119">
        <v>1002.4</v>
      </c>
      <c r="H646" s="119">
        <v>990.4</v>
      </c>
      <c r="I646" s="119">
        <v>2.9106000000000001</v>
      </c>
      <c r="J646" s="119">
        <v>3.1516999999999999</v>
      </c>
      <c r="K646" s="119">
        <v>64.099999999999994</v>
      </c>
      <c r="L646" s="119">
        <v>0.05</v>
      </c>
      <c r="M646" s="119">
        <v>34.377000000000002</v>
      </c>
      <c r="N646" s="119">
        <v>7.19</v>
      </c>
    </row>
    <row r="647" spans="1:14" ht="14.5">
      <c r="A647" s="119">
        <v>133</v>
      </c>
      <c r="B647" s="119" t="s">
        <v>191</v>
      </c>
      <c r="C647" s="119">
        <v>5</v>
      </c>
      <c r="D647" s="119">
        <v>5</v>
      </c>
      <c r="E647" s="119">
        <v>644</v>
      </c>
      <c r="F647" s="119">
        <v>0.308</v>
      </c>
      <c r="G647" s="119">
        <v>800</v>
      </c>
      <c r="H647" s="119">
        <v>790.7</v>
      </c>
      <c r="I647" s="119">
        <v>3.2841</v>
      </c>
      <c r="J647" s="119">
        <v>3.169</v>
      </c>
      <c r="K647" s="119">
        <v>64.099999999999994</v>
      </c>
      <c r="L647" s="119">
        <v>0.05</v>
      </c>
      <c r="M647" s="119">
        <v>34.296399999999998</v>
      </c>
      <c r="N647" s="119">
        <v>7.19</v>
      </c>
    </row>
    <row r="648" spans="1:14" ht="14.5">
      <c r="A648" s="119">
        <v>133</v>
      </c>
      <c r="B648" s="119" t="s">
        <v>191</v>
      </c>
      <c r="C648" s="119">
        <v>6</v>
      </c>
      <c r="D648" s="119">
        <v>6</v>
      </c>
      <c r="E648" s="119">
        <v>645</v>
      </c>
      <c r="F648" s="119">
        <v>0.36099999999999999</v>
      </c>
      <c r="G648" s="119">
        <v>601.29999999999995</v>
      </c>
      <c r="H648" s="119">
        <v>594.4</v>
      </c>
      <c r="I648" s="119">
        <v>3.6177999999999999</v>
      </c>
      <c r="J648" s="119">
        <v>3.1812999999999998</v>
      </c>
      <c r="K648" s="119">
        <v>64.099999999999994</v>
      </c>
      <c r="L648" s="119">
        <v>0.05</v>
      </c>
      <c r="M648" s="119">
        <v>34.197499999999998</v>
      </c>
      <c r="N648" s="119">
        <v>7.19</v>
      </c>
    </row>
    <row r="649" spans="1:14" ht="14.5">
      <c r="A649" s="119">
        <v>133</v>
      </c>
      <c r="B649" s="119" t="s">
        <v>191</v>
      </c>
      <c r="C649" s="119">
        <v>7</v>
      </c>
      <c r="D649" s="119">
        <v>7</v>
      </c>
      <c r="E649" s="119">
        <v>646</v>
      </c>
      <c r="F649" s="119">
        <v>0.61599999999999999</v>
      </c>
      <c r="G649" s="119">
        <v>401.5</v>
      </c>
      <c r="H649" s="119">
        <v>396.9</v>
      </c>
      <c r="I649" s="119">
        <v>3.9487999999999999</v>
      </c>
      <c r="J649" s="119">
        <v>3.1873999999999998</v>
      </c>
      <c r="K649" s="119">
        <v>64</v>
      </c>
      <c r="L649" s="119">
        <v>0.05</v>
      </c>
      <c r="M649" s="119">
        <v>34.030299999999997</v>
      </c>
      <c r="N649" s="119">
        <v>7.18</v>
      </c>
    </row>
    <row r="650" spans="1:14" ht="14.5">
      <c r="A650" s="119">
        <v>133</v>
      </c>
      <c r="B650" s="119" t="s">
        <v>191</v>
      </c>
      <c r="C650" s="119">
        <v>8</v>
      </c>
      <c r="D650" s="119">
        <v>8</v>
      </c>
      <c r="E650" s="119">
        <v>647</v>
      </c>
      <c r="F650" s="119">
        <v>0.84899999999999998</v>
      </c>
      <c r="G650" s="119">
        <v>300.89999999999998</v>
      </c>
      <c r="H650" s="119">
        <v>297.39999999999998</v>
      </c>
      <c r="I650" s="119">
        <v>3.9382000000000001</v>
      </c>
      <c r="J650" s="119">
        <v>3.1718000000000002</v>
      </c>
      <c r="K650" s="119">
        <v>63.9</v>
      </c>
      <c r="L650" s="119">
        <v>0.05</v>
      </c>
      <c r="M650" s="119">
        <v>33.909399999999998</v>
      </c>
      <c r="N650" s="119">
        <v>7.17</v>
      </c>
    </row>
    <row r="651" spans="1:14" ht="14.5">
      <c r="A651" s="119">
        <v>133</v>
      </c>
      <c r="B651" s="119" t="s">
        <v>191</v>
      </c>
      <c r="C651" s="119">
        <v>9</v>
      </c>
      <c r="D651" s="119">
        <v>9</v>
      </c>
      <c r="E651" s="119">
        <v>648</v>
      </c>
      <c r="F651" s="119">
        <v>1.1970000000000001</v>
      </c>
      <c r="G651" s="119">
        <v>252.5</v>
      </c>
      <c r="H651" s="119">
        <v>249.4</v>
      </c>
      <c r="I651" s="119">
        <v>4.1771000000000003</v>
      </c>
      <c r="J651" s="119">
        <v>3.1876000000000002</v>
      </c>
      <c r="K651" s="119">
        <v>63.8</v>
      </c>
      <c r="L651" s="119">
        <v>0.05</v>
      </c>
      <c r="M651" s="119">
        <v>33.874899999999997</v>
      </c>
      <c r="N651" s="119">
        <v>7.2</v>
      </c>
    </row>
    <row r="652" spans="1:14" ht="14.5">
      <c r="A652" s="119">
        <v>133</v>
      </c>
      <c r="B652" s="119" t="s">
        <v>191</v>
      </c>
      <c r="C652" s="119">
        <v>10</v>
      </c>
      <c r="D652" s="119">
        <v>10</v>
      </c>
      <c r="E652" s="119">
        <v>649</v>
      </c>
      <c r="F652" s="119">
        <v>1.659</v>
      </c>
      <c r="G652" s="119">
        <v>201.7</v>
      </c>
      <c r="H652" s="119">
        <v>199.2</v>
      </c>
      <c r="I652" s="119">
        <v>4.3131000000000004</v>
      </c>
      <c r="J652" s="119">
        <v>3.1915</v>
      </c>
      <c r="K652" s="119">
        <v>63.6</v>
      </c>
      <c r="L652" s="119">
        <v>0.05</v>
      </c>
      <c r="M652" s="119">
        <v>33.808700000000002</v>
      </c>
      <c r="N652" s="119">
        <v>7.23</v>
      </c>
    </row>
    <row r="653" spans="1:14" ht="14.5">
      <c r="A653" s="119">
        <v>133</v>
      </c>
      <c r="B653" s="119" t="s">
        <v>191</v>
      </c>
      <c r="C653" s="119">
        <v>11</v>
      </c>
      <c r="D653" s="119">
        <v>11</v>
      </c>
      <c r="E653" s="119">
        <v>650</v>
      </c>
      <c r="F653" s="119">
        <v>1.9990000000000001</v>
      </c>
      <c r="G653" s="119">
        <v>176.3</v>
      </c>
      <c r="H653" s="119">
        <v>174.1</v>
      </c>
      <c r="I653" s="119">
        <v>4.1856999999999998</v>
      </c>
      <c r="J653" s="119">
        <v>3.1741000000000001</v>
      </c>
      <c r="K653" s="119">
        <v>63.6</v>
      </c>
      <c r="L653" s="119">
        <v>0.06</v>
      </c>
      <c r="M653" s="119">
        <v>33.747999999999998</v>
      </c>
      <c r="N653" s="119">
        <v>7.25</v>
      </c>
    </row>
    <row r="654" spans="1:14" ht="14.5">
      <c r="A654" s="119">
        <v>133</v>
      </c>
      <c r="B654" s="119" t="s">
        <v>191</v>
      </c>
      <c r="C654" s="119">
        <v>12</v>
      </c>
      <c r="D654" s="119">
        <v>12</v>
      </c>
      <c r="E654" s="119">
        <v>651</v>
      </c>
      <c r="F654" s="119">
        <v>2.3980000000000001</v>
      </c>
      <c r="G654" s="119">
        <v>151.9</v>
      </c>
      <c r="H654" s="119">
        <v>149.80000000000001</v>
      </c>
      <c r="I654" s="119">
        <v>4.4124999999999996</v>
      </c>
      <c r="J654" s="119">
        <v>3.1892</v>
      </c>
      <c r="K654" s="119">
        <v>63.6</v>
      </c>
      <c r="L654" s="119">
        <v>0.06</v>
      </c>
      <c r="M654" s="119">
        <v>33.705599999999997</v>
      </c>
      <c r="N654" s="119">
        <v>7.29</v>
      </c>
    </row>
    <row r="655" spans="1:14" ht="14.5">
      <c r="A655" s="119">
        <v>133</v>
      </c>
      <c r="B655" s="119" t="s">
        <v>191</v>
      </c>
      <c r="C655" s="119">
        <v>13</v>
      </c>
      <c r="D655" s="119">
        <v>13</v>
      </c>
      <c r="E655" s="119">
        <v>652</v>
      </c>
      <c r="F655" s="119">
        <v>3.173</v>
      </c>
      <c r="G655" s="119">
        <v>126.1</v>
      </c>
      <c r="H655" s="119">
        <v>124.3</v>
      </c>
      <c r="I655" s="119">
        <v>4.7792000000000003</v>
      </c>
      <c r="J655" s="119">
        <v>3.2063999999999999</v>
      </c>
      <c r="K655" s="119">
        <v>63.5</v>
      </c>
      <c r="L655" s="119">
        <v>0.06</v>
      </c>
      <c r="M655" s="119">
        <v>33.546799999999998</v>
      </c>
      <c r="N655" s="119">
        <v>7.36</v>
      </c>
    </row>
    <row r="656" spans="1:14" ht="14.5">
      <c r="A656" s="119">
        <v>133</v>
      </c>
      <c r="B656" s="119" t="s">
        <v>191</v>
      </c>
      <c r="C656" s="119">
        <v>14</v>
      </c>
      <c r="D656" s="119">
        <v>14</v>
      </c>
      <c r="E656" s="119">
        <v>653</v>
      </c>
      <c r="F656" s="119">
        <v>5.43</v>
      </c>
      <c r="G656" s="119">
        <v>101.2</v>
      </c>
      <c r="H656" s="119">
        <v>99.7</v>
      </c>
      <c r="I656" s="119">
        <v>4.5652999999999997</v>
      </c>
      <c r="J656" s="119">
        <v>3.1356999999999999</v>
      </c>
      <c r="K656" s="119">
        <v>63.4</v>
      </c>
      <c r="L656" s="119">
        <v>7.0000000000000007E-2</v>
      </c>
      <c r="M656" s="119">
        <v>32.953600000000002</v>
      </c>
      <c r="N656" s="119">
        <v>7.54</v>
      </c>
    </row>
    <row r="657" spans="1:28" ht="14.5">
      <c r="A657" s="119">
        <v>133</v>
      </c>
      <c r="B657" s="119" t="s">
        <v>191</v>
      </c>
      <c r="C657" s="119">
        <v>15</v>
      </c>
      <c r="D657" s="119">
        <v>15</v>
      </c>
      <c r="E657" s="119">
        <v>654</v>
      </c>
      <c r="F657" s="119">
        <v>7.0789999999999997</v>
      </c>
      <c r="G657" s="119">
        <v>76.400000000000006</v>
      </c>
      <c r="H657" s="119">
        <v>75.099999999999994</v>
      </c>
      <c r="I657" s="119">
        <v>4.3624000000000001</v>
      </c>
      <c r="J657" s="119">
        <v>3.0836000000000001</v>
      </c>
      <c r="K657" s="119">
        <v>62.5</v>
      </c>
      <c r="L657" s="119">
        <v>0.09</v>
      </c>
      <c r="M657" s="119">
        <v>32.559600000000003</v>
      </c>
      <c r="N657" s="119">
        <v>7.66</v>
      </c>
    </row>
    <row r="658" spans="1:28" ht="14.5">
      <c r="A658" s="119">
        <v>133</v>
      </c>
      <c r="B658" s="119" t="s">
        <v>191</v>
      </c>
      <c r="C658" s="119">
        <v>16</v>
      </c>
      <c r="D658" s="119">
        <v>16</v>
      </c>
      <c r="E658" s="119">
        <v>655</v>
      </c>
      <c r="F658" s="119">
        <v>7.18</v>
      </c>
      <c r="G658" s="119">
        <v>59.7</v>
      </c>
      <c r="H658" s="119">
        <v>58.5</v>
      </c>
      <c r="I658" s="119">
        <v>4.3971999999999998</v>
      </c>
      <c r="J658" s="119">
        <v>3.0832000000000002</v>
      </c>
      <c r="K658" s="119">
        <v>62.1</v>
      </c>
      <c r="L658" s="119">
        <v>0.1</v>
      </c>
      <c r="M658" s="119">
        <v>32.529400000000003</v>
      </c>
      <c r="N658" s="119">
        <v>7.67</v>
      </c>
    </row>
    <row r="659" spans="1:28" ht="14.5">
      <c r="A659" s="119">
        <v>133</v>
      </c>
      <c r="B659" s="119" t="s">
        <v>191</v>
      </c>
      <c r="C659" s="119">
        <v>18</v>
      </c>
      <c r="D659" s="119">
        <v>17</v>
      </c>
      <c r="E659" s="119">
        <v>656</v>
      </c>
      <c r="F659" s="119">
        <v>7.1779999999999999</v>
      </c>
      <c r="G659" s="119">
        <v>42.2</v>
      </c>
      <c r="H659" s="119">
        <v>41.2</v>
      </c>
      <c r="I659" s="119">
        <v>4.6059000000000001</v>
      </c>
      <c r="J659" s="119">
        <v>3.0964999999999998</v>
      </c>
      <c r="K659" s="119">
        <v>61.2</v>
      </c>
      <c r="L659" s="119">
        <v>0.11</v>
      </c>
      <c r="M659" s="119">
        <v>32.487900000000003</v>
      </c>
      <c r="N659" s="119">
        <v>7.68</v>
      </c>
    </row>
    <row r="660" spans="1:28" ht="14.5">
      <c r="A660" s="119">
        <v>133</v>
      </c>
      <c r="B660" s="119" t="s">
        <v>191</v>
      </c>
      <c r="C660" s="119">
        <v>19</v>
      </c>
      <c r="D660" s="119">
        <v>19</v>
      </c>
      <c r="E660" s="119">
        <v>658</v>
      </c>
      <c r="F660" s="119">
        <v>7.1520000000000001</v>
      </c>
      <c r="G660" s="119">
        <v>12</v>
      </c>
      <c r="H660" s="119">
        <v>11.3</v>
      </c>
      <c r="I660" s="119">
        <v>4.7584</v>
      </c>
      <c r="J660" s="119">
        <v>3.1057999999999999</v>
      </c>
      <c r="K660" s="119">
        <v>60.7</v>
      </c>
      <c r="L660" s="119">
        <v>0.11</v>
      </c>
      <c r="M660" s="119">
        <v>32.460999999999999</v>
      </c>
      <c r="N660" s="119">
        <v>7.69</v>
      </c>
    </row>
    <row r="661" spans="1:28" ht="14.5">
      <c r="A661" s="119">
        <v>133</v>
      </c>
      <c r="B661" s="119" t="s">
        <v>191</v>
      </c>
      <c r="C661" s="119">
        <v>20</v>
      </c>
      <c r="D661" s="119">
        <v>20</v>
      </c>
      <c r="E661" s="119">
        <v>659</v>
      </c>
      <c r="F661" s="119">
        <v>7.0640000000000001</v>
      </c>
      <c r="G661" s="119">
        <v>4.5999999999999996</v>
      </c>
      <c r="H661" s="119">
        <v>4</v>
      </c>
      <c r="I661" s="119">
        <v>4.7587999999999999</v>
      </c>
      <c r="J661" s="119">
        <v>3.1055000000000001</v>
      </c>
      <c r="K661" s="119">
        <v>60.7</v>
      </c>
      <c r="L661" s="119">
        <v>0.11</v>
      </c>
      <c r="M661" s="119">
        <v>32.460999999999999</v>
      </c>
      <c r="N661" s="119">
        <v>7.69</v>
      </c>
    </row>
    <row r="662" spans="1:28" ht="14.5">
      <c r="A662" s="119">
        <v>133</v>
      </c>
      <c r="B662" s="119" t="s">
        <v>191</v>
      </c>
      <c r="C662" s="119">
        <v>21</v>
      </c>
      <c r="D662" s="119">
        <v>21</v>
      </c>
      <c r="E662" s="119">
        <v>660</v>
      </c>
      <c r="F662" s="119">
        <v>7.117</v>
      </c>
      <c r="G662" s="119">
        <v>5.3</v>
      </c>
      <c r="H662" s="119">
        <v>4.7</v>
      </c>
      <c r="I662" s="119">
        <v>4.7587000000000002</v>
      </c>
      <c r="J662" s="119">
        <v>3.1055000000000001</v>
      </c>
      <c r="K662" s="119">
        <v>60.7</v>
      </c>
      <c r="L662" s="119">
        <v>0.11</v>
      </c>
      <c r="M662" s="119">
        <v>32.460999999999999</v>
      </c>
      <c r="N662" s="119">
        <v>7.69</v>
      </c>
    </row>
    <row r="663" spans="1:28" ht="14.5">
      <c r="A663" s="119">
        <v>133</v>
      </c>
      <c r="B663" s="119" t="s">
        <v>191</v>
      </c>
      <c r="C663" s="119">
        <v>22</v>
      </c>
      <c r="D663" s="119">
        <v>22</v>
      </c>
      <c r="E663" s="119">
        <v>661</v>
      </c>
      <c r="F663" s="119">
        <v>7.0940000000000003</v>
      </c>
      <c r="G663" s="119">
        <v>5.9</v>
      </c>
      <c r="H663" s="119">
        <v>5.3</v>
      </c>
      <c r="I663" s="119">
        <v>4.7588999999999997</v>
      </c>
      <c r="J663" s="119">
        <v>3.1055999999999999</v>
      </c>
      <c r="K663" s="119">
        <v>60.7</v>
      </c>
      <c r="L663" s="119">
        <v>0.11</v>
      </c>
      <c r="M663" s="119">
        <v>32.460900000000002</v>
      </c>
      <c r="N663" s="119">
        <v>7.69</v>
      </c>
    </row>
    <row r="664" spans="1:28" ht="14.5">
      <c r="A664" s="119">
        <v>133</v>
      </c>
      <c r="B664" s="119" t="s">
        <v>191</v>
      </c>
      <c r="C664" s="119">
        <v>23</v>
      </c>
      <c r="D664" s="119">
        <v>23</v>
      </c>
      <c r="E664" s="119">
        <v>662</v>
      </c>
      <c r="F664" s="119">
        <v>7.0919999999999996</v>
      </c>
      <c r="G664" s="119">
        <v>5.6</v>
      </c>
      <c r="H664" s="119">
        <v>4.9000000000000004</v>
      </c>
      <c r="I664" s="119">
        <v>4.7586000000000004</v>
      </c>
      <c r="J664" s="119">
        <v>3.1055000000000001</v>
      </c>
      <c r="K664" s="119">
        <v>60.7</v>
      </c>
      <c r="L664" s="119">
        <v>0.11</v>
      </c>
      <c r="M664" s="119">
        <v>32.460900000000002</v>
      </c>
      <c r="N664" s="119">
        <v>7.69</v>
      </c>
    </row>
    <row r="665" spans="1:28" s="159" customFormat="1" ht="14.5">
      <c r="A665" s="119">
        <v>133</v>
      </c>
      <c r="B665" s="119" t="s">
        <v>191</v>
      </c>
      <c r="C665" s="119">
        <v>24</v>
      </c>
      <c r="D665" s="119">
        <v>24</v>
      </c>
      <c r="E665" s="119">
        <v>663</v>
      </c>
      <c r="F665" s="119">
        <v>7.01</v>
      </c>
      <c r="G665" s="119">
        <v>3.3</v>
      </c>
      <c r="H665" s="119">
        <v>2.7</v>
      </c>
      <c r="I665" s="119">
        <v>4.7584</v>
      </c>
      <c r="J665" s="119">
        <v>3.1053999999999999</v>
      </c>
      <c r="K665" s="119">
        <v>60.7</v>
      </c>
      <c r="L665" s="119">
        <v>0.11</v>
      </c>
      <c r="M665" s="119">
        <v>32.460999999999999</v>
      </c>
      <c r="N665" s="119">
        <v>7.69</v>
      </c>
      <c r="O665" s="165"/>
      <c r="P665" s="165"/>
      <c r="Q665" s="167"/>
      <c r="R665" s="167"/>
      <c r="S665" s="167"/>
      <c r="T665" s="167"/>
      <c r="U665" s="170"/>
      <c r="V665" s="170"/>
      <c r="W665" s="172"/>
      <c r="X665" s="168"/>
      <c r="Y665" s="167"/>
    </row>
    <row r="666" spans="1:28" s="159" customFormat="1" ht="14.5">
      <c r="A666" s="119">
        <v>138</v>
      </c>
      <c r="B666" s="119" t="s">
        <v>192</v>
      </c>
      <c r="C666" s="119">
        <v>1</v>
      </c>
      <c r="D666" s="119">
        <v>1</v>
      </c>
      <c r="E666" s="119">
        <v>664</v>
      </c>
      <c r="F666" s="119">
        <v>0.79700000000000004</v>
      </c>
      <c r="G666" s="119">
        <v>301.7</v>
      </c>
      <c r="H666" s="119">
        <v>298.2</v>
      </c>
      <c r="I666" s="119">
        <v>3.8371</v>
      </c>
      <c r="J666" s="119">
        <v>3.1629</v>
      </c>
      <c r="K666" s="119">
        <v>63.9</v>
      </c>
      <c r="L666" s="119">
        <v>0.06</v>
      </c>
      <c r="M666" s="119">
        <v>33.908299999999997</v>
      </c>
      <c r="N666" s="119">
        <v>7.17</v>
      </c>
      <c r="O666" s="165"/>
      <c r="P666" s="165"/>
      <c r="Q666" s="167"/>
      <c r="R666" s="167"/>
      <c r="S666" s="167"/>
      <c r="T666" s="167"/>
      <c r="U666" s="170"/>
      <c r="V666" s="170"/>
      <c r="W666" s="172"/>
      <c r="X666" s="168"/>
      <c r="Y666" s="167"/>
    </row>
    <row r="667" spans="1:28" s="159" customFormat="1" ht="14.5">
      <c r="A667" s="119">
        <v>138</v>
      </c>
      <c r="B667" s="119" t="s">
        <v>192</v>
      </c>
      <c r="C667" s="119">
        <v>2</v>
      </c>
      <c r="D667" s="119">
        <v>2</v>
      </c>
      <c r="E667" s="119">
        <v>665</v>
      </c>
      <c r="F667" s="119">
        <v>1.659</v>
      </c>
      <c r="G667" s="119">
        <v>202.4</v>
      </c>
      <c r="H667" s="119">
        <v>199.9</v>
      </c>
      <c r="I667" s="119">
        <v>3.9401999999999999</v>
      </c>
      <c r="J667" s="119">
        <v>3.1554000000000002</v>
      </c>
      <c r="K667" s="119">
        <v>63.6</v>
      </c>
      <c r="L667" s="119">
        <v>0.05</v>
      </c>
      <c r="M667" s="119">
        <v>33.7652</v>
      </c>
      <c r="N667" s="119">
        <v>7.22</v>
      </c>
      <c r="O667" s="165"/>
      <c r="P667" s="165"/>
      <c r="Q667" s="167"/>
      <c r="R667" s="167"/>
      <c r="S667" s="167"/>
      <c r="T667" s="167"/>
      <c r="U667" s="170"/>
      <c r="V667" s="170"/>
      <c r="W667" s="172"/>
      <c r="X667" s="168"/>
      <c r="Y667" s="167"/>
    </row>
    <row r="668" spans="1:28" s="159" customFormat="1" ht="14.5">
      <c r="A668" s="119">
        <v>138</v>
      </c>
      <c r="B668" s="119" t="s">
        <v>192</v>
      </c>
      <c r="C668" s="119">
        <v>3</v>
      </c>
      <c r="D668" s="119">
        <v>3</v>
      </c>
      <c r="E668" s="119">
        <v>666</v>
      </c>
      <c r="F668" s="119">
        <v>2.5779999999999998</v>
      </c>
      <c r="G668" s="119">
        <v>152.9</v>
      </c>
      <c r="H668" s="119">
        <v>150.80000000000001</v>
      </c>
      <c r="I668" s="119">
        <v>4.0434999999999999</v>
      </c>
      <c r="J668" s="119">
        <v>3.1509999999999998</v>
      </c>
      <c r="K668" s="119">
        <v>63.6</v>
      </c>
      <c r="L668" s="119">
        <v>0.05</v>
      </c>
      <c r="M668" s="119">
        <v>33.6325</v>
      </c>
      <c r="N668" s="119">
        <v>7.29</v>
      </c>
      <c r="O668" s="157"/>
      <c r="P668" s="157"/>
      <c r="Q668" s="151"/>
      <c r="R668" s="151"/>
      <c r="S668" s="151"/>
      <c r="T668" s="151"/>
      <c r="U668" s="155"/>
      <c r="V668" s="155"/>
      <c r="W668" s="158"/>
      <c r="X668" s="152"/>
      <c r="Y668" s="151"/>
    </row>
    <row r="669" spans="1:28" s="159" customFormat="1" ht="14.5">
      <c r="A669" s="119">
        <v>138</v>
      </c>
      <c r="B669" s="119" t="s">
        <v>192</v>
      </c>
      <c r="C669" s="119">
        <v>4</v>
      </c>
      <c r="D669" s="119">
        <v>4</v>
      </c>
      <c r="E669" s="119">
        <v>667</v>
      </c>
      <c r="F669" s="119">
        <v>2.5920000000000001</v>
      </c>
      <c r="G669" s="119">
        <v>152.69999999999999</v>
      </c>
      <c r="H669" s="119">
        <v>150.69999999999999</v>
      </c>
      <c r="I669" s="119">
        <v>4.0438000000000001</v>
      </c>
      <c r="J669" s="119">
        <v>3.1509999999999998</v>
      </c>
      <c r="K669" s="119">
        <v>63.6</v>
      </c>
      <c r="L669" s="119">
        <v>0.05</v>
      </c>
      <c r="M669" s="119">
        <v>33.632300000000001</v>
      </c>
      <c r="N669" s="119">
        <v>7.29</v>
      </c>
      <c r="O669" s="157"/>
      <c r="P669" s="151"/>
      <c r="Q669" s="151"/>
      <c r="R669" s="175"/>
      <c r="S669" s="175"/>
      <c r="T669" s="175"/>
      <c r="U669" s="173"/>
      <c r="V669" s="158"/>
      <c r="W669" s="173"/>
      <c r="X669" s="173"/>
      <c r="Y669" s="175"/>
      <c r="Z669" s="177"/>
      <c r="AA669" s="177"/>
      <c r="AB669" s="152"/>
    </row>
    <row r="670" spans="1:28" s="159" customFormat="1" ht="14.5">
      <c r="A670" s="119">
        <v>138</v>
      </c>
      <c r="B670" s="119" t="s">
        <v>192</v>
      </c>
      <c r="C670" s="119">
        <v>5</v>
      </c>
      <c r="D670" s="119">
        <v>5</v>
      </c>
      <c r="E670" s="119">
        <v>668</v>
      </c>
      <c r="F670" s="119">
        <v>3.5230000000000001</v>
      </c>
      <c r="G670" s="119">
        <v>124.5</v>
      </c>
      <c r="H670" s="119">
        <v>122.7</v>
      </c>
      <c r="I670" s="119">
        <v>4.3761999999999999</v>
      </c>
      <c r="J670" s="119">
        <v>3.1617999999999999</v>
      </c>
      <c r="K670" s="119">
        <v>63.6</v>
      </c>
      <c r="L670" s="119">
        <v>0.05</v>
      </c>
      <c r="M670" s="119">
        <v>33.435499999999998</v>
      </c>
      <c r="N670" s="119">
        <v>7.38</v>
      </c>
      <c r="O670" s="248"/>
      <c r="P670" s="173"/>
      <c r="Q670" s="247"/>
      <c r="R670" s="173"/>
      <c r="S670" s="247"/>
      <c r="T670" s="175"/>
      <c r="U670" s="247"/>
      <c r="V670" s="158"/>
      <c r="W670" s="247"/>
      <c r="Y670" s="179"/>
      <c r="AA670" s="180"/>
    </row>
    <row r="671" spans="1:28" s="159" customFormat="1" ht="14.5">
      <c r="A671" s="119">
        <v>138</v>
      </c>
      <c r="B671" s="119" t="s">
        <v>192</v>
      </c>
      <c r="C671" s="119">
        <v>6</v>
      </c>
      <c r="D671" s="119">
        <v>6</v>
      </c>
      <c r="E671" s="119">
        <v>669</v>
      </c>
      <c r="F671" s="119">
        <v>5.5510000000000002</v>
      </c>
      <c r="G671" s="119">
        <v>101.2</v>
      </c>
      <c r="H671" s="119">
        <v>99.7</v>
      </c>
      <c r="I671" s="119">
        <v>4.4416000000000002</v>
      </c>
      <c r="J671" s="119">
        <v>3.1227</v>
      </c>
      <c r="K671" s="119">
        <v>63.4</v>
      </c>
      <c r="L671" s="119">
        <v>0.06</v>
      </c>
      <c r="M671" s="119">
        <v>32.924500000000002</v>
      </c>
      <c r="N671" s="119">
        <v>7.55</v>
      </c>
      <c r="O671" s="248"/>
      <c r="P671" s="173"/>
      <c r="Q671" s="247"/>
      <c r="R671" s="173"/>
      <c r="S671" s="247"/>
      <c r="T671" s="175"/>
      <c r="U671" s="247"/>
      <c r="V671" s="181"/>
      <c r="W671" s="247"/>
      <c r="X671" s="182"/>
      <c r="Y671" s="183"/>
      <c r="AA671" s="180"/>
    </row>
    <row r="672" spans="1:28" s="190" customFormat="1" ht="14.5">
      <c r="A672" s="119">
        <v>138</v>
      </c>
      <c r="B672" s="119" t="s">
        <v>192</v>
      </c>
      <c r="C672" s="119">
        <v>7</v>
      </c>
      <c r="D672" s="119">
        <v>7</v>
      </c>
      <c r="E672" s="119">
        <v>670</v>
      </c>
      <c r="F672" s="119">
        <v>5.5549999999999997</v>
      </c>
      <c r="G672" s="119">
        <v>102</v>
      </c>
      <c r="H672" s="119">
        <v>100.4</v>
      </c>
      <c r="I672" s="119">
        <v>4.4410999999999996</v>
      </c>
      <c r="J672" s="119">
        <v>3.1223999999999998</v>
      </c>
      <c r="K672" s="119">
        <v>63.3</v>
      </c>
      <c r="L672" s="119">
        <v>0.06</v>
      </c>
      <c r="M672" s="119">
        <v>32.921100000000003</v>
      </c>
      <c r="N672" s="119">
        <v>7.55</v>
      </c>
      <c r="O672" s="184"/>
      <c r="P672" s="185"/>
      <c r="Q672" s="185"/>
      <c r="R672" s="185"/>
      <c r="S672" s="185"/>
      <c r="T672" s="187"/>
      <c r="U672" s="187"/>
      <c r="V672" s="185"/>
      <c r="W672" s="189"/>
      <c r="Y672" s="191"/>
      <c r="AA672" s="189"/>
      <c r="AB672" s="186"/>
    </row>
    <row r="673" spans="1:28" ht="14.5">
      <c r="A673" s="119">
        <v>138</v>
      </c>
      <c r="B673" s="119" t="s">
        <v>192</v>
      </c>
      <c r="C673" s="119">
        <v>8</v>
      </c>
      <c r="D673" s="119">
        <v>8</v>
      </c>
      <c r="E673" s="119">
        <v>671</v>
      </c>
      <c r="F673" s="119">
        <v>5.601</v>
      </c>
      <c r="G673" s="119">
        <v>102.4</v>
      </c>
      <c r="H673" s="119">
        <v>100.9</v>
      </c>
      <c r="I673" s="119">
        <v>4.4406999999999996</v>
      </c>
      <c r="J673" s="119">
        <v>3.1219999999999999</v>
      </c>
      <c r="K673" s="119">
        <v>63.4</v>
      </c>
      <c r="L673" s="119">
        <v>0.06</v>
      </c>
      <c r="M673" s="119">
        <v>32.917499999999997</v>
      </c>
      <c r="N673" s="119">
        <v>7.55</v>
      </c>
    </row>
    <row r="674" spans="1:28" ht="14.5">
      <c r="A674" s="119">
        <v>138</v>
      </c>
      <c r="B674" s="119" t="s">
        <v>192</v>
      </c>
      <c r="C674" s="119">
        <v>9</v>
      </c>
      <c r="D674" s="119">
        <v>9</v>
      </c>
      <c r="E674" s="119">
        <v>672</v>
      </c>
      <c r="F674" s="119">
        <v>7.1429999999999998</v>
      </c>
      <c r="G674" s="119">
        <v>77.099999999999994</v>
      </c>
      <c r="H674" s="119">
        <v>75.8</v>
      </c>
      <c r="I674" s="119">
        <v>4.5015999999999998</v>
      </c>
      <c r="J674" s="119">
        <v>3.0939999999999999</v>
      </c>
      <c r="K674" s="119">
        <v>62.1</v>
      </c>
      <c r="L674" s="119">
        <v>0.09</v>
      </c>
      <c r="M674" s="119">
        <v>32.543900000000001</v>
      </c>
      <c r="N674" s="119">
        <v>7.67</v>
      </c>
    </row>
    <row r="675" spans="1:28" ht="14.5">
      <c r="A675" s="119">
        <v>138</v>
      </c>
      <c r="B675" s="119" t="s">
        <v>192</v>
      </c>
      <c r="C675" s="119">
        <v>10</v>
      </c>
      <c r="D675" s="119">
        <v>10</v>
      </c>
      <c r="E675" s="119">
        <v>673</v>
      </c>
      <c r="F675" s="119">
        <v>7.1829999999999998</v>
      </c>
      <c r="G675" s="119">
        <v>51.5</v>
      </c>
      <c r="H675" s="119">
        <v>50.4</v>
      </c>
      <c r="I675" s="119">
        <v>4.7244999999999999</v>
      </c>
      <c r="J675" s="119">
        <v>3.1071</v>
      </c>
      <c r="K675" s="119">
        <v>60.1</v>
      </c>
      <c r="L675" s="119">
        <v>0.11</v>
      </c>
      <c r="M675" s="119">
        <v>32.489800000000002</v>
      </c>
      <c r="N675" s="119">
        <v>7.69</v>
      </c>
    </row>
    <row r="676" spans="1:28" ht="14.5">
      <c r="A676" s="119">
        <v>138</v>
      </c>
      <c r="B676" s="119" t="s">
        <v>192</v>
      </c>
      <c r="C676" s="119">
        <v>11</v>
      </c>
      <c r="D676" s="119">
        <v>11</v>
      </c>
      <c r="E676" s="119">
        <v>674</v>
      </c>
      <c r="F676" s="119">
        <v>7.1840000000000002</v>
      </c>
      <c r="G676" s="119">
        <v>50.6</v>
      </c>
      <c r="H676" s="119">
        <v>49.5</v>
      </c>
      <c r="I676" s="119">
        <v>4.7243000000000004</v>
      </c>
      <c r="J676" s="119">
        <v>3.1071</v>
      </c>
      <c r="K676" s="119">
        <v>60.1</v>
      </c>
      <c r="L676" s="119">
        <v>0.11</v>
      </c>
      <c r="M676" s="119">
        <v>32.49</v>
      </c>
      <c r="N676" s="119">
        <v>7.69</v>
      </c>
    </row>
    <row r="677" spans="1:28" ht="14.5">
      <c r="A677" s="119">
        <v>138</v>
      </c>
      <c r="B677" s="119" t="s">
        <v>192</v>
      </c>
      <c r="C677" s="119">
        <v>12</v>
      </c>
      <c r="D677" s="119">
        <v>12</v>
      </c>
      <c r="E677" s="119">
        <v>675</v>
      </c>
      <c r="F677" s="119">
        <v>7.1779999999999999</v>
      </c>
      <c r="G677" s="119">
        <v>51.2</v>
      </c>
      <c r="H677" s="119">
        <v>50.1</v>
      </c>
      <c r="I677" s="119">
        <v>4.7244000000000002</v>
      </c>
      <c r="J677" s="119">
        <v>3.1071</v>
      </c>
      <c r="K677" s="119">
        <v>60.1</v>
      </c>
      <c r="L677" s="119">
        <v>0.11</v>
      </c>
      <c r="M677" s="119">
        <v>32.490099999999998</v>
      </c>
      <c r="N677" s="119">
        <v>7.69</v>
      </c>
    </row>
    <row r="678" spans="1:28" ht="14.5">
      <c r="A678" s="119">
        <v>138</v>
      </c>
      <c r="B678" s="119" t="s">
        <v>192</v>
      </c>
      <c r="C678" s="119">
        <v>13</v>
      </c>
      <c r="D678" s="119">
        <v>13</v>
      </c>
      <c r="E678" s="119">
        <v>676</v>
      </c>
      <c r="F678" s="119">
        <v>7.1829999999999998</v>
      </c>
      <c r="G678" s="119">
        <v>25.5</v>
      </c>
      <c r="H678" s="119">
        <v>24.7</v>
      </c>
      <c r="I678" s="119">
        <v>4.7569999999999997</v>
      </c>
      <c r="J678" s="119">
        <v>3.1086999999999998</v>
      </c>
      <c r="K678" s="119">
        <v>59.7</v>
      </c>
      <c r="L678" s="119">
        <v>0.12</v>
      </c>
      <c r="M678" s="119">
        <v>32.489400000000003</v>
      </c>
      <c r="N678" s="119">
        <v>7.69</v>
      </c>
    </row>
    <row r="679" spans="1:28" s="159" customFormat="1" ht="14.5">
      <c r="A679" s="119">
        <v>138</v>
      </c>
      <c r="B679" s="119" t="s">
        <v>192</v>
      </c>
      <c r="C679" s="119">
        <v>14</v>
      </c>
      <c r="D679" s="119">
        <v>14</v>
      </c>
      <c r="E679" s="119">
        <v>677</v>
      </c>
      <c r="F679" s="119">
        <v>7.157</v>
      </c>
      <c r="G679" s="119">
        <v>25.9</v>
      </c>
      <c r="H679" s="119">
        <v>25.1</v>
      </c>
      <c r="I679" s="119">
        <v>4.7571000000000003</v>
      </c>
      <c r="J679" s="119">
        <v>3.1086999999999998</v>
      </c>
      <c r="K679" s="119">
        <v>59.8</v>
      </c>
      <c r="L679" s="119">
        <v>0.11</v>
      </c>
      <c r="M679" s="119">
        <v>32.489400000000003</v>
      </c>
      <c r="N679" s="119">
        <v>7.69</v>
      </c>
      <c r="O679" s="165"/>
      <c r="P679" s="165"/>
      <c r="Q679" s="167"/>
      <c r="R679" s="167"/>
      <c r="S679" s="167"/>
      <c r="T679" s="167"/>
      <c r="U679" s="170"/>
      <c r="V679" s="170"/>
      <c r="W679" s="172"/>
      <c r="X679" s="168"/>
      <c r="Y679" s="167"/>
    </row>
    <row r="680" spans="1:28" s="159" customFormat="1" ht="14.5">
      <c r="A680" s="119">
        <v>138</v>
      </c>
      <c r="B680" s="119" t="s">
        <v>192</v>
      </c>
      <c r="C680" s="119">
        <v>15</v>
      </c>
      <c r="D680" s="119">
        <v>15</v>
      </c>
      <c r="E680" s="119">
        <v>678</v>
      </c>
      <c r="F680" s="119">
        <v>7.181</v>
      </c>
      <c r="G680" s="119">
        <v>25.8</v>
      </c>
      <c r="H680" s="119">
        <v>25</v>
      </c>
      <c r="I680" s="119">
        <v>4.7571000000000003</v>
      </c>
      <c r="J680" s="119">
        <v>3.1088</v>
      </c>
      <c r="K680" s="119">
        <v>59.7</v>
      </c>
      <c r="L680" s="119">
        <v>0.11</v>
      </c>
      <c r="M680" s="119">
        <v>32.489400000000003</v>
      </c>
      <c r="N680" s="119">
        <v>7.69</v>
      </c>
      <c r="O680" s="165"/>
      <c r="P680" s="165"/>
      <c r="Q680" s="167"/>
      <c r="R680" s="167"/>
      <c r="S680" s="167"/>
      <c r="T680" s="167"/>
      <c r="U680" s="170"/>
      <c r="V680" s="170"/>
      <c r="W680" s="172"/>
      <c r="X680" s="168"/>
      <c r="Y680" s="167"/>
    </row>
    <row r="681" spans="1:28" s="159" customFormat="1" ht="14.5">
      <c r="A681" s="119">
        <v>138</v>
      </c>
      <c r="B681" s="119" t="s">
        <v>192</v>
      </c>
      <c r="C681" s="119">
        <v>16</v>
      </c>
      <c r="D681" s="119">
        <v>16</v>
      </c>
      <c r="E681" s="119">
        <v>679</v>
      </c>
      <c r="F681" s="119">
        <v>7.1280000000000001</v>
      </c>
      <c r="G681" s="119">
        <v>7.1</v>
      </c>
      <c r="H681" s="119">
        <v>6.4</v>
      </c>
      <c r="I681" s="119">
        <v>4.7564000000000002</v>
      </c>
      <c r="J681" s="119">
        <v>3.1078000000000001</v>
      </c>
      <c r="K681" s="119">
        <v>59.7</v>
      </c>
      <c r="L681" s="119">
        <v>0.12</v>
      </c>
      <c r="M681" s="119">
        <v>32.489199999999997</v>
      </c>
      <c r="N681" s="119">
        <v>7.69</v>
      </c>
      <c r="O681" s="165"/>
      <c r="P681" s="165"/>
      <c r="Q681" s="167"/>
      <c r="R681" s="167"/>
      <c r="S681" s="167"/>
      <c r="T681" s="167"/>
      <c r="U681" s="170"/>
      <c r="V681" s="170"/>
      <c r="W681" s="172"/>
      <c r="X681" s="168"/>
      <c r="Y681" s="167"/>
    </row>
    <row r="682" spans="1:28" s="159" customFormat="1" ht="14.5">
      <c r="A682" s="119">
        <v>138</v>
      </c>
      <c r="B682" s="119" t="s">
        <v>192</v>
      </c>
      <c r="C682" s="119">
        <v>17</v>
      </c>
      <c r="D682" s="119">
        <v>17</v>
      </c>
      <c r="E682" s="119">
        <v>680</v>
      </c>
      <c r="F682" s="119">
        <v>7.1289999999999996</v>
      </c>
      <c r="G682" s="119">
        <v>7.1</v>
      </c>
      <c r="H682" s="119">
        <v>6.5</v>
      </c>
      <c r="I682" s="119">
        <v>4.7564000000000002</v>
      </c>
      <c r="J682" s="119">
        <v>3.1078000000000001</v>
      </c>
      <c r="K682" s="119">
        <v>59.6</v>
      </c>
      <c r="L682" s="119">
        <v>0.11</v>
      </c>
      <c r="M682" s="119">
        <v>32.489100000000001</v>
      </c>
      <c r="N682" s="119">
        <v>7.69</v>
      </c>
      <c r="O682" s="157"/>
      <c r="P682" s="157"/>
      <c r="Q682" s="151"/>
      <c r="R682" s="151"/>
      <c r="S682" s="151"/>
      <c r="T682" s="151"/>
      <c r="U682" s="155"/>
      <c r="V682" s="155"/>
      <c r="W682" s="158"/>
      <c r="X682" s="152"/>
      <c r="Y682" s="151"/>
    </row>
    <row r="683" spans="1:28" s="159" customFormat="1" ht="14.5">
      <c r="A683" s="119">
        <v>138</v>
      </c>
      <c r="B683" s="119" t="s">
        <v>192</v>
      </c>
      <c r="C683" s="119">
        <v>18</v>
      </c>
      <c r="D683" s="119">
        <v>18</v>
      </c>
      <c r="E683" s="119">
        <v>681</v>
      </c>
      <c r="F683" s="119">
        <v>7.1340000000000003</v>
      </c>
      <c r="G683" s="119">
        <v>6.9</v>
      </c>
      <c r="H683" s="119">
        <v>6.2</v>
      </c>
      <c r="I683" s="119">
        <v>4.7564000000000002</v>
      </c>
      <c r="J683" s="119">
        <v>3.1078000000000001</v>
      </c>
      <c r="K683" s="119">
        <v>59.6</v>
      </c>
      <c r="L683" s="119">
        <v>0.12</v>
      </c>
      <c r="M683" s="119">
        <v>32.489100000000001</v>
      </c>
      <c r="N683" s="119">
        <v>7.69</v>
      </c>
      <c r="O683" s="157"/>
      <c r="P683" s="151"/>
      <c r="Q683" s="151"/>
      <c r="R683" s="175"/>
      <c r="S683" s="175"/>
      <c r="T683" s="175"/>
      <c r="U683" s="173"/>
      <c r="V683" s="158"/>
      <c r="W683" s="173"/>
      <c r="X683" s="173"/>
      <c r="Y683" s="175"/>
      <c r="Z683" s="177"/>
      <c r="AA683" s="177"/>
      <c r="AB683" s="152"/>
    </row>
    <row r="684" spans="1:28" s="159" customFormat="1" ht="14.5">
      <c r="A684" s="119">
        <v>138</v>
      </c>
      <c r="B684" s="119" t="s">
        <v>192</v>
      </c>
      <c r="C684" s="119">
        <v>19</v>
      </c>
      <c r="D684" s="119">
        <v>19</v>
      </c>
      <c r="E684" s="119">
        <v>682</v>
      </c>
      <c r="F684" s="119">
        <v>7.1239999999999997</v>
      </c>
      <c r="G684" s="119">
        <v>7.1</v>
      </c>
      <c r="H684" s="119">
        <v>6.4</v>
      </c>
      <c r="I684" s="119">
        <v>4.7565</v>
      </c>
      <c r="J684" s="119">
        <v>3.1078999999999999</v>
      </c>
      <c r="K684" s="119">
        <v>59.7</v>
      </c>
      <c r="L684" s="119">
        <v>0.12</v>
      </c>
      <c r="M684" s="119">
        <v>32.489199999999997</v>
      </c>
      <c r="N684" s="119">
        <v>7.69</v>
      </c>
      <c r="O684" s="248"/>
      <c r="P684" s="173"/>
      <c r="Q684" s="247"/>
      <c r="R684" s="173"/>
      <c r="S684" s="247"/>
      <c r="T684" s="175"/>
      <c r="U684" s="247"/>
      <c r="V684" s="158"/>
      <c r="W684" s="247"/>
      <c r="Y684" s="179"/>
      <c r="AA684" s="180"/>
    </row>
    <row r="685" spans="1:28" s="159" customFormat="1" ht="14.5">
      <c r="A685" s="119">
        <v>138</v>
      </c>
      <c r="B685" s="119" t="s">
        <v>192</v>
      </c>
      <c r="C685" s="119">
        <v>20</v>
      </c>
      <c r="D685" s="119">
        <v>20</v>
      </c>
      <c r="E685" s="119">
        <v>683</v>
      </c>
      <c r="F685" s="119">
        <v>7.13</v>
      </c>
      <c r="G685" s="119">
        <v>7.6</v>
      </c>
      <c r="H685" s="119">
        <v>6.9</v>
      </c>
      <c r="I685" s="119">
        <v>4.7564000000000002</v>
      </c>
      <c r="J685" s="119">
        <v>3.1078999999999999</v>
      </c>
      <c r="K685" s="119">
        <v>59.6</v>
      </c>
      <c r="L685" s="119">
        <v>0.11</v>
      </c>
      <c r="M685" s="119">
        <v>32.4893</v>
      </c>
      <c r="N685" s="119">
        <v>7.69</v>
      </c>
      <c r="O685" s="248"/>
      <c r="P685" s="173"/>
      <c r="Q685" s="247"/>
      <c r="R685" s="173"/>
      <c r="S685" s="247"/>
      <c r="T685" s="175"/>
      <c r="U685" s="247"/>
      <c r="V685" s="181"/>
      <c r="W685" s="247"/>
      <c r="X685" s="182"/>
      <c r="Y685" s="183"/>
      <c r="AA685" s="180"/>
    </row>
    <row r="686" spans="1:28" s="190" customFormat="1" ht="14.5">
      <c r="A686" s="119">
        <v>138</v>
      </c>
      <c r="B686" s="119" t="s">
        <v>192</v>
      </c>
      <c r="C686" s="119">
        <v>21</v>
      </c>
      <c r="D686" s="119">
        <v>21</v>
      </c>
      <c r="E686" s="119">
        <v>684</v>
      </c>
      <c r="F686" s="119">
        <v>7.1139999999999999</v>
      </c>
      <c r="G686" s="119">
        <v>6.9</v>
      </c>
      <c r="H686" s="119">
        <v>6.2</v>
      </c>
      <c r="I686" s="119">
        <v>4.7564000000000002</v>
      </c>
      <c r="J686" s="119">
        <v>3.1078000000000001</v>
      </c>
      <c r="K686" s="119">
        <v>59.7</v>
      </c>
      <c r="L686" s="119">
        <v>0.11</v>
      </c>
      <c r="M686" s="119">
        <v>32.489199999999997</v>
      </c>
      <c r="N686" s="119">
        <v>7.69</v>
      </c>
      <c r="O686" s="184"/>
      <c r="P686" s="185"/>
      <c r="Q686" s="185"/>
      <c r="R686" s="185"/>
      <c r="S686" s="185"/>
      <c r="T686" s="187"/>
      <c r="U686" s="187"/>
      <c r="V686" s="185"/>
      <c r="W686" s="189"/>
      <c r="Y686" s="191"/>
      <c r="AA686" s="189"/>
      <c r="AB686" s="186"/>
    </row>
    <row r="687" spans="1:28" ht="14.5">
      <c r="A687" s="119">
        <v>142</v>
      </c>
      <c r="B687" s="119" t="s">
        <v>193</v>
      </c>
      <c r="C687" s="119">
        <v>1</v>
      </c>
      <c r="D687" s="119">
        <v>1</v>
      </c>
      <c r="E687" s="119">
        <v>685</v>
      </c>
      <c r="F687" s="119">
        <v>1.165</v>
      </c>
      <c r="G687" s="119">
        <v>2001</v>
      </c>
      <c r="H687" s="119">
        <v>1973.3</v>
      </c>
      <c r="I687" s="119">
        <v>1.9628000000000001</v>
      </c>
      <c r="J687" s="119">
        <v>3.1265999999999998</v>
      </c>
      <c r="K687" s="119">
        <v>64.2</v>
      </c>
      <c r="L687" s="119">
        <v>0.06</v>
      </c>
      <c r="M687" s="119">
        <v>34.5717</v>
      </c>
      <c r="N687" s="119">
        <v>7.26</v>
      </c>
    </row>
    <row r="688" spans="1:28" ht="14.5">
      <c r="A688" s="119">
        <v>142</v>
      </c>
      <c r="B688" s="119" t="s">
        <v>193</v>
      </c>
      <c r="C688" s="119">
        <v>2</v>
      </c>
      <c r="D688" s="119">
        <v>2</v>
      </c>
      <c r="E688" s="119">
        <v>686</v>
      </c>
      <c r="F688" s="119">
        <v>0.65900000000000003</v>
      </c>
      <c r="G688" s="119">
        <v>1501.1</v>
      </c>
      <c r="H688" s="119">
        <v>1481.9</v>
      </c>
      <c r="I688" s="119">
        <v>2.2991000000000001</v>
      </c>
      <c r="J688" s="119">
        <v>3.1295000000000002</v>
      </c>
      <c r="K688" s="119">
        <v>64.099999999999994</v>
      </c>
      <c r="L688" s="119">
        <v>0.05</v>
      </c>
      <c r="M688" s="119">
        <v>34.498800000000003</v>
      </c>
      <c r="N688" s="119">
        <v>7.22</v>
      </c>
    </row>
    <row r="689" spans="1:28" ht="14.5">
      <c r="A689" s="119">
        <v>142</v>
      </c>
      <c r="B689" s="119" t="s">
        <v>193</v>
      </c>
      <c r="C689" s="119">
        <v>3</v>
      </c>
      <c r="D689" s="119">
        <v>3</v>
      </c>
      <c r="E689" s="119">
        <v>687</v>
      </c>
      <c r="F689" s="119">
        <v>0.44900000000000001</v>
      </c>
      <c r="G689" s="119">
        <v>1251.5999999999999</v>
      </c>
      <c r="H689" s="119">
        <v>1236.2</v>
      </c>
      <c r="I689" s="119">
        <v>2.5693999999999999</v>
      </c>
      <c r="J689" s="119">
        <v>3.1379000000000001</v>
      </c>
      <c r="K689" s="119">
        <v>64.099999999999994</v>
      </c>
      <c r="L689" s="119">
        <v>0.05</v>
      </c>
      <c r="M689" s="119">
        <v>34.441400000000002</v>
      </c>
      <c r="N689" s="119">
        <v>7.21</v>
      </c>
    </row>
    <row r="690" spans="1:28" ht="14.5">
      <c r="A690" s="119">
        <v>142</v>
      </c>
      <c r="B690" s="119" t="s">
        <v>193</v>
      </c>
      <c r="C690" s="119">
        <v>4</v>
      </c>
      <c r="D690" s="119">
        <v>4</v>
      </c>
      <c r="E690" s="119">
        <v>688</v>
      </c>
      <c r="F690" s="119">
        <v>0.39300000000000002</v>
      </c>
      <c r="G690" s="119">
        <v>1002.3</v>
      </c>
      <c r="H690" s="119">
        <v>990.4</v>
      </c>
      <c r="I690" s="119">
        <v>2.8801000000000001</v>
      </c>
      <c r="J690" s="119">
        <v>3.1488</v>
      </c>
      <c r="K690" s="119">
        <v>64.099999999999994</v>
      </c>
      <c r="L690" s="119">
        <v>0.05</v>
      </c>
      <c r="M690" s="119">
        <v>34.3733</v>
      </c>
      <c r="N690" s="119">
        <v>7.21</v>
      </c>
    </row>
    <row r="691" spans="1:28" ht="14.5">
      <c r="A691" s="119">
        <v>142</v>
      </c>
      <c r="B691" s="119" t="s">
        <v>193</v>
      </c>
      <c r="C691" s="119">
        <v>5</v>
      </c>
      <c r="D691" s="119">
        <v>5</v>
      </c>
      <c r="E691" s="119">
        <v>689</v>
      </c>
      <c r="F691" s="119">
        <v>0.39300000000000002</v>
      </c>
      <c r="G691" s="119">
        <v>801.1</v>
      </c>
      <c r="H691" s="119">
        <v>791.9</v>
      </c>
      <c r="I691" s="119">
        <v>3.2250999999999999</v>
      </c>
      <c r="J691" s="119">
        <v>3.1634000000000002</v>
      </c>
      <c r="K691" s="119">
        <v>64.099999999999994</v>
      </c>
      <c r="L691" s="119">
        <v>0.05</v>
      </c>
      <c r="M691" s="119">
        <v>34.2913</v>
      </c>
      <c r="N691" s="119">
        <v>7.21</v>
      </c>
    </row>
    <row r="692" spans="1:28" ht="14.5">
      <c r="A692" s="119">
        <v>142</v>
      </c>
      <c r="B692" s="119" t="s">
        <v>193</v>
      </c>
      <c r="C692" s="119">
        <v>6</v>
      </c>
      <c r="D692" s="119">
        <v>6</v>
      </c>
      <c r="E692" s="119">
        <v>690</v>
      </c>
      <c r="F692" s="119">
        <v>0.46500000000000002</v>
      </c>
      <c r="G692" s="119">
        <v>600.20000000000005</v>
      </c>
      <c r="H692" s="119">
        <v>593.5</v>
      </c>
      <c r="I692" s="119">
        <v>3.6221000000000001</v>
      </c>
      <c r="J692" s="119">
        <v>3.1802999999999999</v>
      </c>
      <c r="K692" s="119">
        <v>64.099999999999994</v>
      </c>
      <c r="L692" s="119">
        <v>0.05</v>
      </c>
      <c r="M692" s="119">
        <v>34.182299999999998</v>
      </c>
      <c r="N692" s="119">
        <v>7.2</v>
      </c>
    </row>
    <row r="693" spans="1:28" ht="14.5">
      <c r="A693" s="119">
        <v>142</v>
      </c>
      <c r="B693" s="119" t="s">
        <v>193</v>
      </c>
      <c r="C693" s="119">
        <v>7</v>
      </c>
      <c r="D693" s="119">
        <v>7</v>
      </c>
      <c r="E693" s="119">
        <v>691</v>
      </c>
      <c r="F693" s="119">
        <v>0.76900000000000002</v>
      </c>
      <c r="G693" s="119">
        <v>401.4</v>
      </c>
      <c r="H693" s="119">
        <v>396.9</v>
      </c>
      <c r="I693" s="119">
        <v>3.9195000000000002</v>
      </c>
      <c r="J693" s="119">
        <v>3.1827999999999999</v>
      </c>
      <c r="K693" s="119">
        <v>63.9</v>
      </c>
      <c r="L693" s="119">
        <v>0.05</v>
      </c>
      <c r="M693" s="119">
        <v>34.006999999999998</v>
      </c>
      <c r="N693" s="119">
        <v>7.2</v>
      </c>
    </row>
    <row r="694" spans="1:28" ht="14.5">
      <c r="A694" s="119">
        <v>142</v>
      </c>
      <c r="B694" s="119" t="s">
        <v>193</v>
      </c>
      <c r="C694" s="119">
        <v>8</v>
      </c>
      <c r="D694" s="119">
        <v>8</v>
      </c>
      <c r="E694" s="119">
        <v>692</v>
      </c>
      <c r="F694" s="119">
        <v>1.196</v>
      </c>
      <c r="G694" s="119">
        <v>301.39999999999998</v>
      </c>
      <c r="H694" s="119">
        <v>298</v>
      </c>
      <c r="I694" s="119">
        <v>3.9582999999999999</v>
      </c>
      <c r="J694" s="119">
        <v>3.1707999999999998</v>
      </c>
      <c r="K694" s="119">
        <v>63.6</v>
      </c>
      <c r="L694" s="119">
        <v>0.05</v>
      </c>
      <c r="M694" s="119">
        <v>33.876899999999999</v>
      </c>
      <c r="N694" s="119">
        <v>7.21</v>
      </c>
    </row>
    <row r="695" spans="1:28" ht="14.5">
      <c r="A695" s="119">
        <v>142</v>
      </c>
      <c r="B695" s="119" t="s">
        <v>193</v>
      </c>
      <c r="C695" s="119">
        <v>9</v>
      </c>
      <c r="D695" s="119">
        <v>9</v>
      </c>
      <c r="E695" s="119">
        <v>693</v>
      </c>
      <c r="F695" s="119">
        <v>1.619</v>
      </c>
      <c r="G695" s="119">
        <v>251.5</v>
      </c>
      <c r="H695" s="119">
        <v>248.5</v>
      </c>
      <c r="I695" s="119">
        <v>4.0037000000000003</v>
      </c>
      <c r="J695" s="119">
        <v>3.1652999999999998</v>
      </c>
      <c r="K695" s="119">
        <v>63.5</v>
      </c>
      <c r="L695" s="119">
        <v>0.05</v>
      </c>
      <c r="M695" s="119">
        <v>33.791200000000003</v>
      </c>
      <c r="N695" s="119">
        <v>7.23</v>
      </c>
    </row>
    <row r="696" spans="1:28" ht="14.5">
      <c r="A696" s="119">
        <v>142</v>
      </c>
      <c r="B696" s="119" t="s">
        <v>193</v>
      </c>
      <c r="C696" s="119">
        <v>10</v>
      </c>
      <c r="D696" s="119">
        <v>10</v>
      </c>
      <c r="E696" s="119">
        <v>694</v>
      </c>
      <c r="F696" s="119">
        <v>2.456</v>
      </c>
      <c r="G696" s="119">
        <v>202.5</v>
      </c>
      <c r="H696" s="119">
        <v>200</v>
      </c>
      <c r="I696" s="119">
        <v>4.1769999999999996</v>
      </c>
      <c r="J696" s="119">
        <v>3.1705000000000001</v>
      </c>
      <c r="K696" s="119">
        <v>63.4</v>
      </c>
      <c r="L696" s="119">
        <v>0.05</v>
      </c>
      <c r="M696" s="119">
        <v>33.6997</v>
      </c>
      <c r="N696" s="119">
        <v>7.3</v>
      </c>
    </row>
    <row r="697" spans="1:28" ht="14.5">
      <c r="A697" s="119">
        <v>142</v>
      </c>
      <c r="B697" s="119" t="s">
        <v>193</v>
      </c>
      <c r="C697" s="119">
        <v>11</v>
      </c>
      <c r="D697" s="119">
        <v>11</v>
      </c>
      <c r="E697" s="119">
        <v>695</v>
      </c>
      <c r="F697" s="119">
        <v>3.0190000000000001</v>
      </c>
      <c r="G697" s="119">
        <v>176.1</v>
      </c>
      <c r="H697" s="119">
        <v>173.9</v>
      </c>
      <c r="I697" s="119">
        <v>4.2759999999999998</v>
      </c>
      <c r="J697" s="119">
        <v>3.1701000000000001</v>
      </c>
      <c r="K697" s="119">
        <v>63.4</v>
      </c>
      <c r="L697" s="119">
        <v>0.05</v>
      </c>
      <c r="M697" s="119">
        <v>33.607799999999997</v>
      </c>
      <c r="N697" s="119">
        <v>7.35</v>
      </c>
    </row>
    <row r="698" spans="1:28" ht="14.5">
      <c r="A698" s="119">
        <v>142</v>
      </c>
      <c r="B698" s="119" t="s">
        <v>193</v>
      </c>
      <c r="C698" s="119">
        <v>12</v>
      </c>
      <c r="D698" s="119">
        <v>12</v>
      </c>
      <c r="E698" s="119">
        <v>696</v>
      </c>
      <c r="F698" s="119">
        <v>4.4870000000000001</v>
      </c>
      <c r="G698" s="119">
        <v>150.9</v>
      </c>
      <c r="H698" s="119">
        <v>148.9</v>
      </c>
      <c r="I698" s="119">
        <v>4.5475000000000003</v>
      </c>
      <c r="J698" s="119">
        <v>3.1635</v>
      </c>
      <c r="K698" s="119">
        <v>63.5</v>
      </c>
      <c r="L698" s="119">
        <v>0.06</v>
      </c>
      <c r="M698" s="119">
        <v>33.268799999999999</v>
      </c>
      <c r="N698" s="119">
        <v>7.48</v>
      </c>
    </row>
    <row r="699" spans="1:28" ht="14.5">
      <c r="A699" s="119">
        <v>142</v>
      </c>
      <c r="B699" s="119" t="s">
        <v>193</v>
      </c>
      <c r="C699" s="119">
        <v>13</v>
      </c>
      <c r="D699" s="119">
        <v>13</v>
      </c>
      <c r="E699" s="119">
        <v>697</v>
      </c>
      <c r="F699" s="119">
        <v>7.0039999999999996</v>
      </c>
      <c r="G699" s="119">
        <v>126.1</v>
      </c>
      <c r="H699" s="119">
        <v>124.4</v>
      </c>
      <c r="I699" s="119">
        <v>4.2676999999999996</v>
      </c>
      <c r="J699" s="119">
        <v>3.0884999999999998</v>
      </c>
      <c r="K699" s="119">
        <v>63.1</v>
      </c>
      <c r="L699" s="119">
        <v>7.0000000000000007E-2</v>
      </c>
      <c r="M699" s="119">
        <v>32.685200000000002</v>
      </c>
      <c r="N699" s="119">
        <v>7.65</v>
      </c>
    </row>
    <row r="700" spans="1:28" ht="14.5">
      <c r="A700" s="119">
        <v>142</v>
      </c>
      <c r="B700" s="119" t="s">
        <v>193</v>
      </c>
      <c r="C700" s="119">
        <v>14</v>
      </c>
      <c r="D700" s="119">
        <v>14</v>
      </c>
      <c r="E700" s="119">
        <v>698</v>
      </c>
      <c r="F700" s="119">
        <v>7.0620000000000003</v>
      </c>
      <c r="G700" s="119">
        <v>101.1</v>
      </c>
      <c r="H700" s="119">
        <v>99.6</v>
      </c>
      <c r="I700" s="119">
        <v>4.5166000000000004</v>
      </c>
      <c r="J700" s="119">
        <v>3.1019000000000001</v>
      </c>
      <c r="K700" s="119">
        <v>62.9</v>
      </c>
      <c r="L700" s="119">
        <v>0.08</v>
      </c>
      <c r="M700" s="119">
        <v>32.608699999999999</v>
      </c>
      <c r="N700" s="119">
        <v>7.67</v>
      </c>
    </row>
    <row r="701" spans="1:28" s="159" customFormat="1" ht="14.5">
      <c r="A701" s="119">
        <v>142</v>
      </c>
      <c r="B701" s="119" t="s">
        <v>193</v>
      </c>
      <c r="C701" s="119">
        <v>15</v>
      </c>
      <c r="D701" s="119">
        <v>15</v>
      </c>
      <c r="E701" s="119">
        <v>699</v>
      </c>
      <c r="F701" s="119">
        <v>7.1120000000000001</v>
      </c>
      <c r="G701" s="119">
        <v>76.7</v>
      </c>
      <c r="H701" s="119">
        <v>75.400000000000006</v>
      </c>
      <c r="I701" s="119">
        <v>4.6844999999999999</v>
      </c>
      <c r="J701" s="119">
        <v>3.1122000000000001</v>
      </c>
      <c r="K701" s="119">
        <v>62.2</v>
      </c>
      <c r="L701" s="119">
        <v>0.09</v>
      </c>
      <c r="M701" s="119">
        <v>32.5745</v>
      </c>
      <c r="N701" s="119">
        <v>7.69</v>
      </c>
      <c r="O701" s="165"/>
      <c r="P701" s="165"/>
      <c r="Q701" s="167"/>
      <c r="R701" s="167"/>
      <c r="S701" s="167"/>
      <c r="T701" s="167"/>
      <c r="U701" s="170"/>
      <c r="V701" s="170"/>
      <c r="W701" s="172"/>
      <c r="X701" s="168"/>
      <c r="Y701" s="167"/>
    </row>
    <row r="702" spans="1:28" s="159" customFormat="1" ht="14.5">
      <c r="A702" s="119">
        <v>142</v>
      </c>
      <c r="B702" s="119" t="s">
        <v>193</v>
      </c>
      <c r="C702" s="119">
        <v>16</v>
      </c>
      <c r="D702" s="119">
        <v>16</v>
      </c>
      <c r="E702" s="119">
        <v>700</v>
      </c>
      <c r="F702" s="119">
        <v>7.0919999999999996</v>
      </c>
      <c r="G702" s="119">
        <v>61.1</v>
      </c>
      <c r="H702" s="119">
        <v>59.9</v>
      </c>
      <c r="I702" s="119">
        <v>5.1718999999999999</v>
      </c>
      <c r="J702" s="119">
        <v>3.1467999999999998</v>
      </c>
      <c r="K702" s="119">
        <v>60.6</v>
      </c>
      <c r="L702" s="119">
        <v>0.12</v>
      </c>
      <c r="M702" s="119">
        <v>32.504100000000001</v>
      </c>
      <c r="N702" s="119">
        <v>7.71</v>
      </c>
      <c r="O702" s="165"/>
      <c r="P702" s="165"/>
      <c r="Q702" s="167"/>
      <c r="R702" s="167"/>
      <c r="S702" s="167"/>
      <c r="T702" s="167"/>
      <c r="U702" s="170"/>
      <c r="V702" s="170"/>
      <c r="W702" s="172"/>
      <c r="X702" s="168"/>
      <c r="Y702" s="167"/>
    </row>
    <row r="703" spans="1:28" s="159" customFormat="1" ht="14.5">
      <c r="A703" s="119">
        <v>142</v>
      </c>
      <c r="B703" s="119" t="s">
        <v>193</v>
      </c>
      <c r="C703" s="119">
        <v>17</v>
      </c>
      <c r="D703" s="119">
        <v>17</v>
      </c>
      <c r="E703" s="119">
        <v>701</v>
      </c>
      <c r="F703" s="119">
        <v>7.093</v>
      </c>
      <c r="G703" s="119">
        <v>51</v>
      </c>
      <c r="H703" s="119">
        <v>49.9</v>
      </c>
      <c r="I703" s="119">
        <v>5.2054999999999998</v>
      </c>
      <c r="J703" s="119">
        <v>3.1488</v>
      </c>
      <c r="K703" s="119">
        <v>60.2</v>
      </c>
      <c r="L703" s="119">
        <v>0.12</v>
      </c>
      <c r="M703" s="119">
        <v>32.499000000000002</v>
      </c>
      <c r="N703" s="119">
        <v>7.71</v>
      </c>
      <c r="O703" s="157"/>
      <c r="P703" s="157"/>
      <c r="Q703" s="151"/>
      <c r="R703" s="151"/>
      <c r="S703" s="151"/>
      <c r="T703" s="151"/>
      <c r="U703" s="155"/>
      <c r="V703" s="155"/>
      <c r="W703" s="158"/>
      <c r="X703" s="152"/>
      <c r="Y703" s="151"/>
    </row>
    <row r="704" spans="1:28" s="159" customFormat="1" ht="14.5">
      <c r="A704" s="119">
        <v>142</v>
      </c>
      <c r="B704" s="119" t="s">
        <v>193</v>
      </c>
      <c r="C704" s="119">
        <v>18</v>
      </c>
      <c r="D704" s="119">
        <v>18</v>
      </c>
      <c r="E704" s="119">
        <v>702</v>
      </c>
      <c r="F704" s="119">
        <v>7.101</v>
      </c>
      <c r="G704" s="119">
        <v>26.1</v>
      </c>
      <c r="H704" s="119">
        <v>25.3</v>
      </c>
      <c r="I704" s="119">
        <v>5.2069000000000001</v>
      </c>
      <c r="J704" s="119">
        <v>3.1476999999999999</v>
      </c>
      <c r="K704" s="119">
        <v>60.2</v>
      </c>
      <c r="L704" s="119">
        <v>0.12</v>
      </c>
      <c r="M704" s="119">
        <v>32.498199999999997</v>
      </c>
      <c r="N704" s="119">
        <v>7.71</v>
      </c>
      <c r="O704" s="157"/>
      <c r="P704" s="151"/>
      <c r="Q704" s="151"/>
      <c r="R704" s="175"/>
      <c r="S704" s="175"/>
      <c r="T704" s="175"/>
      <c r="U704" s="173"/>
      <c r="V704" s="158"/>
      <c r="W704" s="173"/>
      <c r="X704" s="173"/>
      <c r="Y704" s="175"/>
      <c r="Z704" s="177"/>
      <c r="AA704" s="177"/>
      <c r="AB704" s="152"/>
    </row>
    <row r="705" spans="1:28" s="159" customFormat="1" ht="14.5">
      <c r="A705" s="119">
        <v>142</v>
      </c>
      <c r="B705" s="119" t="s">
        <v>193</v>
      </c>
      <c r="C705" s="119">
        <v>19</v>
      </c>
      <c r="D705" s="119">
        <v>19</v>
      </c>
      <c r="E705" s="119">
        <v>703</v>
      </c>
      <c r="F705" s="119">
        <v>7.1029999999999998</v>
      </c>
      <c r="G705" s="119">
        <v>10.3</v>
      </c>
      <c r="H705" s="119">
        <v>9.6</v>
      </c>
      <c r="I705" s="119">
        <v>5.2057000000000002</v>
      </c>
      <c r="J705" s="119">
        <v>3.1469999999999998</v>
      </c>
      <c r="K705" s="119">
        <v>60.2</v>
      </c>
      <c r="L705" s="119">
        <v>0.12</v>
      </c>
      <c r="M705" s="119">
        <v>32.498600000000003</v>
      </c>
      <c r="N705" s="119">
        <v>7.72</v>
      </c>
      <c r="O705" s="248"/>
      <c r="P705" s="173"/>
      <c r="Q705" s="247"/>
      <c r="R705" s="173"/>
      <c r="S705" s="247"/>
      <c r="T705" s="175"/>
      <c r="U705" s="247"/>
      <c r="V705" s="158"/>
      <c r="W705" s="247"/>
      <c r="Y705" s="179"/>
      <c r="AA705" s="180"/>
    </row>
    <row r="706" spans="1:28" s="159" customFormat="1" ht="14.5">
      <c r="A706" s="119">
        <v>142</v>
      </c>
      <c r="B706" s="119" t="s">
        <v>193</v>
      </c>
      <c r="C706" s="119">
        <v>20</v>
      </c>
      <c r="D706" s="119">
        <v>20</v>
      </c>
      <c r="E706" s="119">
        <v>704</v>
      </c>
      <c r="F706" s="119">
        <v>7.0670000000000002</v>
      </c>
      <c r="G706" s="119">
        <v>5.2</v>
      </c>
      <c r="H706" s="119">
        <v>4.5999999999999996</v>
      </c>
      <c r="I706" s="119">
        <v>5.2039999999999997</v>
      </c>
      <c r="J706" s="119">
        <v>3.1465999999999998</v>
      </c>
      <c r="K706" s="119">
        <v>60.2</v>
      </c>
      <c r="L706" s="119">
        <v>0.12</v>
      </c>
      <c r="M706" s="119">
        <v>32.498399999999997</v>
      </c>
      <c r="N706" s="119">
        <v>7.72</v>
      </c>
      <c r="O706" s="248"/>
      <c r="P706" s="173"/>
      <c r="Q706" s="247"/>
      <c r="R706" s="173"/>
      <c r="S706" s="247"/>
      <c r="T706" s="175"/>
      <c r="U706" s="247"/>
      <c r="V706" s="181"/>
      <c r="W706" s="247"/>
      <c r="X706" s="182"/>
      <c r="Y706" s="183"/>
      <c r="AA706" s="180"/>
    </row>
    <row r="707" spans="1:28" s="190" customFormat="1" ht="14.5">
      <c r="A707" s="119">
        <v>142</v>
      </c>
      <c r="B707" s="119" t="s">
        <v>193</v>
      </c>
      <c r="C707" s="119">
        <v>21</v>
      </c>
      <c r="D707" s="119">
        <v>21</v>
      </c>
      <c r="E707" s="119">
        <v>705</v>
      </c>
      <c r="F707" s="119">
        <v>7.0750000000000002</v>
      </c>
      <c r="G707" s="119">
        <v>5.6</v>
      </c>
      <c r="H707" s="119">
        <v>4.9000000000000004</v>
      </c>
      <c r="I707" s="119">
        <v>5.2039999999999997</v>
      </c>
      <c r="J707" s="119">
        <v>3.1465999999999998</v>
      </c>
      <c r="K707" s="119">
        <v>60.2</v>
      </c>
      <c r="L707" s="119">
        <v>0.12</v>
      </c>
      <c r="M707" s="119">
        <v>32.4985</v>
      </c>
      <c r="N707" s="119">
        <v>7.72</v>
      </c>
      <c r="O707" s="184"/>
      <c r="P707" s="185"/>
      <c r="Q707" s="185"/>
      <c r="R707" s="185"/>
      <c r="S707" s="185"/>
      <c r="T707" s="187"/>
      <c r="U707" s="187"/>
      <c r="V707" s="185"/>
      <c r="W707" s="189"/>
      <c r="Y707" s="191"/>
      <c r="AA707" s="189"/>
      <c r="AB707" s="186"/>
    </row>
    <row r="708" spans="1:28" ht="14.5">
      <c r="A708" s="119">
        <v>142</v>
      </c>
      <c r="B708" s="119" t="s">
        <v>193</v>
      </c>
      <c r="C708" s="119">
        <v>22</v>
      </c>
      <c r="D708" s="119">
        <v>22</v>
      </c>
      <c r="E708" s="119">
        <v>706</v>
      </c>
      <c r="F708" s="119">
        <v>7.0620000000000003</v>
      </c>
      <c r="G708" s="119">
        <v>5.2</v>
      </c>
      <c r="H708" s="119">
        <v>4.5999999999999996</v>
      </c>
      <c r="I708" s="119">
        <v>5.2039</v>
      </c>
      <c r="J708" s="119">
        <v>3.1465999999999998</v>
      </c>
      <c r="K708" s="119">
        <v>60.2</v>
      </c>
      <c r="L708" s="119">
        <v>0.12</v>
      </c>
      <c r="M708" s="119">
        <v>32.498399999999997</v>
      </c>
      <c r="N708" s="119">
        <v>7.72</v>
      </c>
    </row>
    <row r="709" spans="1:28" ht="14.5">
      <c r="A709" s="119">
        <v>142</v>
      </c>
      <c r="B709" s="119" t="s">
        <v>193</v>
      </c>
      <c r="C709" s="119">
        <v>23</v>
      </c>
      <c r="D709" s="119">
        <v>23</v>
      </c>
      <c r="E709" s="119">
        <v>707</v>
      </c>
      <c r="F709" s="119">
        <v>7.0830000000000002</v>
      </c>
      <c r="G709" s="119">
        <v>5</v>
      </c>
      <c r="H709" s="119">
        <v>4.3</v>
      </c>
      <c r="I709" s="119">
        <v>5.2038000000000002</v>
      </c>
      <c r="J709" s="119">
        <v>3.1465999999999998</v>
      </c>
      <c r="K709" s="119">
        <v>60.2</v>
      </c>
      <c r="L709" s="119">
        <v>0.12</v>
      </c>
      <c r="M709" s="119">
        <v>32.4985</v>
      </c>
      <c r="N709" s="119">
        <v>7.72</v>
      </c>
    </row>
    <row r="710" spans="1:28" ht="14.5">
      <c r="A710" s="119">
        <v>142</v>
      </c>
      <c r="B710" s="119" t="s">
        <v>193</v>
      </c>
      <c r="C710" s="119">
        <v>24</v>
      </c>
      <c r="D710" s="119">
        <v>24</v>
      </c>
      <c r="E710" s="119">
        <v>708</v>
      </c>
      <c r="F710" s="119">
        <v>6.8140000000000001</v>
      </c>
      <c r="G710" s="119">
        <v>1.8</v>
      </c>
      <c r="H710" s="119">
        <v>1.2</v>
      </c>
      <c r="I710" s="119">
        <v>5.2037000000000004</v>
      </c>
      <c r="J710" s="119">
        <v>3.1463999999999999</v>
      </c>
      <c r="K710" s="119">
        <v>52.5</v>
      </c>
      <c r="L710" s="119">
        <v>0.12</v>
      </c>
      <c r="M710" s="119">
        <v>32.4983</v>
      </c>
      <c r="N710" s="119">
        <v>7.72</v>
      </c>
    </row>
    <row r="711" spans="1:28" ht="14.5">
      <c r="A711" s="119">
        <v>147</v>
      </c>
      <c r="B711" s="119" t="s">
        <v>194</v>
      </c>
      <c r="C711" s="119">
        <v>1</v>
      </c>
      <c r="D711" s="119">
        <v>1</v>
      </c>
      <c r="E711" s="119">
        <v>709</v>
      </c>
      <c r="F711" s="119">
        <v>1.9139999999999999</v>
      </c>
      <c r="G711" s="119">
        <v>302.2</v>
      </c>
      <c r="H711" s="119">
        <v>298.8</v>
      </c>
      <c r="I711" s="119">
        <v>4.8522999999999996</v>
      </c>
      <c r="J711" s="119">
        <v>3.2480000000000002</v>
      </c>
      <c r="K711" s="119">
        <v>63.8</v>
      </c>
      <c r="L711" s="119">
        <v>7.0000000000000007E-2</v>
      </c>
      <c r="M711" s="119">
        <v>33.863999999999997</v>
      </c>
      <c r="N711" s="119">
        <v>7.28</v>
      </c>
    </row>
    <row r="712" spans="1:28" ht="14.5">
      <c r="A712" s="119">
        <v>147</v>
      </c>
      <c r="B712" s="119" t="s">
        <v>194</v>
      </c>
      <c r="C712" s="119">
        <v>2</v>
      </c>
      <c r="D712" s="119">
        <v>2</v>
      </c>
      <c r="E712" s="119">
        <v>710</v>
      </c>
      <c r="F712" s="119">
        <v>2.8279999999999998</v>
      </c>
      <c r="G712" s="119">
        <v>201.8</v>
      </c>
      <c r="H712" s="119">
        <v>199.4</v>
      </c>
      <c r="I712" s="119">
        <v>5.5903999999999998</v>
      </c>
      <c r="J712" s="119">
        <v>3.3008999999999999</v>
      </c>
      <c r="K712" s="119">
        <v>63.5</v>
      </c>
      <c r="L712" s="119">
        <v>0.06</v>
      </c>
      <c r="M712" s="119">
        <v>33.776699999999998</v>
      </c>
      <c r="N712" s="119">
        <v>7.37</v>
      </c>
    </row>
    <row r="713" spans="1:28" ht="14.5">
      <c r="A713" s="119">
        <v>147</v>
      </c>
      <c r="B713" s="119" t="s">
        <v>194</v>
      </c>
      <c r="C713" s="119">
        <v>3</v>
      </c>
      <c r="D713" s="119">
        <v>3</v>
      </c>
      <c r="E713" s="119">
        <v>711</v>
      </c>
      <c r="F713" s="119">
        <v>3.9</v>
      </c>
      <c r="G713" s="119">
        <v>150.4</v>
      </c>
      <c r="H713" s="119">
        <v>148.5</v>
      </c>
      <c r="I713" s="119">
        <v>6.2149999999999999</v>
      </c>
      <c r="J713" s="119">
        <v>3.3329</v>
      </c>
      <c r="K713" s="119">
        <v>63.4</v>
      </c>
      <c r="L713" s="119">
        <v>0.06</v>
      </c>
      <c r="M713" s="119">
        <v>33.541699999999999</v>
      </c>
      <c r="N713" s="119">
        <v>7.47</v>
      </c>
    </row>
    <row r="714" spans="1:28" ht="14.5">
      <c r="A714" s="119">
        <v>147</v>
      </c>
      <c r="B714" s="119" t="s">
        <v>194</v>
      </c>
      <c r="C714" s="119">
        <v>4</v>
      </c>
      <c r="D714" s="119">
        <v>4</v>
      </c>
      <c r="E714" s="119">
        <v>712</v>
      </c>
      <c r="F714" s="119">
        <v>3.9089999999999998</v>
      </c>
      <c r="G714" s="119">
        <v>150.6</v>
      </c>
      <c r="H714" s="119">
        <v>148.69999999999999</v>
      </c>
      <c r="I714" s="119">
        <v>6.2163000000000004</v>
      </c>
      <c r="J714" s="119">
        <v>3.3328000000000002</v>
      </c>
      <c r="K714" s="119">
        <v>63.4</v>
      </c>
      <c r="L714" s="119">
        <v>0.06</v>
      </c>
      <c r="M714" s="119">
        <v>33.538400000000003</v>
      </c>
      <c r="N714" s="119">
        <v>7.47</v>
      </c>
    </row>
    <row r="715" spans="1:28" ht="14.5">
      <c r="A715" s="119">
        <v>147</v>
      </c>
      <c r="B715" s="119" t="s">
        <v>194</v>
      </c>
      <c r="C715" s="119">
        <v>5</v>
      </c>
      <c r="D715" s="119">
        <v>5</v>
      </c>
      <c r="E715" s="119">
        <v>713</v>
      </c>
      <c r="F715" s="119">
        <v>5.2480000000000002</v>
      </c>
      <c r="G715" s="119">
        <v>126.8</v>
      </c>
      <c r="H715" s="119">
        <v>125</v>
      </c>
      <c r="I715" s="119">
        <v>6.4348000000000001</v>
      </c>
      <c r="J715" s="119">
        <v>3.2995000000000001</v>
      </c>
      <c r="K715" s="119">
        <v>63.2</v>
      </c>
      <c r="L715" s="119">
        <v>0.06</v>
      </c>
      <c r="M715" s="119">
        <v>32.966500000000003</v>
      </c>
      <c r="N715" s="119">
        <v>7.59</v>
      </c>
    </row>
    <row r="716" spans="1:28" s="159" customFormat="1" ht="14.5">
      <c r="A716" s="119">
        <v>147</v>
      </c>
      <c r="B716" s="119" t="s">
        <v>194</v>
      </c>
      <c r="C716" s="119">
        <v>6</v>
      </c>
      <c r="D716" s="119">
        <v>6</v>
      </c>
      <c r="E716" s="119">
        <v>714</v>
      </c>
      <c r="F716" s="119">
        <v>6.4770000000000003</v>
      </c>
      <c r="G716" s="119">
        <v>102.3</v>
      </c>
      <c r="H716" s="119">
        <v>100.8</v>
      </c>
      <c r="I716" s="119">
        <v>6.8673000000000002</v>
      </c>
      <c r="J716" s="119">
        <v>3.2864</v>
      </c>
      <c r="K716" s="119">
        <v>62.5</v>
      </c>
      <c r="L716" s="119">
        <v>0.08</v>
      </c>
      <c r="M716" s="119">
        <v>32.421900000000001</v>
      </c>
      <c r="N716" s="119">
        <v>7.7</v>
      </c>
      <c r="O716" s="165"/>
      <c r="P716" s="165"/>
      <c r="Q716" s="167"/>
      <c r="R716" s="167"/>
      <c r="S716" s="167"/>
      <c r="T716" s="167"/>
      <c r="U716" s="170"/>
      <c r="V716" s="170"/>
      <c r="W716" s="172"/>
      <c r="X716" s="168"/>
      <c r="Y716" s="167"/>
    </row>
    <row r="717" spans="1:28" s="159" customFormat="1" ht="14.5">
      <c r="A717" s="119">
        <v>147</v>
      </c>
      <c r="B717" s="119" t="s">
        <v>194</v>
      </c>
      <c r="C717" s="119">
        <v>7</v>
      </c>
      <c r="D717" s="119">
        <v>7</v>
      </c>
      <c r="E717" s="119">
        <v>715</v>
      </c>
      <c r="F717" s="119">
        <v>6.4989999999999997</v>
      </c>
      <c r="G717" s="119">
        <v>101.7</v>
      </c>
      <c r="H717" s="119">
        <v>100.2</v>
      </c>
      <c r="I717" s="119">
        <v>6.8657000000000004</v>
      </c>
      <c r="J717" s="119">
        <v>3.2865000000000002</v>
      </c>
      <c r="K717" s="119">
        <v>62.7</v>
      </c>
      <c r="L717" s="119">
        <v>7.0000000000000007E-2</v>
      </c>
      <c r="M717" s="119">
        <v>32.424700000000001</v>
      </c>
      <c r="N717" s="119">
        <v>7.7</v>
      </c>
      <c r="O717" s="165"/>
      <c r="P717" s="165"/>
      <c r="Q717" s="167"/>
      <c r="R717" s="167"/>
      <c r="S717" s="167"/>
      <c r="T717" s="167"/>
      <c r="U717" s="170"/>
      <c r="V717" s="170"/>
      <c r="W717" s="172"/>
      <c r="X717" s="168"/>
      <c r="Y717" s="167"/>
    </row>
    <row r="718" spans="1:28" s="159" customFormat="1" ht="14.5">
      <c r="A718" s="119">
        <v>147</v>
      </c>
      <c r="B718" s="119" t="s">
        <v>194</v>
      </c>
      <c r="C718" s="119">
        <v>8</v>
      </c>
      <c r="D718" s="119">
        <v>8</v>
      </c>
      <c r="E718" s="119">
        <v>716</v>
      </c>
      <c r="F718" s="119">
        <v>6.5</v>
      </c>
      <c r="G718" s="119">
        <v>102.1</v>
      </c>
      <c r="H718" s="119">
        <v>100.6</v>
      </c>
      <c r="I718" s="119">
        <v>6.8673999999999999</v>
      </c>
      <c r="J718" s="119">
        <v>3.2865000000000002</v>
      </c>
      <c r="K718" s="119">
        <v>62.6</v>
      </c>
      <c r="L718" s="119">
        <v>0.08</v>
      </c>
      <c r="M718" s="119">
        <v>32.421900000000001</v>
      </c>
      <c r="N718" s="119">
        <v>7.7</v>
      </c>
      <c r="O718" s="157"/>
      <c r="P718" s="157"/>
      <c r="Q718" s="151"/>
      <c r="R718" s="151"/>
      <c r="S718" s="151"/>
      <c r="T718" s="151"/>
      <c r="U718" s="155"/>
      <c r="V718" s="155"/>
      <c r="W718" s="158"/>
      <c r="X718" s="152"/>
      <c r="Y718" s="151"/>
    </row>
    <row r="719" spans="1:28" s="159" customFormat="1" ht="14.5">
      <c r="A719" s="119">
        <v>147</v>
      </c>
      <c r="B719" s="119" t="s">
        <v>194</v>
      </c>
      <c r="C719" s="119">
        <v>9</v>
      </c>
      <c r="D719" s="119">
        <v>9</v>
      </c>
      <c r="E719" s="119">
        <v>717</v>
      </c>
      <c r="F719" s="119">
        <v>6.7969999999999997</v>
      </c>
      <c r="G719" s="119">
        <v>74.8</v>
      </c>
      <c r="H719" s="119">
        <v>73.5</v>
      </c>
      <c r="I719" s="119">
        <v>6.9690000000000003</v>
      </c>
      <c r="J719" s="119">
        <v>3.2852000000000001</v>
      </c>
      <c r="K719" s="119">
        <v>61.8</v>
      </c>
      <c r="L719" s="119">
        <v>0.1</v>
      </c>
      <c r="M719" s="119">
        <v>32.325200000000002</v>
      </c>
      <c r="N719" s="119">
        <v>7.73</v>
      </c>
      <c r="O719" s="157"/>
      <c r="P719" s="151"/>
      <c r="Q719" s="151"/>
      <c r="R719" s="175"/>
      <c r="S719" s="175"/>
      <c r="T719" s="175"/>
      <c r="U719" s="173"/>
      <c r="V719" s="158"/>
      <c r="W719" s="173"/>
      <c r="X719" s="173"/>
      <c r="Y719" s="175"/>
      <c r="Z719" s="177"/>
      <c r="AA719" s="177"/>
      <c r="AB719" s="152"/>
    </row>
    <row r="720" spans="1:28" s="159" customFormat="1" ht="14.5">
      <c r="A720" s="119">
        <v>147</v>
      </c>
      <c r="B720" s="119" t="s">
        <v>194</v>
      </c>
      <c r="C720" s="119">
        <v>10</v>
      </c>
      <c r="D720" s="119">
        <v>10</v>
      </c>
      <c r="E720" s="119">
        <v>718</v>
      </c>
      <c r="F720" s="119">
        <v>6.8209999999999997</v>
      </c>
      <c r="G720" s="119">
        <v>49.5</v>
      </c>
      <c r="H720" s="119">
        <v>48.5</v>
      </c>
      <c r="I720" s="119">
        <v>7.1593999999999998</v>
      </c>
      <c r="J720" s="119">
        <v>3.2989000000000002</v>
      </c>
      <c r="K720" s="119">
        <v>60.7</v>
      </c>
      <c r="L720" s="119">
        <v>0.12</v>
      </c>
      <c r="M720" s="119">
        <v>32.308199999999999</v>
      </c>
      <c r="N720" s="119">
        <v>7.74</v>
      </c>
      <c r="O720" s="248"/>
      <c r="P720" s="173"/>
      <c r="Q720" s="247"/>
      <c r="R720" s="173"/>
      <c r="S720" s="247"/>
      <c r="T720" s="175"/>
      <c r="U720" s="247"/>
      <c r="V720" s="158"/>
      <c r="W720" s="247"/>
      <c r="Y720" s="179"/>
      <c r="AA720" s="180"/>
    </row>
    <row r="721" spans="1:28" s="159" customFormat="1" ht="14.5">
      <c r="A721" s="119">
        <v>147</v>
      </c>
      <c r="B721" s="119" t="s">
        <v>194</v>
      </c>
      <c r="C721" s="119">
        <v>11</v>
      </c>
      <c r="D721" s="119">
        <v>11</v>
      </c>
      <c r="E721" s="119">
        <v>719</v>
      </c>
      <c r="F721" s="119">
        <v>6.8250000000000002</v>
      </c>
      <c r="G721" s="119">
        <v>50.5</v>
      </c>
      <c r="H721" s="119">
        <v>49.5</v>
      </c>
      <c r="I721" s="119">
        <v>7.1597</v>
      </c>
      <c r="J721" s="119">
        <v>3.2989999999999999</v>
      </c>
      <c r="K721" s="119">
        <v>60.7</v>
      </c>
      <c r="L721" s="119">
        <v>0.12</v>
      </c>
      <c r="M721" s="119">
        <v>32.308199999999999</v>
      </c>
      <c r="N721" s="119">
        <v>7.74</v>
      </c>
      <c r="O721" s="248"/>
      <c r="P721" s="173"/>
      <c r="Q721" s="247"/>
      <c r="R721" s="173"/>
      <c r="S721" s="247"/>
      <c r="T721" s="175"/>
      <c r="U721" s="247"/>
      <c r="V721" s="181"/>
      <c r="W721" s="247"/>
      <c r="X721" s="182"/>
      <c r="Y721" s="183"/>
      <c r="AA721" s="180"/>
    </row>
    <row r="722" spans="1:28" s="190" customFormat="1" ht="14.5">
      <c r="A722" s="119">
        <v>147</v>
      </c>
      <c r="B722" s="119" t="s">
        <v>194</v>
      </c>
      <c r="C722" s="119">
        <v>12</v>
      </c>
      <c r="D722" s="119">
        <v>12</v>
      </c>
      <c r="E722" s="119">
        <v>720</v>
      </c>
      <c r="F722" s="119">
        <v>6.8170000000000002</v>
      </c>
      <c r="G722" s="119">
        <v>50.8</v>
      </c>
      <c r="H722" s="119">
        <v>49.8</v>
      </c>
      <c r="I722" s="119">
        <v>7.1604999999999999</v>
      </c>
      <c r="J722" s="119">
        <v>3.2989999999999999</v>
      </c>
      <c r="K722" s="119">
        <v>60.7</v>
      </c>
      <c r="L722" s="119">
        <v>0.12</v>
      </c>
      <c r="M722" s="119">
        <v>32.307899999999997</v>
      </c>
      <c r="N722" s="119">
        <v>7.74</v>
      </c>
      <c r="O722" s="184"/>
      <c r="P722" s="185"/>
      <c r="Q722" s="185"/>
      <c r="R722" s="185"/>
      <c r="S722" s="185"/>
      <c r="T722" s="187"/>
      <c r="U722" s="187"/>
      <c r="V722" s="185"/>
      <c r="W722" s="189"/>
      <c r="Y722" s="191"/>
      <c r="AA722" s="189"/>
      <c r="AB722" s="186"/>
    </row>
    <row r="723" spans="1:28" ht="14.5">
      <c r="A723" s="119">
        <v>147</v>
      </c>
      <c r="B723" s="119" t="s">
        <v>194</v>
      </c>
      <c r="C723" s="119">
        <v>13</v>
      </c>
      <c r="D723" s="119">
        <v>13</v>
      </c>
      <c r="E723" s="119">
        <v>721</v>
      </c>
      <c r="F723" s="119">
        <v>6.8470000000000004</v>
      </c>
      <c r="G723" s="119">
        <v>26.6</v>
      </c>
      <c r="H723" s="119">
        <v>25.8</v>
      </c>
      <c r="I723" s="119">
        <v>7.0926</v>
      </c>
      <c r="J723" s="119">
        <v>3.2877000000000001</v>
      </c>
      <c r="K723" s="119">
        <v>58.4</v>
      </c>
      <c r="L723" s="119">
        <v>0.14000000000000001</v>
      </c>
      <c r="M723" s="119">
        <v>32.259799999999998</v>
      </c>
      <c r="N723" s="119">
        <v>7.75</v>
      </c>
    </row>
    <row r="724" spans="1:28" ht="14.5">
      <c r="A724" s="119">
        <v>147</v>
      </c>
      <c r="B724" s="119" t="s">
        <v>194</v>
      </c>
      <c r="C724" s="119">
        <v>14</v>
      </c>
      <c r="D724" s="119">
        <v>14</v>
      </c>
      <c r="E724" s="119">
        <v>722</v>
      </c>
      <c r="F724" s="119">
        <v>6.8689999999999998</v>
      </c>
      <c r="G724" s="119">
        <v>26.5</v>
      </c>
      <c r="H724" s="119">
        <v>25.6</v>
      </c>
      <c r="I724" s="119">
        <v>7.0933000000000002</v>
      </c>
      <c r="J724" s="119">
        <v>3.2877999999999998</v>
      </c>
      <c r="K724" s="119">
        <v>58.2</v>
      </c>
      <c r="L724" s="119">
        <v>0.15</v>
      </c>
      <c r="M724" s="119">
        <v>32.260199999999998</v>
      </c>
      <c r="N724" s="119">
        <v>7.75</v>
      </c>
    </row>
    <row r="725" spans="1:28" ht="14.5">
      <c r="A725" s="119">
        <v>147</v>
      </c>
      <c r="B725" s="119" t="s">
        <v>194</v>
      </c>
      <c r="C725" s="119">
        <v>15</v>
      </c>
      <c r="D725" s="119">
        <v>15</v>
      </c>
      <c r="E725" s="119">
        <v>723</v>
      </c>
      <c r="F725" s="119">
        <v>6.8579999999999997</v>
      </c>
      <c r="G725" s="119">
        <v>26.2</v>
      </c>
      <c r="H725" s="119">
        <v>25.4</v>
      </c>
      <c r="I725" s="119">
        <v>7.0946999999999996</v>
      </c>
      <c r="J725" s="119">
        <v>3.2879999999999998</v>
      </c>
      <c r="K725" s="119">
        <v>58.2</v>
      </c>
      <c r="L725" s="119">
        <v>0.14000000000000001</v>
      </c>
      <c r="M725" s="119">
        <v>32.260800000000003</v>
      </c>
      <c r="N725" s="119">
        <v>7.75</v>
      </c>
    </row>
    <row r="726" spans="1:28" ht="14.5">
      <c r="A726" s="119">
        <v>147</v>
      </c>
      <c r="B726" s="119" t="s">
        <v>194</v>
      </c>
      <c r="C726" s="119">
        <v>16</v>
      </c>
      <c r="D726" s="119">
        <v>16</v>
      </c>
      <c r="E726" s="119">
        <v>724</v>
      </c>
      <c r="F726" s="119">
        <v>6.8019999999999996</v>
      </c>
      <c r="G726" s="119">
        <v>6.8</v>
      </c>
      <c r="H726" s="119">
        <v>6.1</v>
      </c>
      <c r="I726" s="119">
        <v>7.0877999999999997</v>
      </c>
      <c r="J726" s="119">
        <v>3.2864</v>
      </c>
      <c r="K726" s="119">
        <v>58</v>
      </c>
      <c r="L726" s="119">
        <v>0.14000000000000001</v>
      </c>
      <c r="M726" s="119">
        <v>32.258899999999997</v>
      </c>
      <c r="N726" s="119">
        <v>7.75</v>
      </c>
    </row>
    <row r="727" spans="1:28" ht="14.5">
      <c r="A727" s="119">
        <v>147</v>
      </c>
      <c r="B727" s="119" t="s">
        <v>194</v>
      </c>
      <c r="C727" s="119">
        <v>17</v>
      </c>
      <c r="D727" s="119">
        <v>17</v>
      </c>
      <c r="E727" s="119">
        <v>725</v>
      </c>
      <c r="F727" s="119">
        <v>6.7919999999999998</v>
      </c>
      <c r="G727" s="119">
        <v>6</v>
      </c>
      <c r="H727" s="119">
        <v>5.3</v>
      </c>
      <c r="I727" s="119">
        <v>7.0872000000000002</v>
      </c>
      <c r="J727" s="119">
        <v>3.2863000000000002</v>
      </c>
      <c r="K727" s="119">
        <v>58</v>
      </c>
      <c r="L727" s="119">
        <v>0.14000000000000001</v>
      </c>
      <c r="M727" s="119">
        <v>32.258899999999997</v>
      </c>
      <c r="N727" s="119">
        <v>7.75</v>
      </c>
    </row>
    <row r="728" spans="1:28" ht="14.5">
      <c r="A728" s="119">
        <v>147</v>
      </c>
      <c r="B728" s="119" t="s">
        <v>194</v>
      </c>
      <c r="C728" s="119">
        <v>18</v>
      </c>
      <c r="D728" s="119">
        <v>18</v>
      </c>
      <c r="E728" s="119">
        <v>726</v>
      </c>
      <c r="F728" s="119">
        <v>6.8079999999999998</v>
      </c>
      <c r="G728" s="119">
        <v>6.4</v>
      </c>
      <c r="H728" s="119">
        <v>5.7</v>
      </c>
      <c r="I728" s="119">
        <v>7.0872999999999999</v>
      </c>
      <c r="J728" s="119">
        <v>3.2863000000000002</v>
      </c>
      <c r="K728" s="119">
        <v>58.1</v>
      </c>
      <c r="L728" s="119">
        <v>0.14000000000000001</v>
      </c>
      <c r="M728" s="119">
        <v>32.258899999999997</v>
      </c>
      <c r="N728" s="119">
        <v>7.75</v>
      </c>
    </row>
    <row r="729" spans="1:28" ht="14.5">
      <c r="A729" s="119">
        <v>147</v>
      </c>
      <c r="B729" s="119" t="s">
        <v>194</v>
      </c>
      <c r="C729" s="119">
        <v>19</v>
      </c>
      <c r="D729" s="119">
        <v>19</v>
      </c>
      <c r="E729" s="119">
        <v>727</v>
      </c>
      <c r="F729" s="119">
        <v>6.8010000000000002</v>
      </c>
      <c r="G729" s="119">
        <v>6.5</v>
      </c>
      <c r="H729" s="119">
        <v>5.8</v>
      </c>
      <c r="I729" s="119">
        <v>7.0869</v>
      </c>
      <c r="J729" s="119">
        <v>3.2863000000000002</v>
      </c>
      <c r="K729" s="119">
        <v>58</v>
      </c>
      <c r="L729" s="119">
        <v>0.14000000000000001</v>
      </c>
      <c r="M729" s="119">
        <v>32.258800000000001</v>
      </c>
      <c r="N729" s="119">
        <v>7.75</v>
      </c>
    </row>
    <row r="730" spans="1:28" ht="14.5">
      <c r="A730" s="119">
        <v>147</v>
      </c>
      <c r="B730" s="119" t="s">
        <v>194</v>
      </c>
      <c r="C730" s="119">
        <v>20</v>
      </c>
      <c r="D730" s="119">
        <v>20</v>
      </c>
      <c r="E730" s="119">
        <v>728</v>
      </c>
      <c r="F730" s="119">
        <v>6.8250000000000002</v>
      </c>
      <c r="G730" s="119">
        <v>6.8</v>
      </c>
      <c r="H730" s="119">
        <v>6.1</v>
      </c>
      <c r="I730" s="119">
        <v>7.0846</v>
      </c>
      <c r="J730" s="119">
        <v>3.286</v>
      </c>
      <c r="K730" s="119">
        <v>58.1</v>
      </c>
      <c r="L730" s="119">
        <v>0.14000000000000001</v>
      </c>
      <c r="M730" s="119">
        <v>32.258099999999999</v>
      </c>
      <c r="N730" s="119">
        <v>7.75</v>
      </c>
    </row>
    <row r="731" spans="1:28" ht="14.5">
      <c r="A731" s="119">
        <v>147</v>
      </c>
      <c r="B731" s="119" t="s">
        <v>194</v>
      </c>
      <c r="C731" s="119">
        <v>21</v>
      </c>
      <c r="D731" s="119">
        <v>21</v>
      </c>
      <c r="E731" s="119">
        <v>729</v>
      </c>
      <c r="F731" s="119">
        <v>6.8079999999999998</v>
      </c>
      <c r="G731" s="119">
        <v>6.6</v>
      </c>
      <c r="H731" s="119">
        <v>5.9</v>
      </c>
      <c r="I731" s="119">
        <v>7.0858999999999996</v>
      </c>
      <c r="J731" s="119">
        <v>3.2860999999999998</v>
      </c>
      <c r="K731" s="119">
        <v>58</v>
      </c>
      <c r="L731" s="119">
        <v>0.14000000000000001</v>
      </c>
      <c r="M731" s="119">
        <v>32.258299999999998</v>
      </c>
      <c r="N731" s="119">
        <v>7.75</v>
      </c>
    </row>
    <row r="732" spans="1:28">
      <c r="D732" s="193"/>
      <c r="E732" s="194"/>
      <c r="F732" s="194"/>
      <c r="G732" s="194"/>
      <c r="H732" s="195"/>
      <c r="I732" s="195"/>
      <c r="J732" s="196"/>
      <c r="K732" s="195"/>
    </row>
    <row r="733" spans="1:28">
      <c r="D733" s="193"/>
      <c r="E733" s="194"/>
      <c r="F733" s="194"/>
      <c r="G733" s="194"/>
      <c r="H733" s="195"/>
      <c r="I733" s="195"/>
      <c r="J733" s="196"/>
      <c r="K733" s="195"/>
    </row>
    <row r="734" spans="1:28">
      <c r="D734" s="193"/>
      <c r="E734" s="194"/>
      <c r="F734" s="194"/>
      <c r="G734" s="194"/>
      <c r="H734" s="195"/>
      <c r="I734" s="195"/>
      <c r="J734" s="196"/>
      <c r="K734" s="195"/>
    </row>
    <row r="735" spans="1:28">
      <c r="D735" s="193"/>
      <c r="E735" s="194"/>
      <c r="F735" s="194"/>
      <c r="G735" s="194"/>
      <c r="H735" s="195"/>
      <c r="I735" s="195"/>
      <c r="J735" s="196"/>
      <c r="K735" s="195"/>
    </row>
    <row r="736" spans="1:28">
      <c r="D736" s="193"/>
      <c r="E736" s="194"/>
      <c r="F736" s="194"/>
      <c r="G736" s="194"/>
      <c r="H736" s="195"/>
      <c r="I736" s="195"/>
      <c r="J736" s="196"/>
      <c r="K736" s="195"/>
    </row>
    <row r="737" spans="1:28">
      <c r="D737" s="193"/>
      <c r="E737" s="194"/>
      <c r="F737" s="194"/>
      <c r="G737" s="194"/>
      <c r="H737" s="195"/>
      <c r="I737" s="195"/>
      <c r="J737" s="196"/>
      <c r="K737" s="195"/>
    </row>
    <row r="738" spans="1:28">
      <c r="D738" s="193"/>
      <c r="E738" s="194"/>
      <c r="F738" s="194"/>
      <c r="G738" s="194"/>
      <c r="H738" s="195"/>
      <c r="I738" s="195"/>
      <c r="J738" s="196"/>
      <c r="K738" s="195"/>
    </row>
    <row r="739" spans="1:28">
      <c r="D739" s="193"/>
      <c r="E739" s="194"/>
      <c r="F739" s="194"/>
      <c r="G739" s="194"/>
      <c r="H739" s="195"/>
      <c r="I739" s="195"/>
      <c r="J739" s="196"/>
      <c r="K739" s="195"/>
    </row>
    <row r="740" spans="1:28">
      <c r="D740" s="193"/>
      <c r="E740" s="194"/>
      <c r="F740" s="194"/>
      <c r="G740" s="194"/>
      <c r="H740" s="195"/>
      <c r="I740" s="195"/>
      <c r="J740" s="196"/>
      <c r="K740" s="195"/>
    </row>
    <row r="741" spans="1:28">
      <c r="D741" s="193"/>
      <c r="E741" s="194"/>
      <c r="F741" s="194"/>
      <c r="G741" s="194"/>
      <c r="H741" s="195"/>
      <c r="I741" s="195"/>
      <c r="J741" s="196"/>
      <c r="K741" s="195"/>
    </row>
    <row r="742" spans="1:28">
      <c r="D742" s="193"/>
      <c r="E742" s="194"/>
      <c r="F742" s="194"/>
      <c r="G742" s="194"/>
      <c r="H742" s="195"/>
      <c r="I742" s="195"/>
      <c r="J742" s="196"/>
      <c r="K742" s="195"/>
    </row>
    <row r="745" spans="1:28" s="159" customFormat="1" ht="13">
      <c r="A745" s="164"/>
      <c r="B745" s="165"/>
      <c r="C745" s="166"/>
      <c r="D745" s="167"/>
      <c r="E745" s="168"/>
      <c r="F745" s="168"/>
      <c r="G745" s="168"/>
      <c r="H745" s="169"/>
      <c r="I745" s="154"/>
      <c r="J745" s="152"/>
      <c r="K745" s="167"/>
      <c r="L745" s="170"/>
      <c r="M745" s="171"/>
      <c r="N745" s="171"/>
      <c r="O745" s="165"/>
      <c r="P745" s="165"/>
      <c r="Q745" s="167"/>
      <c r="R745" s="167"/>
      <c r="S745" s="167"/>
      <c r="T745" s="167"/>
      <c r="U745" s="170"/>
      <c r="V745" s="170"/>
      <c r="W745" s="172"/>
      <c r="X745" s="168"/>
      <c r="Y745" s="167"/>
    </row>
    <row r="746" spans="1:28" s="159" customFormat="1" ht="13">
      <c r="A746" s="149"/>
      <c r="B746" s="165"/>
      <c r="C746" s="166"/>
      <c r="D746" s="167"/>
      <c r="E746" s="168"/>
      <c r="F746" s="168"/>
      <c r="G746" s="168"/>
      <c r="H746" s="169"/>
      <c r="I746" s="154"/>
      <c r="J746" s="152"/>
      <c r="K746" s="167"/>
      <c r="L746" s="170"/>
      <c r="M746" s="171"/>
      <c r="N746" s="171"/>
      <c r="O746" s="165"/>
      <c r="P746" s="165"/>
      <c r="Q746" s="167"/>
      <c r="R746" s="167"/>
      <c r="S746" s="167"/>
      <c r="T746" s="167"/>
      <c r="U746" s="170"/>
      <c r="V746" s="170"/>
      <c r="W746" s="172"/>
      <c r="X746" s="168"/>
      <c r="Y746" s="167"/>
    </row>
    <row r="747" spans="1:28" s="159" customFormat="1" ht="13">
      <c r="A747" s="149"/>
      <c r="B747" s="157"/>
      <c r="C747" s="149"/>
      <c r="D747" s="151"/>
      <c r="E747" s="152"/>
      <c r="F747" s="152"/>
      <c r="G747" s="152"/>
      <c r="H747" s="153"/>
      <c r="I747" s="154"/>
      <c r="J747" s="152"/>
      <c r="K747" s="151"/>
      <c r="L747" s="155"/>
      <c r="M747" s="156"/>
      <c r="N747" s="156"/>
      <c r="O747" s="157"/>
      <c r="P747" s="157"/>
      <c r="Q747" s="151"/>
      <c r="R747" s="151"/>
      <c r="S747" s="151"/>
      <c r="T747" s="151"/>
      <c r="U747" s="155"/>
      <c r="V747" s="155"/>
      <c r="W747" s="158"/>
      <c r="X747" s="152"/>
      <c r="Y747" s="151"/>
    </row>
    <row r="748" spans="1:28" s="159" customFormat="1">
      <c r="A748" s="149"/>
      <c r="B748" s="157"/>
      <c r="C748" s="157"/>
      <c r="D748" s="173"/>
      <c r="E748" s="156"/>
      <c r="F748" s="156"/>
      <c r="G748" s="174"/>
      <c r="H748" s="173"/>
      <c r="I748" s="156"/>
      <c r="J748" s="156"/>
      <c r="K748" s="175"/>
      <c r="L748" s="156"/>
      <c r="M748" s="176"/>
      <c r="N748" s="156"/>
      <c r="O748" s="157"/>
      <c r="P748" s="151"/>
      <c r="Q748" s="151"/>
      <c r="R748" s="175"/>
      <c r="S748" s="175"/>
      <c r="T748" s="175"/>
      <c r="U748" s="173"/>
      <c r="V748" s="158"/>
      <c r="W748" s="173"/>
      <c r="X748" s="173"/>
      <c r="Y748" s="175"/>
      <c r="Z748" s="177"/>
      <c r="AA748" s="177"/>
      <c r="AB748" s="152"/>
    </row>
    <row r="749" spans="1:28" s="159" customFormat="1">
      <c r="A749" s="149"/>
      <c r="B749" s="157"/>
      <c r="C749" s="157"/>
      <c r="D749" s="173"/>
      <c r="E749" s="156"/>
      <c r="F749" s="156"/>
      <c r="G749" s="156"/>
      <c r="H749" s="173"/>
      <c r="I749" s="156"/>
      <c r="J749" s="156"/>
      <c r="K749" s="175"/>
      <c r="L749" s="178"/>
      <c r="M749" s="247"/>
      <c r="N749" s="156"/>
      <c r="O749" s="248"/>
      <c r="P749" s="173"/>
      <c r="Q749" s="247"/>
      <c r="R749" s="173"/>
      <c r="S749" s="247"/>
      <c r="T749" s="175"/>
      <c r="U749" s="247"/>
      <c r="V749" s="158"/>
      <c r="W749" s="247"/>
      <c r="Y749" s="179"/>
      <c r="AA749" s="180"/>
    </row>
    <row r="750" spans="1:28" s="159" customFormat="1">
      <c r="A750" s="149"/>
      <c r="B750" s="157"/>
      <c r="C750" s="157"/>
      <c r="D750" s="173"/>
      <c r="E750" s="156"/>
      <c r="F750" s="156"/>
      <c r="G750" s="174"/>
      <c r="H750" s="156"/>
      <c r="I750" s="173"/>
      <c r="J750" s="156"/>
      <c r="K750" s="175"/>
      <c r="L750" s="178"/>
      <c r="M750" s="247"/>
      <c r="N750" s="156"/>
      <c r="O750" s="248"/>
      <c r="P750" s="173"/>
      <c r="Q750" s="247"/>
      <c r="R750" s="173"/>
      <c r="S750" s="247"/>
      <c r="T750" s="175"/>
      <c r="U750" s="247"/>
      <c r="V750" s="181"/>
      <c r="W750" s="247"/>
      <c r="X750" s="182"/>
      <c r="Y750" s="183"/>
      <c r="AA750" s="180"/>
    </row>
    <row r="751" spans="1:28" s="190" customFormat="1" ht="13">
      <c r="A751" s="184"/>
      <c r="B751" s="184"/>
      <c r="C751" s="185"/>
      <c r="D751" s="185"/>
      <c r="E751" s="185"/>
      <c r="F751" s="185"/>
      <c r="G751" s="185"/>
      <c r="H751" s="185"/>
      <c r="I751" s="185"/>
      <c r="J751" s="186"/>
      <c r="K751" s="187"/>
      <c r="L751" s="188"/>
      <c r="M751" s="188"/>
      <c r="N751" s="186"/>
      <c r="O751" s="184"/>
      <c r="P751" s="185"/>
      <c r="Q751" s="185"/>
      <c r="R751" s="185"/>
      <c r="S751" s="185"/>
      <c r="T751" s="187"/>
      <c r="U751" s="187"/>
      <c r="V751" s="185"/>
      <c r="W751" s="189"/>
      <c r="Y751" s="191"/>
      <c r="AA751" s="189"/>
      <c r="AB751" s="186"/>
    </row>
    <row r="752" spans="1:28">
      <c r="D752" s="193"/>
      <c r="E752" s="197"/>
      <c r="F752" s="197"/>
      <c r="G752" s="197"/>
      <c r="H752" s="195"/>
      <c r="I752" s="195"/>
      <c r="J752" s="196"/>
      <c r="K752" s="195"/>
    </row>
    <row r="755" spans="1:28" s="159" customFormat="1" ht="13">
      <c r="A755" s="164"/>
      <c r="B755" s="165"/>
      <c r="C755" s="166"/>
      <c r="D755" s="167"/>
      <c r="E755" s="168"/>
      <c r="F755" s="168"/>
      <c r="G755" s="168"/>
      <c r="H755" s="169"/>
      <c r="I755" s="154"/>
      <c r="J755" s="152"/>
      <c r="K755" s="167"/>
      <c r="L755" s="170"/>
      <c r="M755" s="171"/>
      <c r="N755" s="171"/>
      <c r="O755" s="165"/>
      <c r="P755" s="165"/>
      <c r="Q755" s="167"/>
      <c r="R755" s="167"/>
      <c r="S755" s="167"/>
      <c r="T755" s="167"/>
      <c r="U755" s="170"/>
      <c r="V755" s="170"/>
      <c r="W755" s="172"/>
      <c r="X755" s="168"/>
      <c r="Y755" s="167"/>
    </row>
    <row r="756" spans="1:28" s="159" customFormat="1" ht="13">
      <c r="A756" s="149"/>
      <c r="B756" s="165"/>
      <c r="C756" s="166"/>
      <c r="D756" s="167"/>
      <c r="E756" s="168"/>
      <c r="F756" s="168"/>
      <c r="G756" s="168"/>
      <c r="H756" s="169"/>
      <c r="I756" s="154"/>
      <c r="J756" s="152"/>
      <c r="K756" s="167"/>
      <c r="L756" s="170"/>
      <c r="M756" s="171"/>
      <c r="N756" s="171"/>
      <c r="O756" s="165"/>
      <c r="P756" s="165"/>
      <c r="Q756" s="167"/>
      <c r="R756" s="167"/>
      <c r="S756" s="167"/>
      <c r="T756" s="167"/>
      <c r="U756" s="170"/>
      <c r="V756" s="170"/>
      <c r="W756" s="172"/>
      <c r="X756" s="168"/>
      <c r="Y756" s="167"/>
    </row>
    <row r="757" spans="1:28" s="159" customFormat="1" ht="13">
      <c r="A757" s="149"/>
      <c r="B757" s="157"/>
      <c r="C757" s="149"/>
      <c r="D757" s="151"/>
      <c r="E757" s="152"/>
      <c r="F757" s="152"/>
      <c r="G757" s="152"/>
      <c r="H757" s="153"/>
      <c r="I757" s="154"/>
      <c r="J757" s="152"/>
      <c r="K757" s="151"/>
      <c r="L757" s="155"/>
      <c r="M757" s="156"/>
      <c r="N757" s="156"/>
      <c r="O757" s="157"/>
      <c r="P757" s="157"/>
      <c r="Q757" s="151"/>
      <c r="R757" s="151"/>
      <c r="S757" s="151"/>
      <c r="T757" s="151"/>
      <c r="U757" s="155"/>
      <c r="V757" s="155"/>
      <c r="W757" s="158"/>
      <c r="X757" s="152"/>
      <c r="Y757" s="151"/>
    </row>
    <row r="758" spans="1:28" s="159" customFormat="1">
      <c r="A758" s="149"/>
      <c r="B758" s="157"/>
      <c r="C758" s="157"/>
      <c r="D758" s="173"/>
      <c r="E758" s="156"/>
      <c r="F758" s="156"/>
      <c r="G758" s="174"/>
      <c r="H758" s="173"/>
      <c r="I758" s="156"/>
      <c r="J758" s="156"/>
      <c r="K758" s="175"/>
      <c r="L758" s="156"/>
      <c r="M758" s="176"/>
      <c r="N758" s="156"/>
      <c r="O758" s="157"/>
      <c r="P758" s="151"/>
      <c r="Q758" s="151"/>
      <c r="R758" s="175"/>
      <c r="S758" s="175"/>
      <c r="T758" s="175"/>
      <c r="U758" s="173"/>
      <c r="V758" s="158"/>
      <c r="W758" s="173"/>
      <c r="X758" s="173"/>
      <c r="Y758" s="175"/>
      <c r="Z758" s="177"/>
      <c r="AA758" s="177"/>
      <c r="AB758" s="152"/>
    </row>
    <row r="759" spans="1:28" s="159" customFormat="1">
      <c r="A759" s="149"/>
      <c r="B759" s="157"/>
      <c r="C759" s="157"/>
      <c r="D759" s="173"/>
      <c r="E759" s="156"/>
      <c r="F759" s="156"/>
      <c r="G759" s="156"/>
      <c r="H759" s="173"/>
      <c r="I759" s="156"/>
      <c r="J759" s="156"/>
      <c r="K759" s="175"/>
      <c r="L759" s="178"/>
      <c r="M759" s="247"/>
      <c r="N759" s="156"/>
      <c r="O759" s="248"/>
      <c r="P759" s="173"/>
      <c r="Q759" s="247"/>
      <c r="R759" s="173"/>
      <c r="S759" s="247"/>
      <c r="T759" s="175"/>
      <c r="U759" s="247"/>
      <c r="V759" s="158"/>
      <c r="W759" s="247"/>
      <c r="Y759" s="179"/>
      <c r="AA759" s="180"/>
    </row>
    <row r="760" spans="1:28" s="159" customFormat="1">
      <c r="A760" s="149"/>
      <c r="B760" s="157"/>
      <c r="C760" s="157"/>
      <c r="D760" s="173"/>
      <c r="E760" s="156"/>
      <c r="F760" s="156"/>
      <c r="G760" s="174"/>
      <c r="H760" s="156"/>
      <c r="I760" s="173"/>
      <c r="J760" s="156"/>
      <c r="K760" s="175"/>
      <c r="L760" s="178"/>
      <c r="M760" s="247"/>
      <c r="N760" s="156"/>
      <c r="O760" s="248"/>
      <c r="P760" s="173"/>
      <c r="Q760" s="247"/>
      <c r="R760" s="173"/>
      <c r="S760" s="247"/>
      <c r="T760" s="175"/>
      <c r="U760" s="247"/>
      <c r="V760" s="181"/>
      <c r="W760" s="247"/>
      <c r="X760" s="182"/>
      <c r="Y760" s="183"/>
      <c r="AA760" s="180"/>
    </row>
    <row r="761" spans="1:28" s="190" customFormat="1" ht="13">
      <c r="A761" s="184"/>
      <c r="B761" s="184"/>
      <c r="C761" s="185"/>
      <c r="D761" s="185"/>
      <c r="E761" s="185"/>
      <c r="F761" s="185"/>
      <c r="G761" s="185"/>
      <c r="H761" s="185"/>
      <c r="I761" s="185"/>
      <c r="J761" s="186"/>
      <c r="K761" s="187"/>
      <c r="L761" s="188"/>
      <c r="M761" s="188"/>
      <c r="N761" s="186"/>
      <c r="O761" s="184"/>
      <c r="P761" s="185"/>
      <c r="Q761" s="185"/>
      <c r="R761" s="185"/>
      <c r="S761" s="185"/>
      <c r="T761" s="187"/>
      <c r="U761" s="187"/>
      <c r="V761" s="185"/>
      <c r="W761" s="189"/>
      <c r="Y761" s="191"/>
      <c r="AA761" s="189"/>
      <c r="AB761" s="186"/>
    </row>
    <row r="762" spans="1:28">
      <c r="D762" s="193"/>
      <c r="E762" s="194"/>
      <c r="F762" s="194"/>
      <c r="G762" s="194"/>
      <c r="H762" s="195"/>
      <c r="I762" s="195"/>
      <c r="J762" s="196"/>
      <c r="K762" s="195"/>
    </row>
    <row r="763" spans="1:28">
      <c r="D763" s="193"/>
      <c r="E763" s="194"/>
      <c r="F763" s="194"/>
      <c r="G763" s="194"/>
      <c r="H763" s="195"/>
      <c r="I763" s="195"/>
      <c r="J763" s="196"/>
      <c r="K763" s="195"/>
    </row>
    <row r="764" spans="1:28">
      <c r="D764" s="193"/>
      <c r="E764" s="194"/>
      <c r="F764" s="194"/>
      <c r="G764" s="194"/>
      <c r="H764" s="195"/>
      <c r="I764" s="195"/>
      <c r="J764" s="196"/>
      <c r="K764" s="195"/>
    </row>
    <row r="765" spans="1:28">
      <c r="D765" s="193"/>
      <c r="E765" s="194"/>
      <c r="F765" s="194"/>
      <c r="G765" s="194"/>
      <c r="H765" s="195"/>
      <c r="I765" s="195"/>
      <c r="J765" s="196"/>
      <c r="K765" s="195"/>
    </row>
    <row r="766" spans="1:28">
      <c r="D766" s="193"/>
      <c r="E766" s="194"/>
      <c r="F766" s="194"/>
      <c r="G766" s="194"/>
      <c r="H766" s="195"/>
      <c r="I766" s="195"/>
      <c r="J766" s="196"/>
      <c r="K766" s="195"/>
    </row>
    <row r="767" spans="1:28">
      <c r="D767" s="193"/>
      <c r="E767" s="194"/>
      <c r="F767" s="194"/>
      <c r="G767" s="194"/>
      <c r="H767" s="195"/>
      <c r="I767" s="195"/>
      <c r="J767" s="196"/>
      <c r="K767" s="195"/>
    </row>
    <row r="768" spans="1:28">
      <c r="D768" s="193"/>
      <c r="E768" s="194"/>
      <c r="F768" s="194"/>
      <c r="G768" s="194"/>
      <c r="H768" s="195"/>
      <c r="I768" s="195"/>
      <c r="J768" s="196"/>
      <c r="K768" s="195"/>
    </row>
    <row r="769" spans="1:25">
      <c r="D769" s="193"/>
      <c r="E769" s="194"/>
      <c r="F769" s="194"/>
      <c r="G769" s="194"/>
      <c r="H769" s="195"/>
      <c r="I769" s="195"/>
      <c r="J769" s="196"/>
      <c r="K769" s="195"/>
    </row>
    <row r="770" spans="1:25">
      <c r="D770" s="193"/>
      <c r="E770" s="194"/>
      <c r="F770" s="194"/>
      <c r="G770" s="194"/>
      <c r="H770" s="195"/>
      <c r="I770" s="195"/>
      <c r="J770" s="196"/>
      <c r="K770" s="195"/>
    </row>
    <row r="771" spans="1:25">
      <c r="D771" s="193"/>
      <c r="E771" s="194"/>
      <c r="F771" s="194"/>
      <c r="G771" s="194"/>
      <c r="H771" s="195"/>
      <c r="I771" s="195"/>
      <c r="J771" s="196"/>
      <c r="K771" s="195"/>
    </row>
    <row r="772" spans="1:25">
      <c r="D772" s="193"/>
      <c r="E772" s="194"/>
      <c r="F772" s="194"/>
      <c r="G772" s="194"/>
      <c r="H772" s="195"/>
      <c r="I772" s="195"/>
      <c r="J772" s="196"/>
      <c r="K772" s="195"/>
    </row>
    <row r="773" spans="1:25">
      <c r="D773" s="193"/>
      <c r="E773" s="194"/>
      <c r="F773" s="194"/>
      <c r="G773" s="194"/>
      <c r="H773" s="195"/>
      <c r="I773" s="195"/>
      <c r="J773" s="196"/>
      <c r="K773" s="195"/>
    </row>
    <row r="774" spans="1:25">
      <c r="D774" s="193"/>
      <c r="E774" s="194"/>
      <c r="F774" s="194"/>
      <c r="G774" s="194"/>
      <c r="H774" s="195"/>
      <c r="I774" s="195"/>
      <c r="J774" s="196"/>
      <c r="K774" s="195"/>
    </row>
    <row r="775" spans="1:25">
      <c r="D775" s="193"/>
      <c r="E775" s="194"/>
      <c r="F775" s="194"/>
      <c r="G775" s="194"/>
      <c r="H775" s="195"/>
      <c r="I775" s="195"/>
      <c r="J775" s="196"/>
      <c r="K775" s="195"/>
    </row>
    <row r="776" spans="1:25">
      <c r="D776" s="193"/>
      <c r="E776" s="194"/>
      <c r="F776" s="194"/>
      <c r="G776" s="194"/>
      <c r="H776" s="195"/>
      <c r="I776" s="195"/>
      <c r="J776" s="196"/>
      <c r="K776" s="195"/>
    </row>
    <row r="777" spans="1:25">
      <c r="D777" s="193"/>
      <c r="E777" s="194"/>
      <c r="F777" s="194"/>
      <c r="G777" s="194"/>
      <c r="H777" s="195"/>
      <c r="I777" s="195"/>
      <c r="J777" s="196"/>
      <c r="K777" s="195"/>
    </row>
    <row r="778" spans="1:25">
      <c r="D778" s="193"/>
      <c r="E778" s="194"/>
      <c r="F778" s="194"/>
      <c r="G778" s="194"/>
      <c r="H778" s="195"/>
      <c r="I778" s="195"/>
      <c r="J778" s="196"/>
      <c r="K778" s="195"/>
    </row>
    <row r="779" spans="1:25">
      <c r="D779" s="193"/>
      <c r="E779" s="194"/>
      <c r="F779" s="194"/>
      <c r="G779" s="194"/>
      <c r="H779" s="195"/>
      <c r="I779" s="195"/>
      <c r="J779" s="196"/>
      <c r="K779" s="195"/>
    </row>
    <row r="780" spans="1:25">
      <c r="D780" s="193"/>
      <c r="E780" s="194"/>
      <c r="F780" s="194"/>
      <c r="G780" s="194"/>
      <c r="H780" s="195"/>
      <c r="I780" s="195"/>
      <c r="J780" s="196"/>
      <c r="K780" s="195"/>
    </row>
    <row r="781" spans="1:25">
      <c r="D781" s="193"/>
      <c r="E781" s="194"/>
      <c r="F781" s="194"/>
      <c r="G781" s="194"/>
      <c r="H781" s="195"/>
      <c r="I781" s="195"/>
      <c r="J781" s="196"/>
      <c r="K781" s="195"/>
    </row>
    <row r="784" spans="1:25" s="159" customFormat="1" ht="13">
      <c r="A784" s="164"/>
      <c r="B784" s="165"/>
      <c r="C784" s="166"/>
      <c r="D784" s="167"/>
      <c r="E784" s="168"/>
      <c r="F784" s="168"/>
      <c r="G784" s="168"/>
      <c r="H784" s="169"/>
      <c r="I784" s="154"/>
      <c r="J784" s="152"/>
      <c r="K784" s="167"/>
      <c r="L784" s="170"/>
      <c r="M784" s="171"/>
      <c r="N784" s="171"/>
      <c r="O784" s="165"/>
      <c r="P784" s="165"/>
      <c r="Q784" s="167"/>
      <c r="R784" s="167"/>
      <c r="S784" s="167"/>
      <c r="T784" s="167"/>
      <c r="U784" s="170"/>
      <c r="V784" s="170"/>
      <c r="W784" s="172"/>
      <c r="X784" s="168"/>
      <c r="Y784" s="167"/>
    </row>
    <row r="785" spans="1:28" s="159" customFormat="1" ht="13">
      <c r="A785" s="149"/>
      <c r="B785" s="165"/>
      <c r="C785" s="166"/>
      <c r="D785" s="167"/>
      <c r="E785" s="168"/>
      <c r="F785" s="168"/>
      <c r="G785" s="168"/>
      <c r="H785" s="169"/>
      <c r="I785" s="154"/>
      <c r="J785" s="152"/>
      <c r="K785" s="167"/>
      <c r="L785" s="170"/>
      <c r="M785" s="171"/>
      <c r="N785" s="171"/>
      <c r="O785" s="165"/>
      <c r="P785" s="165"/>
      <c r="Q785" s="167"/>
      <c r="R785" s="167"/>
      <c r="S785" s="167"/>
      <c r="T785" s="167"/>
      <c r="U785" s="170"/>
      <c r="V785" s="170"/>
      <c r="W785" s="172"/>
      <c r="X785" s="168"/>
      <c r="Y785" s="167"/>
    </row>
    <row r="786" spans="1:28" s="159" customFormat="1" ht="13">
      <c r="A786" s="149"/>
      <c r="B786" s="157"/>
      <c r="C786" s="149"/>
      <c r="D786" s="151"/>
      <c r="E786" s="152"/>
      <c r="F786" s="152"/>
      <c r="G786" s="152"/>
      <c r="H786" s="153"/>
      <c r="I786" s="154"/>
      <c r="J786" s="152"/>
      <c r="K786" s="151"/>
      <c r="L786" s="155"/>
      <c r="M786" s="156"/>
      <c r="N786" s="156"/>
      <c r="O786" s="157"/>
      <c r="P786" s="157"/>
      <c r="Q786" s="151"/>
      <c r="R786" s="151"/>
      <c r="S786" s="151"/>
      <c r="T786" s="151"/>
      <c r="U786" s="155"/>
      <c r="V786" s="155"/>
      <c r="W786" s="158"/>
      <c r="X786" s="152"/>
      <c r="Y786" s="151"/>
    </row>
    <row r="787" spans="1:28" s="159" customFormat="1">
      <c r="A787" s="149"/>
      <c r="B787" s="157"/>
      <c r="C787" s="157"/>
      <c r="D787" s="173"/>
      <c r="E787" s="156"/>
      <c r="F787" s="156"/>
      <c r="G787" s="174"/>
      <c r="H787" s="173"/>
      <c r="I787" s="156"/>
      <c r="J787" s="156"/>
      <c r="K787" s="175"/>
      <c r="L787" s="156"/>
      <c r="M787" s="176"/>
      <c r="N787" s="156"/>
      <c r="O787" s="157"/>
      <c r="P787" s="151"/>
      <c r="Q787" s="151"/>
      <c r="R787" s="175"/>
      <c r="S787" s="175"/>
      <c r="T787" s="175"/>
      <c r="U787" s="173"/>
      <c r="V787" s="158"/>
      <c r="W787" s="173"/>
      <c r="X787" s="173"/>
      <c r="Y787" s="175"/>
      <c r="Z787" s="177"/>
      <c r="AA787" s="177"/>
      <c r="AB787" s="152"/>
    </row>
    <row r="788" spans="1:28" s="159" customFormat="1">
      <c r="A788" s="149"/>
      <c r="B788" s="157"/>
      <c r="C788" s="157"/>
      <c r="D788" s="173"/>
      <c r="E788" s="156"/>
      <c r="F788" s="156"/>
      <c r="G788" s="156"/>
      <c r="H788" s="173"/>
      <c r="I788" s="156"/>
      <c r="J788" s="156"/>
      <c r="K788" s="175"/>
      <c r="L788" s="178"/>
      <c r="M788" s="247"/>
      <c r="N788" s="156"/>
      <c r="O788" s="248"/>
      <c r="P788" s="173"/>
      <c r="Q788" s="247"/>
      <c r="R788" s="173"/>
      <c r="S788" s="247"/>
      <c r="T788" s="175"/>
      <c r="U788" s="247"/>
      <c r="V788" s="158"/>
      <c r="W788" s="247"/>
      <c r="Y788" s="179"/>
      <c r="AA788" s="180"/>
    </row>
    <row r="789" spans="1:28" s="159" customFormat="1">
      <c r="A789" s="149"/>
      <c r="B789" s="157"/>
      <c r="C789" s="157"/>
      <c r="D789" s="173"/>
      <c r="E789" s="156"/>
      <c r="F789" s="156"/>
      <c r="G789" s="174"/>
      <c r="H789" s="156"/>
      <c r="I789" s="173"/>
      <c r="J789" s="156"/>
      <c r="K789" s="175"/>
      <c r="L789" s="178"/>
      <c r="M789" s="247"/>
      <c r="N789" s="156"/>
      <c r="O789" s="248"/>
      <c r="P789" s="173"/>
      <c r="Q789" s="247"/>
      <c r="R789" s="173"/>
      <c r="S789" s="247"/>
      <c r="T789" s="175"/>
      <c r="U789" s="247"/>
      <c r="V789" s="181"/>
      <c r="W789" s="247"/>
      <c r="X789" s="182"/>
      <c r="Y789" s="183"/>
      <c r="AA789" s="180"/>
    </row>
    <row r="790" spans="1:28" s="190" customFormat="1" ht="13">
      <c r="A790" s="184"/>
      <c r="B790" s="184"/>
      <c r="C790" s="185"/>
      <c r="D790" s="185"/>
      <c r="E790" s="185"/>
      <c r="F790" s="185"/>
      <c r="G790" s="185"/>
      <c r="H790" s="185"/>
      <c r="I790" s="185"/>
      <c r="J790" s="186"/>
      <c r="K790" s="187"/>
      <c r="L790" s="188"/>
      <c r="M790" s="188"/>
      <c r="N790" s="186"/>
      <c r="O790" s="184"/>
      <c r="P790" s="185"/>
      <c r="Q790" s="185"/>
      <c r="R790" s="185"/>
      <c r="S790" s="185"/>
      <c r="T790" s="187"/>
      <c r="U790" s="187"/>
      <c r="V790" s="185"/>
      <c r="W790" s="189"/>
      <c r="Y790" s="191"/>
      <c r="AA790" s="189"/>
      <c r="AB790" s="186"/>
    </row>
    <row r="791" spans="1:28">
      <c r="D791" s="193"/>
      <c r="E791" s="197"/>
      <c r="F791" s="197"/>
      <c r="G791" s="197"/>
      <c r="H791" s="195"/>
      <c r="I791" s="195"/>
      <c r="J791" s="196"/>
      <c r="K791" s="195"/>
    </row>
    <row r="794" spans="1:28" s="159" customFormat="1" ht="13">
      <c r="A794" s="160"/>
      <c r="B794" s="165"/>
      <c r="C794" s="166"/>
      <c r="D794" s="167"/>
      <c r="E794" s="168"/>
      <c r="F794" s="168"/>
      <c r="G794" s="168"/>
      <c r="H794" s="169"/>
      <c r="I794" s="154"/>
      <c r="J794" s="152"/>
      <c r="K794" s="167"/>
      <c r="L794" s="170"/>
      <c r="M794" s="171"/>
      <c r="N794" s="171"/>
      <c r="O794" s="165"/>
      <c r="P794" s="165"/>
      <c r="Q794" s="167"/>
      <c r="R794" s="167"/>
      <c r="S794" s="167"/>
      <c r="T794" s="167"/>
      <c r="U794" s="170"/>
      <c r="V794" s="170"/>
      <c r="W794" s="172"/>
      <c r="X794" s="168"/>
      <c r="Y794" s="167"/>
    </row>
    <row r="795" spans="1:28" s="159" customFormat="1" ht="13">
      <c r="A795" s="149"/>
      <c r="B795" s="165"/>
      <c r="C795" s="166"/>
      <c r="D795" s="167"/>
      <c r="E795" s="168"/>
      <c r="F795" s="168"/>
      <c r="G795" s="168"/>
      <c r="H795" s="169"/>
      <c r="I795" s="154"/>
      <c r="J795" s="152"/>
      <c r="K795" s="167"/>
      <c r="L795" s="170"/>
      <c r="M795" s="171"/>
      <c r="N795" s="171"/>
      <c r="O795" s="165"/>
      <c r="P795" s="165"/>
      <c r="Q795" s="167"/>
      <c r="R795" s="167"/>
      <c r="S795" s="167"/>
      <c r="T795" s="167"/>
      <c r="U795" s="170"/>
      <c r="V795" s="170"/>
      <c r="W795" s="172"/>
      <c r="X795" s="168"/>
      <c r="Y795" s="167"/>
    </row>
    <row r="796" spans="1:28" s="159" customFormat="1" ht="13">
      <c r="A796" s="149"/>
      <c r="B796" s="165"/>
      <c r="C796" s="166"/>
      <c r="D796" s="167"/>
      <c r="E796" s="168"/>
      <c r="F796" s="168"/>
      <c r="G796" s="168"/>
      <c r="H796" s="169"/>
      <c r="I796" s="154"/>
      <c r="J796" s="152"/>
      <c r="K796" s="167"/>
      <c r="L796" s="170"/>
      <c r="M796" s="171"/>
      <c r="N796" s="171"/>
      <c r="O796" s="165"/>
      <c r="P796" s="165"/>
      <c r="Q796" s="167"/>
      <c r="R796" s="167"/>
      <c r="S796" s="167"/>
      <c r="T796" s="167"/>
      <c r="U796" s="170"/>
      <c r="V796" s="170"/>
      <c r="W796" s="172"/>
      <c r="X796" s="168"/>
      <c r="Y796" s="167"/>
    </row>
    <row r="797" spans="1:28" s="159" customFormat="1" ht="13">
      <c r="A797" s="149"/>
      <c r="B797" s="157"/>
      <c r="C797" s="149"/>
      <c r="D797" s="151"/>
      <c r="E797" s="152"/>
      <c r="F797" s="152"/>
      <c r="G797" s="152"/>
      <c r="H797" s="153"/>
      <c r="I797" s="154"/>
      <c r="J797" s="152"/>
      <c r="K797" s="151"/>
      <c r="L797" s="155"/>
      <c r="M797" s="156"/>
      <c r="N797" s="156"/>
      <c r="O797" s="157"/>
      <c r="P797" s="157"/>
      <c r="Q797" s="151"/>
      <c r="R797" s="151"/>
      <c r="S797" s="151"/>
      <c r="T797" s="151"/>
      <c r="U797" s="155"/>
      <c r="V797" s="155"/>
      <c r="W797" s="158"/>
      <c r="X797" s="152"/>
      <c r="Y797" s="151"/>
    </row>
    <row r="798" spans="1:28" s="159" customFormat="1">
      <c r="A798" s="149"/>
      <c r="B798" s="157"/>
      <c r="C798" s="157"/>
      <c r="D798" s="173"/>
      <c r="E798" s="156"/>
      <c r="F798" s="156"/>
      <c r="G798" s="174"/>
      <c r="H798" s="173"/>
      <c r="I798" s="156"/>
      <c r="J798" s="156"/>
      <c r="K798" s="175"/>
      <c r="L798" s="156"/>
      <c r="M798" s="176"/>
      <c r="N798" s="156"/>
      <c r="O798" s="157"/>
      <c r="P798" s="151"/>
      <c r="Q798" s="151"/>
      <c r="R798" s="175"/>
      <c r="S798" s="175"/>
      <c r="T798" s="175"/>
      <c r="U798" s="173"/>
      <c r="V798" s="158"/>
      <c r="W798" s="173"/>
      <c r="X798" s="173"/>
      <c r="Y798" s="175"/>
      <c r="Z798" s="177"/>
      <c r="AA798" s="177"/>
      <c r="AB798" s="152"/>
    </row>
    <row r="799" spans="1:28" s="159" customFormat="1">
      <c r="A799" s="149"/>
      <c r="B799" s="157"/>
      <c r="C799" s="157"/>
      <c r="D799" s="173"/>
      <c r="E799" s="156"/>
      <c r="F799" s="156"/>
      <c r="G799" s="156"/>
      <c r="H799" s="173"/>
      <c r="I799" s="156"/>
      <c r="J799" s="156"/>
      <c r="K799" s="175"/>
      <c r="L799" s="178"/>
      <c r="M799" s="247"/>
      <c r="N799" s="156"/>
      <c r="O799" s="248"/>
      <c r="P799" s="173"/>
      <c r="Q799" s="247"/>
      <c r="R799" s="173"/>
      <c r="S799" s="247"/>
      <c r="T799" s="175"/>
      <c r="U799" s="247"/>
      <c r="V799" s="158"/>
      <c r="W799" s="247"/>
      <c r="Y799" s="179"/>
      <c r="AA799" s="180"/>
    </row>
    <row r="800" spans="1:28" s="159" customFormat="1">
      <c r="A800" s="149"/>
      <c r="B800" s="157"/>
      <c r="C800" s="157"/>
      <c r="D800" s="173"/>
      <c r="E800" s="156"/>
      <c r="F800" s="156"/>
      <c r="G800" s="174"/>
      <c r="H800" s="156"/>
      <c r="I800" s="173"/>
      <c r="J800" s="156"/>
      <c r="K800" s="175"/>
      <c r="L800" s="178"/>
      <c r="M800" s="247"/>
      <c r="N800" s="156"/>
      <c r="O800" s="248"/>
      <c r="P800" s="173"/>
      <c r="Q800" s="247"/>
      <c r="R800" s="173"/>
      <c r="S800" s="247"/>
      <c r="T800" s="175"/>
      <c r="U800" s="247"/>
      <c r="V800" s="181"/>
      <c r="W800" s="247"/>
      <c r="X800" s="182"/>
      <c r="Y800" s="183"/>
      <c r="AA800" s="180"/>
    </row>
    <row r="801" spans="1:28" s="190" customFormat="1" ht="13">
      <c r="A801" s="184"/>
      <c r="B801" s="184"/>
      <c r="C801" s="185"/>
      <c r="D801" s="185"/>
      <c r="E801" s="185"/>
      <c r="F801" s="185"/>
      <c r="G801" s="185"/>
      <c r="H801" s="185"/>
      <c r="I801" s="185"/>
      <c r="J801" s="186"/>
      <c r="K801" s="187"/>
      <c r="L801" s="188"/>
      <c r="M801" s="188"/>
      <c r="N801" s="186"/>
      <c r="O801" s="184"/>
      <c r="P801" s="185"/>
      <c r="Q801" s="185"/>
      <c r="R801" s="185"/>
      <c r="S801" s="185"/>
      <c r="T801" s="187"/>
      <c r="U801" s="187"/>
      <c r="V801" s="185"/>
      <c r="W801" s="189"/>
      <c r="Y801" s="191"/>
      <c r="AA801" s="189"/>
      <c r="AB801" s="186"/>
    </row>
    <row r="802" spans="1:28">
      <c r="D802" s="193"/>
      <c r="E802" s="194"/>
      <c r="F802" s="194"/>
      <c r="G802" s="194"/>
      <c r="H802" s="195"/>
      <c r="I802" s="195"/>
      <c r="J802" s="196"/>
      <c r="K802" s="195"/>
    </row>
    <row r="803" spans="1:28">
      <c r="D803" s="193"/>
      <c r="E803" s="194"/>
      <c r="F803" s="194"/>
      <c r="G803" s="194"/>
      <c r="H803" s="195"/>
      <c r="I803" s="195"/>
      <c r="J803" s="196"/>
      <c r="K803" s="195"/>
    </row>
    <row r="804" spans="1:28">
      <c r="D804" s="193"/>
      <c r="E804" s="194"/>
      <c r="F804" s="194"/>
      <c r="G804" s="194"/>
      <c r="H804" s="195"/>
      <c r="I804" s="195"/>
      <c r="J804" s="196"/>
      <c r="K804" s="195"/>
    </row>
    <row r="805" spans="1:28">
      <c r="D805" s="193"/>
      <c r="E805" s="194"/>
      <c r="F805" s="194"/>
      <c r="G805" s="194"/>
      <c r="H805" s="195"/>
      <c r="I805" s="195"/>
      <c r="J805" s="196"/>
      <c r="K805" s="195"/>
    </row>
    <row r="806" spans="1:28">
      <c r="D806" s="193"/>
      <c r="E806" s="194"/>
      <c r="F806" s="194"/>
      <c r="G806" s="194"/>
      <c r="H806" s="195"/>
      <c r="I806" s="195"/>
      <c r="J806" s="196"/>
      <c r="K806" s="195"/>
    </row>
    <row r="807" spans="1:28">
      <c r="D807" s="193"/>
      <c r="E807" s="194"/>
      <c r="F807" s="194"/>
      <c r="G807" s="194"/>
      <c r="H807" s="195"/>
      <c r="I807" s="195"/>
      <c r="J807" s="196"/>
      <c r="K807" s="195"/>
    </row>
    <row r="808" spans="1:28">
      <c r="D808" s="193"/>
      <c r="E808" s="194"/>
      <c r="F808" s="194"/>
      <c r="G808" s="194"/>
      <c r="H808" s="195"/>
      <c r="I808" s="195"/>
      <c r="J808" s="196"/>
      <c r="K808" s="195"/>
    </row>
    <row r="809" spans="1:28">
      <c r="D809" s="193"/>
      <c r="E809" s="194"/>
      <c r="F809" s="194"/>
      <c r="G809" s="194"/>
      <c r="H809" s="195"/>
      <c r="I809" s="195"/>
      <c r="J809" s="196"/>
      <c r="K809" s="195"/>
    </row>
    <row r="810" spans="1:28">
      <c r="D810" s="193"/>
      <c r="E810" s="194"/>
      <c r="F810" s="194"/>
      <c r="G810" s="194"/>
      <c r="H810" s="195"/>
      <c r="I810" s="195"/>
      <c r="J810" s="196"/>
      <c r="K810" s="195"/>
    </row>
    <row r="811" spans="1:28">
      <c r="D811" s="193"/>
      <c r="E811" s="194"/>
      <c r="F811" s="194"/>
      <c r="G811" s="194"/>
      <c r="H811" s="195"/>
      <c r="I811" s="195"/>
      <c r="J811" s="196"/>
      <c r="K811" s="195"/>
    </row>
    <row r="812" spans="1:28">
      <c r="D812" s="193"/>
      <c r="E812" s="194"/>
      <c r="F812" s="194"/>
      <c r="G812" s="194"/>
      <c r="H812" s="195"/>
      <c r="I812" s="195"/>
      <c r="J812" s="196"/>
      <c r="K812" s="195"/>
    </row>
    <row r="813" spans="1:28">
      <c r="D813" s="193"/>
      <c r="E813" s="194"/>
      <c r="F813" s="194"/>
      <c r="G813" s="194"/>
      <c r="H813" s="195"/>
      <c r="I813" s="195"/>
      <c r="J813" s="196"/>
      <c r="K813" s="195"/>
    </row>
    <row r="816" spans="1:28" s="159" customFormat="1" ht="13">
      <c r="A816" s="164"/>
      <c r="B816" s="165"/>
      <c r="C816" s="166"/>
      <c r="D816" s="167"/>
      <c r="E816" s="168"/>
      <c r="F816" s="168"/>
      <c r="G816" s="168"/>
      <c r="H816" s="169"/>
      <c r="I816" s="154"/>
      <c r="J816" s="152"/>
      <c r="K816" s="167"/>
      <c r="L816" s="170"/>
      <c r="M816" s="171"/>
      <c r="N816" s="171"/>
      <c r="O816" s="165"/>
      <c r="P816" s="165"/>
      <c r="Q816" s="167"/>
      <c r="R816" s="167"/>
      <c r="S816" s="167"/>
      <c r="T816" s="167"/>
      <c r="U816" s="170"/>
      <c r="V816" s="170"/>
      <c r="W816" s="172"/>
      <c r="X816" s="168"/>
      <c r="Y816" s="167"/>
    </row>
    <row r="817" spans="1:28" s="159" customFormat="1" ht="13">
      <c r="A817" s="149"/>
      <c r="B817" s="165"/>
      <c r="C817" s="166"/>
      <c r="D817" s="167"/>
      <c r="E817" s="168"/>
      <c r="F817" s="168"/>
      <c r="G817" s="168"/>
      <c r="H817" s="169"/>
      <c r="I817" s="154"/>
      <c r="J817" s="152"/>
      <c r="K817" s="167"/>
      <c r="L817" s="170"/>
      <c r="M817" s="171"/>
      <c r="N817" s="171"/>
      <c r="O817" s="165"/>
      <c r="P817" s="165"/>
      <c r="Q817" s="167"/>
      <c r="R817" s="167"/>
      <c r="S817" s="167"/>
      <c r="T817" s="167"/>
      <c r="U817" s="170"/>
      <c r="V817" s="170"/>
      <c r="W817" s="172"/>
      <c r="X817" s="168"/>
      <c r="Y817" s="167"/>
    </row>
    <row r="818" spans="1:28" s="159" customFormat="1" ht="13">
      <c r="A818" s="149"/>
      <c r="B818" s="165"/>
      <c r="C818" s="166"/>
      <c r="D818" s="167"/>
      <c r="E818" s="168"/>
      <c r="F818" s="168"/>
      <c r="G818" s="168"/>
      <c r="H818" s="169"/>
      <c r="I818" s="154"/>
      <c r="J818" s="152"/>
      <c r="K818" s="167"/>
      <c r="L818" s="170"/>
      <c r="M818" s="171"/>
      <c r="N818" s="171"/>
      <c r="O818" s="165"/>
      <c r="P818" s="165"/>
      <c r="Q818" s="167"/>
      <c r="R818" s="167"/>
      <c r="S818" s="167"/>
      <c r="T818" s="167"/>
      <c r="U818" s="170"/>
      <c r="V818" s="170"/>
      <c r="W818" s="172"/>
      <c r="X818" s="168"/>
      <c r="Y818" s="167"/>
    </row>
    <row r="819" spans="1:28" s="159" customFormat="1" ht="13">
      <c r="A819" s="149"/>
      <c r="B819" s="157"/>
      <c r="C819" s="149"/>
      <c r="D819" s="151"/>
      <c r="E819" s="152"/>
      <c r="F819" s="152"/>
      <c r="G819" s="152"/>
      <c r="H819" s="153"/>
      <c r="I819" s="154"/>
      <c r="J819" s="152"/>
      <c r="K819" s="151"/>
      <c r="L819" s="155"/>
      <c r="M819" s="156"/>
      <c r="N819" s="156"/>
      <c r="O819" s="157"/>
      <c r="P819" s="157"/>
      <c r="Q819" s="151"/>
      <c r="R819" s="151"/>
      <c r="S819" s="151"/>
      <c r="T819" s="151"/>
      <c r="U819" s="155"/>
      <c r="V819" s="155"/>
      <c r="W819" s="158"/>
      <c r="X819" s="152"/>
      <c r="Y819" s="151"/>
    </row>
    <row r="820" spans="1:28" s="159" customFormat="1">
      <c r="A820" s="149"/>
      <c r="B820" s="157"/>
      <c r="C820" s="157"/>
      <c r="D820" s="173"/>
      <c r="E820" s="156"/>
      <c r="F820" s="156"/>
      <c r="G820" s="174"/>
      <c r="H820" s="173"/>
      <c r="I820" s="156"/>
      <c r="J820" s="156"/>
      <c r="K820" s="175"/>
      <c r="L820" s="156"/>
      <c r="M820" s="176"/>
      <c r="N820" s="156"/>
      <c r="O820" s="157"/>
      <c r="P820" s="151"/>
      <c r="Q820" s="151"/>
      <c r="R820" s="175"/>
      <c r="S820" s="175"/>
      <c r="T820" s="175"/>
      <c r="U820" s="173"/>
      <c r="V820" s="158"/>
      <c r="W820" s="173"/>
      <c r="X820" s="173"/>
      <c r="Y820" s="175"/>
      <c r="Z820" s="177"/>
      <c r="AA820" s="177"/>
      <c r="AB820" s="152"/>
    </row>
    <row r="821" spans="1:28" s="159" customFormat="1">
      <c r="A821" s="149"/>
      <c r="B821" s="157"/>
      <c r="C821" s="157"/>
      <c r="D821" s="173"/>
      <c r="E821" s="156"/>
      <c r="F821" s="156"/>
      <c r="G821" s="156"/>
      <c r="H821" s="173"/>
      <c r="I821" s="156"/>
      <c r="J821" s="156"/>
      <c r="K821" s="175"/>
      <c r="L821" s="178"/>
      <c r="M821" s="247"/>
      <c r="N821" s="156"/>
      <c r="O821" s="248"/>
      <c r="P821" s="173"/>
      <c r="Q821" s="247"/>
      <c r="R821" s="173"/>
      <c r="S821" s="247"/>
      <c r="T821" s="175"/>
      <c r="U821" s="247"/>
      <c r="V821" s="158"/>
      <c r="W821" s="247"/>
      <c r="Y821" s="179"/>
      <c r="AA821" s="180"/>
    </row>
    <row r="822" spans="1:28" s="159" customFormat="1">
      <c r="A822" s="149"/>
      <c r="B822" s="157"/>
      <c r="C822" s="157"/>
      <c r="D822" s="173"/>
      <c r="E822" s="156"/>
      <c r="F822" s="156"/>
      <c r="G822" s="174"/>
      <c r="H822" s="156"/>
      <c r="I822" s="173"/>
      <c r="J822" s="156"/>
      <c r="K822" s="175"/>
      <c r="L822" s="178"/>
      <c r="M822" s="247"/>
      <c r="N822" s="156"/>
      <c r="O822" s="248"/>
      <c r="P822" s="173"/>
      <c r="Q822" s="247"/>
      <c r="R822" s="173"/>
      <c r="S822" s="247"/>
      <c r="T822" s="175"/>
      <c r="U822" s="247"/>
      <c r="V822" s="181"/>
      <c r="W822" s="247"/>
      <c r="X822" s="182"/>
      <c r="Y822" s="183"/>
      <c r="AA822" s="180"/>
    </row>
    <row r="823" spans="1:28" s="190" customFormat="1" ht="13">
      <c r="A823" s="184"/>
      <c r="B823" s="184"/>
      <c r="C823" s="185"/>
      <c r="D823" s="185"/>
      <c r="E823" s="185"/>
      <c r="F823" s="185"/>
      <c r="G823" s="185"/>
      <c r="H823" s="185"/>
      <c r="I823" s="185"/>
      <c r="J823" s="186"/>
      <c r="K823" s="187"/>
      <c r="L823" s="188"/>
      <c r="M823" s="188"/>
      <c r="N823" s="186"/>
      <c r="O823" s="184"/>
      <c r="P823" s="185"/>
      <c r="Q823" s="185"/>
      <c r="R823" s="185"/>
      <c r="S823" s="185"/>
      <c r="T823" s="187"/>
      <c r="U823" s="187"/>
      <c r="V823" s="185"/>
      <c r="W823" s="189"/>
      <c r="Y823" s="191"/>
      <c r="AA823" s="189"/>
      <c r="AB823" s="186"/>
    </row>
    <row r="824" spans="1:28">
      <c r="D824" s="193"/>
      <c r="E824" s="194"/>
      <c r="F824" s="194"/>
      <c r="G824" s="194"/>
      <c r="H824" s="195"/>
      <c r="I824" s="195"/>
      <c r="J824" s="196"/>
    </row>
    <row r="825" spans="1:28">
      <c r="D825" s="193"/>
      <c r="E825" s="194"/>
      <c r="F825" s="194"/>
      <c r="G825" s="194"/>
      <c r="H825" s="195"/>
      <c r="I825" s="195"/>
      <c r="J825" s="196"/>
    </row>
    <row r="826" spans="1:28">
      <c r="D826" s="193"/>
      <c r="E826" s="194"/>
      <c r="F826" s="194"/>
      <c r="G826" s="194"/>
      <c r="H826" s="195"/>
      <c r="I826" s="195"/>
      <c r="J826" s="196"/>
    </row>
    <row r="827" spans="1:28">
      <c r="D827" s="193"/>
      <c r="E827" s="194"/>
      <c r="F827" s="194"/>
      <c r="G827" s="194"/>
      <c r="H827" s="195"/>
      <c r="I827" s="195"/>
      <c r="J827" s="196"/>
    </row>
    <row r="828" spans="1:28">
      <c r="D828" s="193"/>
      <c r="E828" s="194"/>
      <c r="F828" s="194"/>
      <c r="G828" s="194"/>
      <c r="H828" s="195"/>
      <c r="I828" s="195"/>
      <c r="J828" s="196"/>
    </row>
    <row r="829" spans="1:28">
      <c r="D829" s="193"/>
      <c r="E829" s="194"/>
      <c r="F829" s="194"/>
      <c r="G829" s="194"/>
      <c r="H829" s="195"/>
      <c r="I829" s="195"/>
      <c r="J829" s="196"/>
    </row>
    <row r="830" spans="1:28">
      <c r="D830" s="193"/>
      <c r="E830" s="194"/>
      <c r="F830" s="194"/>
      <c r="G830" s="194"/>
      <c r="H830" s="195"/>
      <c r="I830" s="195"/>
      <c r="J830" s="196"/>
    </row>
    <row r="831" spans="1:28">
      <c r="D831" s="193"/>
      <c r="E831" s="194"/>
      <c r="F831" s="194"/>
      <c r="G831" s="194"/>
      <c r="H831" s="195"/>
      <c r="I831" s="195"/>
      <c r="J831" s="196"/>
    </row>
    <row r="832" spans="1:28">
      <c r="D832" s="193"/>
      <c r="E832" s="194"/>
      <c r="F832" s="194"/>
      <c r="G832" s="194"/>
      <c r="H832" s="195"/>
      <c r="I832" s="195"/>
      <c r="J832" s="196"/>
    </row>
    <row r="833" spans="4:10">
      <c r="D833" s="193"/>
      <c r="E833" s="194"/>
      <c r="F833" s="194"/>
      <c r="G833" s="194"/>
      <c r="H833" s="195"/>
      <c r="I833" s="195"/>
      <c r="J833" s="196"/>
    </row>
    <row r="834" spans="4:10">
      <c r="D834" s="193"/>
      <c r="E834" s="194"/>
      <c r="F834" s="194"/>
      <c r="G834" s="194"/>
      <c r="H834" s="195"/>
      <c r="I834" s="195"/>
      <c r="J834" s="196"/>
    </row>
    <row r="835" spans="4:10">
      <c r="D835" s="193"/>
      <c r="E835" s="194"/>
      <c r="F835" s="194"/>
      <c r="G835" s="194"/>
      <c r="H835" s="195"/>
      <c r="I835" s="195"/>
      <c r="J835" s="196"/>
    </row>
    <row r="836" spans="4:10">
      <c r="D836" s="193"/>
      <c r="E836" s="194"/>
      <c r="F836" s="194"/>
      <c r="G836" s="194"/>
      <c r="H836" s="195"/>
      <c r="I836" s="195"/>
      <c r="J836" s="196"/>
    </row>
    <row r="837" spans="4:10">
      <c r="D837" s="193"/>
      <c r="E837" s="194"/>
      <c r="F837" s="194"/>
      <c r="G837" s="194"/>
      <c r="H837" s="195"/>
      <c r="I837" s="195"/>
      <c r="J837" s="196"/>
    </row>
    <row r="838" spans="4:10">
      <c r="D838" s="193"/>
      <c r="E838" s="194"/>
      <c r="F838" s="194"/>
      <c r="G838" s="194"/>
      <c r="H838" s="195"/>
      <c r="I838" s="195"/>
      <c r="J838" s="196"/>
    </row>
    <row r="839" spans="4:10">
      <c r="D839" s="193"/>
      <c r="E839" s="194"/>
      <c r="F839" s="194"/>
      <c r="G839" s="194"/>
      <c r="H839" s="195"/>
      <c r="I839" s="195"/>
      <c r="J839" s="196"/>
    </row>
    <row r="840" spans="4:10">
      <c r="D840" s="193"/>
      <c r="E840" s="194"/>
      <c r="F840" s="194"/>
      <c r="G840" s="194"/>
      <c r="H840" s="195"/>
      <c r="I840" s="195"/>
      <c r="J840" s="196"/>
    </row>
    <row r="841" spans="4:10">
      <c r="D841" s="193"/>
      <c r="E841" s="194"/>
      <c r="F841" s="194"/>
      <c r="G841" s="194"/>
      <c r="H841" s="195"/>
      <c r="I841" s="195"/>
      <c r="J841" s="196"/>
    </row>
    <row r="842" spans="4:10">
      <c r="D842" s="193"/>
      <c r="E842" s="194"/>
      <c r="F842" s="194"/>
      <c r="G842" s="194"/>
      <c r="H842" s="195"/>
      <c r="I842" s="195"/>
      <c r="J842" s="196"/>
    </row>
    <row r="843" spans="4:10">
      <c r="D843" s="193"/>
      <c r="E843" s="194"/>
      <c r="F843" s="194"/>
      <c r="G843" s="194"/>
      <c r="H843" s="195"/>
      <c r="I843" s="195"/>
      <c r="J843" s="196"/>
    </row>
    <row r="844" spans="4:10">
      <c r="D844" s="193"/>
      <c r="E844" s="194"/>
      <c r="F844" s="194"/>
      <c r="G844" s="194"/>
      <c r="H844" s="195"/>
      <c r="I844" s="195"/>
      <c r="J844" s="196"/>
    </row>
    <row r="845" spans="4:10">
      <c r="D845" s="193"/>
      <c r="E845" s="194"/>
      <c r="F845" s="194"/>
      <c r="G845" s="194"/>
      <c r="H845" s="195"/>
      <c r="I845" s="195"/>
      <c r="J845" s="196"/>
    </row>
    <row r="846" spans="4:10">
      <c r="D846" s="193"/>
      <c r="E846" s="194"/>
      <c r="F846" s="194"/>
      <c r="G846" s="194"/>
      <c r="H846" s="195"/>
      <c r="I846" s="195"/>
      <c r="J846" s="196"/>
    </row>
    <row r="847" spans="4:10">
      <c r="D847" s="193"/>
      <c r="E847" s="194"/>
      <c r="F847" s="194"/>
      <c r="G847" s="194"/>
      <c r="H847" s="195"/>
      <c r="I847" s="195"/>
      <c r="J847" s="196"/>
    </row>
    <row r="850" spans="1:28" s="159" customFormat="1" ht="13">
      <c r="A850" s="161"/>
      <c r="B850" s="165"/>
      <c r="C850" s="198"/>
      <c r="D850" s="167"/>
      <c r="E850" s="168"/>
      <c r="F850" s="168"/>
      <c r="G850" s="168"/>
      <c r="H850" s="169"/>
      <c r="I850" s="154"/>
      <c r="J850" s="152"/>
      <c r="K850" s="167"/>
      <c r="L850" s="170"/>
      <c r="M850" s="171"/>
      <c r="N850" s="171"/>
      <c r="O850" s="165"/>
      <c r="P850" s="165"/>
      <c r="Q850" s="167"/>
      <c r="R850" s="167"/>
      <c r="S850" s="167"/>
      <c r="T850" s="167"/>
      <c r="U850" s="170"/>
      <c r="V850" s="170"/>
      <c r="W850" s="172"/>
      <c r="X850" s="168"/>
      <c r="Y850" s="167"/>
    </row>
    <row r="851" spans="1:28" s="159" customFormat="1" ht="13">
      <c r="A851" s="149"/>
      <c r="B851" s="165"/>
      <c r="C851" s="198"/>
      <c r="D851" s="167"/>
      <c r="E851" s="168"/>
      <c r="F851" s="168"/>
      <c r="G851" s="168"/>
      <c r="H851" s="169"/>
      <c r="I851" s="154"/>
      <c r="J851" s="152"/>
      <c r="K851" s="167"/>
      <c r="L851" s="170"/>
      <c r="M851" s="171"/>
      <c r="N851" s="171"/>
      <c r="O851" s="165"/>
      <c r="P851" s="165"/>
      <c r="Q851" s="167"/>
      <c r="R851" s="167"/>
      <c r="S851" s="167"/>
      <c r="T851" s="167"/>
      <c r="U851" s="170"/>
      <c r="V851" s="170"/>
      <c r="W851" s="172"/>
      <c r="X851" s="168"/>
      <c r="Y851" s="167"/>
    </row>
    <row r="852" spans="1:28" s="159" customFormat="1" ht="13">
      <c r="A852" s="149"/>
      <c r="B852" s="165"/>
      <c r="C852" s="198"/>
      <c r="D852" s="167"/>
      <c r="E852" s="168"/>
      <c r="F852" s="168"/>
      <c r="G852" s="168"/>
      <c r="H852" s="169"/>
      <c r="I852" s="154"/>
      <c r="J852" s="152"/>
      <c r="K852" s="167"/>
      <c r="L852" s="170"/>
      <c r="M852" s="171"/>
      <c r="N852" s="171"/>
      <c r="O852" s="165"/>
      <c r="P852" s="165"/>
      <c r="Q852" s="167"/>
      <c r="R852" s="167"/>
      <c r="S852" s="167"/>
      <c r="T852" s="167"/>
      <c r="U852" s="170"/>
      <c r="V852" s="170"/>
      <c r="W852" s="172"/>
      <c r="X852" s="168"/>
      <c r="Y852" s="167"/>
    </row>
    <row r="853" spans="1:28" s="159" customFormat="1" ht="13">
      <c r="A853" s="149"/>
      <c r="B853" s="157"/>
      <c r="C853" s="149"/>
      <c r="D853" s="151"/>
      <c r="E853" s="152"/>
      <c r="F853" s="152"/>
      <c r="G853" s="152"/>
      <c r="H853" s="153"/>
      <c r="I853" s="154"/>
      <c r="J853" s="152"/>
      <c r="K853" s="151"/>
      <c r="L853" s="155"/>
      <c r="M853" s="156"/>
      <c r="N853" s="156"/>
      <c r="O853" s="157"/>
      <c r="P853" s="157"/>
      <c r="Q853" s="151"/>
      <c r="R853" s="151"/>
      <c r="S853" s="151"/>
      <c r="T853" s="151"/>
      <c r="U853" s="155"/>
      <c r="V853" s="155"/>
      <c r="W853" s="158"/>
      <c r="X853" s="152"/>
      <c r="Y853" s="151"/>
    </row>
    <row r="854" spans="1:28" s="159" customFormat="1">
      <c r="A854" s="149"/>
      <c r="B854" s="157"/>
      <c r="C854" s="157"/>
      <c r="D854" s="173"/>
      <c r="E854" s="156"/>
      <c r="F854" s="156"/>
      <c r="G854" s="174"/>
      <c r="H854" s="173"/>
      <c r="I854" s="156"/>
      <c r="J854" s="156"/>
      <c r="K854" s="175"/>
      <c r="L854" s="156"/>
      <c r="M854" s="176"/>
      <c r="N854" s="156"/>
      <c r="O854" s="157"/>
      <c r="P854" s="151"/>
      <c r="Q854" s="151"/>
      <c r="R854" s="175"/>
      <c r="S854" s="175"/>
      <c r="T854" s="175"/>
      <c r="U854" s="173"/>
      <c r="V854" s="158"/>
      <c r="W854" s="173"/>
      <c r="X854" s="173"/>
      <c r="Y854" s="175"/>
      <c r="Z854" s="177"/>
      <c r="AA854" s="177"/>
      <c r="AB854" s="152"/>
    </row>
    <row r="855" spans="1:28" s="159" customFormat="1">
      <c r="A855" s="149"/>
      <c r="B855" s="157"/>
      <c r="C855" s="157"/>
      <c r="D855" s="173"/>
      <c r="E855" s="156"/>
      <c r="F855" s="156"/>
      <c r="G855" s="156"/>
      <c r="H855" s="173"/>
      <c r="I855" s="156"/>
      <c r="J855" s="156"/>
      <c r="K855" s="175"/>
      <c r="L855" s="178"/>
      <c r="M855" s="247"/>
      <c r="N855" s="156"/>
      <c r="O855" s="248"/>
      <c r="P855" s="173"/>
      <c r="Q855" s="247"/>
      <c r="R855" s="173"/>
      <c r="S855" s="247"/>
      <c r="T855" s="175"/>
      <c r="U855" s="247"/>
      <c r="V855" s="158"/>
      <c r="W855" s="247"/>
      <c r="Y855" s="179"/>
      <c r="AA855" s="180"/>
    </row>
    <row r="856" spans="1:28" s="159" customFormat="1">
      <c r="A856" s="149"/>
      <c r="B856" s="157"/>
      <c r="C856" s="157"/>
      <c r="D856" s="173"/>
      <c r="E856" s="156"/>
      <c r="F856" s="156"/>
      <c r="G856" s="174"/>
      <c r="H856" s="156"/>
      <c r="I856" s="173"/>
      <c r="J856" s="156"/>
      <c r="K856" s="175"/>
      <c r="L856" s="178"/>
      <c r="M856" s="247"/>
      <c r="N856" s="156"/>
      <c r="O856" s="248"/>
      <c r="P856" s="173"/>
      <c r="Q856" s="247"/>
      <c r="R856" s="173"/>
      <c r="S856" s="247"/>
      <c r="T856" s="175"/>
      <c r="U856" s="247"/>
      <c r="V856" s="181"/>
      <c r="W856" s="247"/>
      <c r="X856" s="182"/>
      <c r="Y856" s="183"/>
      <c r="AA856" s="180"/>
    </row>
    <row r="857" spans="1:28" s="190" customFormat="1" ht="13">
      <c r="A857" s="184"/>
      <c r="B857" s="184"/>
      <c r="C857" s="185"/>
      <c r="D857" s="185"/>
      <c r="E857" s="185"/>
      <c r="F857" s="185"/>
      <c r="G857" s="185"/>
      <c r="H857" s="185"/>
      <c r="I857" s="185"/>
      <c r="J857" s="186"/>
      <c r="K857" s="187"/>
      <c r="L857" s="188"/>
      <c r="M857" s="188"/>
      <c r="N857" s="186"/>
      <c r="O857" s="184"/>
      <c r="P857" s="185"/>
      <c r="Q857" s="185"/>
      <c r="R857" s="185"/>
      <c r="S857" s="185"/>
      <c r="T857" s="187"/>
      <c r="U857" s="187"/>
      <c r="V857" s="185"/>
      <c r="W857" s="189"/>
      <c r="Y857" s="191"/>
      <c r="AA857" s="189"/>
      <c r="AB857" s="186"/>
    </row>
    <row r="867" spans="1:28" s="159" customFormat="1" ht="13">
      <c r="A867" s="161"/>
      <c r="B867" s="165"/>
      <c r="C867" s="198"/>
      <c r="D867" s="167"/>
      <c r="E867" s="168"/>
      <c r="F867" s="168"/>
      <c r="G867" s="168"/>
      <c r="H867" s="169"/>
      <c r="I867" s="154"/>
      <c r="J867" s="152"/>
      <c r="K867" s="167"/>
      <c r="L867" s="170"/>
      <c r="M867" s="171"/>
      <c r="N867" s="171"/>
      <c r="O867" s="165"/>
      <c r="P867" s="165"/>
      <c r="Q867" s="167"/>
      <c r="R867" s="167"/>
      <c r="S867" s="167"/>
      <c r="T867" s="167"/>
      <c r="U867" s="170"/>
      <c r="V867" s="170"/>
      <c r="W867" s="172"/>
      <c r="X867" s="168"/>
      <c r="Y867" s="167"/>
    </row>
    <row r="868" spans="1:28" s="159" customFormat="1" ht="13">
      <c r="A868" s="149"/>
      <c r="B868" s="165"/>
      <c r="C868" s="198"/>
      <c r="D868" s="167"/>
      <c r="E868" s="168"/>
      <c r="F868" s="168"/>
      <c r="G868" s="168"/>
      <c r="H868" s="169"/>
      <c r="I868" s="154"/>
      <c r="J868" s="152"/>
      <c r="K868" s="167"/>
      <c r="L868" s="170"/>
      <c r="M868" s="171"/>
      <c r="N868" s="171"/>
      <c r="O868" s="165"/>
      <c r="P868" s="165"/>
      <c r="Q868" s="167"/>
      <c r="R868" s="167"/>
      <c r="S868" s="167"/>
      <c r="T868" s="167"/>
      <c r="U868" s="170"/>
      <c r="V868" s="170"/>
      <c r="W868" s="172"/>
      <c r="X868" s="168"/>
      <c r="Y868" s="167"/>
    </row>
    <row r="869" spans="1:28" s="159" customFormat="1" ht="13">
      <c r="A869" s="149"/>
      <c r="B869" s="165"/>
      <c r="C869" s="198"/>
      <c r="D869" s="167"/>
      <c r="E869" s="168"/>
      <c r="F869" s="168"/>
      <c r="G869" s="168"/>
      <c r="H869" s="169"/>
      <c r="I869" s="154"/>
      <c r="J869" s="152"/>
      <c r="K869" s="167"/>
      <c r="L869" s="170"/>
      <c r="M869" s="171"/>
      <c r="N869" s="171"/>
      <c r="O869" s="165"/>
      <c r="P869" s="165"/>
      <c r="Q869" s="167"/>
      <c r="R869" s="167"/>
      <c r="S869" s="167"/>
      <c r="T869" s="167"/>
      <c r="U869" s="170"/>
      <c r="V869" s="170"/>
      <c r="W869" s="172"/>
      <c r="X869" s="168"/>
      <c r="Y869" s="167"/>
    </row>
    <row r="870" spans="1:28" s="159" customFormat="1" ht="13">
      <c r="A870" s="149"/>
      <c r="B870" s="157"/>
      <c r="C870" s="149"/>
      <c r="D870" s="151"/>
      <c r="E870" s="152"/>
      <c r="F870" s="152"/>
      <c r="G870" s="152"/>
      <c r="H870" s="153"/>
      <c r="I870" s="154"/>
      <c r="J870" s="152"/>
      <c r="K870" s="151"/>
      <c r="L870" s="155"/>
      <c r="M870" s="156"/>
      <c r="N870" s="156"/>
      <c r="O870" s="157"/>
      <c r="P870" s="157"/>
      <c r="Q870" s="151"/>
      <c r="R870" s="151"/>
      <c r="S870" s="151"/>
      <c r="T870" s="151"/>
      <c r="U870" s="155"/>
      <c r="V870" s="155"/>
      <c r="W870" s="158"/>
      <c r="X870" s="152"/>
      <c r="Y870" s="151"/>
    </row>
    <row r="871" spans="1:28" s="159" customFormat="1">
      <c r="A871" s="149"/>
      <c r="B871" s="157"/>
      <c r="C871" s="157"/>
      <c r="D871" s="173"/>
      <c r="E871" s="156"/>
      <c r="F871" s="156"/>
      <c r="G871" s="174"/>
      <c r="H871" s="173"/>
      <c r="I871" s="156"/>
      <c r="J871" s="156"/>
      <c r="K871" s="175"/>
      <c r="L871" s="156"/>
      <c r="M871" s="176"/>
      <c r="N871" s="156"/>
      <c r="O871" s="157"/>
      <c r="P871" s="151"/>
      <c r="Q871" s="151"/>
      <c r="R871" s="175"/>
      <c r="S871" s="175"/>
      <c r="T871" s="175"/>
      <c r="U871" s="173"/>
      <c r="V871" s="158"/>
      <c r="W871" s="173"/>
      <c r="X871" s="173"/>
      <c r="Y871" s="175"/>
      <c r="Z871" s="177"/>
      <c r="AA871" s="177"/>
      <c r="AB871" s="152"/>
    </row>
    <row r="872" spans="1:28" s="159" customFormat="1">
      <c r="A872" s="149"/>
      <c r="B872" s="157"/>
      <c r="C872" s="157"/>
      <c r="D872" s="173"/>
      <c r="E872" s="156"/>
      <c r="F872" s="156"/>
      <c r="G872" s="156"/>
      <c r="H872" s="173"/>
      <c r="I872" s="156"/>
      <c r="J872" s="156"/>
      <c r="K872" s="175"/>
      <c r="L872" s="178"/>
      <c r="M872" s="247"/>
      <c r="N872" s="156"/>
      <c r="O872" s="248"/>
      <c r="P872" s="173"/>
      <c r="Q872" s="247"/>
      <c r="R872" s="173"/>
      <c r="S872" s="247"/>
      <c r="T872" s="175"/>
      <c r="U872" s="247"/>
      <c r="V872" s="158"/>
      <c r="W872" s="247"/>
      <c r="Y872" s="179"/>
      <c r="AA872" s="180"/>
    </row>
    <row r="873" spans="1:28" s="159" customFormat="1">
      <c r="A873" s="149"/>
      <c r="B873" s="157"/>
      <c r="C873" s="157"/>
      <c r="D873" s="173"/>
      <c r="E873" s="156"/>
      <c r="F873" s="156"/>
      <c r="G873" s="174"/>
      <c r="H873" s="156"/>
      <c r="I873" s="173"/>
      <c r="J873" s="156"/>
      <c r="K873" s="175"/>
      <c r="L873" s="178"/>
      <c r="M873" s="247"/>
      <c r="N873" s="156"/>
      <c r="O873" s="248"/>
      <c r="P873" s="173"/>
      <c r="Q873" s="247"/>
      <c r="R873" s="173"/>
      <c r="S873" s="247"/>
      <c r="T873" s="175"/>
      <c r="U873" s="247"/>
      <c r="V873" s="181"/>
      <c r="W873" s="247"/>
      <c r="X873" s="182"/>
      <c r="Y873" s="183"/>
      <c r="AA873" s="180"/>
    </row>
    <row r="874" spans="1:28" s="190" customFormat="1" ht="13">
      <c r="A874" s="184"/>
      <c r="B874" s="184"/>
      <c r="C874" s="185"/>
      <c r="D874" s="185"/>
      <c r="E874" s="185"/>
      <c r="F874" s="185"/>
      <c r="G874" s="185"/>
      <c r="H874" s="185"/>
      <c r="I874" s="185"/>
      <c r="J874" s="186"/>
      <c r="K874" s="187"/>
      <c r="L874" s="188"/>
      <c r="M874" s="188"/>
      <c r="N874" s="186"/>
      <c r="O874" s="184"/>
      <c r="P874" s="185"/>
      <c r="Q874" s="185"/>
      <c r="R874" s="185"/>
      <c r="S874" s="185"/>
      <c r="T874" s="187"/>
      <c r="U874" s="187"/>
      <c r="V874" s="185"/>
      <c r="W874" s="189"/>
      <c r="Y874" s="191"/>
      <c r="AA874" s="189"/>
      <c r="AB874" s="186"/>
    </row>
    <row r="884" spans="1:28" s="159" customFormat="1" ht="13">
      <c r="A884" s="164"/>
      <c r="B884" s="165"/>
      <c r="C884" s="166"/>
      <c r="D884" s="167"/>
      <c r="E884" s="168"/>
      <c r="F884" s="168"/>
      <c r="G884" s="168"/>
      <c r="H884" s="169"/>
      <c r="I884" s="154"/>
      <c r="J884" s="152"/>
      <c r="K884" s="167"/>
      <c r="L884" s="170"/>
      <c r="M884" s="171"/>
      <c r="N884" s="171"/>
      <c r="O884" s="165"/>
      <c r="P884" s="165"/>
      <c r="Q884" s="167"/>
      <c r="R884" s="167"/>
      <c r="S884" s="167"/>
      <c r="T884" s="167"/>
      <c r="U884" s="170"/>
      <c r="V884" s="170"/>
      <c r="W884" s="172"/>
      <c r="X884" s="168"/>
      <c r="Y884" s="167"/>
    </row>
    <row r="885" spans="1:28" s="159" customFormat="1" ht="13">
      <c r="A885" s="149"/>
      <c r="B885" s="165"/>
      <c r="C885" s="166"/>
      <c r="D885" s="167"/>
      <c r="E885" s="168"/>
      <c r="F885" s="168"/>
      <c r="G885" s="168"/>
      <c r="H885" s="169"/>
      <c r="I885" s="154"/>
      <c r="J885" s="152"/>
      <c r="K885" s="167"/>
      <c r="L885" s="170"/>
      <c r="M885" s="171"/>
      <c r="N885" s="171"/>
      <c r="O885" s="165"/>
      <c r="P885" s="165"/>
      <c r="Q885" s="167"/>
      <c r="R885" s="167"/>
      <c r="S885" s="167"/>
      <c r="T885" s="167"/>
      <c r="U885" s="170"/>
      <c r="V885" s="170"/>
      <c r="W885" s="172"/>
      <c r="X885" s="168"/>
      <c r="Y885" s="167"/>
    </row>
    <row r="886" spans="1:28" s="159" customFormat="1" ht="13">
      <c r="A886" s="149"/>
      <c r="B886" s="157"/>
      <c r="C886" s="149"/>
      <c r="D886" s="151"/>
      <c r="E886" s="152"/>
      <c r="F886" s="152"/>
      <c r="G886" s="152"/>
      <c r="H886" s="153"/>
      <c r="I886" s="154"/>
      <c r="J886" s="152"/>
      <c r="K886" s="151"/>
      <c r="L886" s="155"/>
      <c r="M886" s="156"/>
      <c r="N886" s="156"/>
      <c r="O886" s="157"/>
      <c r="P886" s="157"/>
      <c r="Q886" s="151"/>
      <c r="R886" s="151"/>
      <c r="S886" s="151"/>
      <c r="T886" s="151"/>
      <c r="U886" s="155"/>
      <c r="V886" s="155"/>
      <c r="W886" s="158"/>
      <c r="X886" s="152"/>
      <c r="Y886" s="151"/>
    </row>
    <row r="887" spans="1:28" s="159" customFormat="1">
      <c r="A887" s="149"/>
      <c r="B887" s="157"/>
      <c r="C887" s="157"/>
      <c r="D887" s="173"/>
      <c r="E887" s="156"/>
      <c r="F887" s="156"/>
      <c r="G887" s="174"/>
      <c r="H887" s="173"/>
      <c r="I887" s="156"/>
      <c r="J887" s="156"/>
      <c r="K887" s="175"/>
      <c r="L887" s="156"/>
      <c r="M887" s="176"/>
      <c r="N887" s="156"/>
      <c r="O887" s="157"/>
      <c r="P887" s="151"/>
      <c r="Q887" s="151"/>
      <c r="R887" s="175"/>
      <c r="S887" s="175"/>
      <c r="T887" s="175"/>
      <c r="U887" s="173"/>
      <c r="V887" s="158"/>
      <c r="W887" s="173"/>
      <c r="X887" s="173"/>
      <c r="Y887" s="175"/>
      <c r="Z887" s="177"/>
      <c r="AA887" s="177"/>
      <c r="AB887" s="152"/>
    </row>
    <row r="888" spans="1:28" s="159" customFormat="1">
      <c r="A888" s="149"/>
      <c r="B888" s="157"/>
      <c r="C888" s="157"/>
      <c r="D888" s="173"/>
      <c r="E888" s="156"/>
      <c r="F888" s="156"/>
      <c r="G888" s="156"/>
      <c r="H888" s="173"/>
      <c r="I888" s="156"/>
      <c r="J888" s="156"/>
      <c r="K888" s="175"/>
      <c r="L888" s="178"/>
      <c r="M888" s="247"/>
      <c r="N888" s="156"/>
      <c r="O888" s="248"/>
      <c r="P888" s="173"/>
      <c r="Q888" s="247"/>
      <c r="R888" s="173"/>
      <c r="S888" s="247"/>
      <c r="T888" s="175"/>
      <c r="U888" s="247"/>
      <c r="V888" s="158"/>
      <c r="W888" s="247"/>
      <c r="Y888" s="179"/>
      <c r="AA888" s="180"/>
    </row>
    <row r="889" spans="1:28" s="159" customFormat="1">
      <c r="A889" s="149"/>
      <c r="B889" s="157"/>
      <c r="C889" s="157"/>
      <c r="D889" s="173"/>
      <c r="E889" s="156"/>
      <c r="F889" s="156"/>
      <c r="G889" s="174"/>
      <c r="H889" s="156"/>
      <c r="I889" s="173"/>
      <c r="J889" s="156"/>
      <c r="K889" s="175"/>
      <c r="L889" s="178"/>
      <c r="M889" s="247"/>
      <c r="N889" s="156"/>
      <c r="O889" s="248"/>
      <c r="P889" s="173"/>
      <c r="Q889" s="247"/>
      <c r="R889" s="173"/>
      <c r="S889" s="247"/>
      <c r="T889" s="175"/>
      <c r="U889" s="247"/>
      <c r="V889" s="181"/>
      <c r="W889" s="247"/>
      <c r="X889" s="182"/>
      <c r="Y889" s="183"/>
      <c r="AA889" s="180"/>
    </row>
    <row r="890" spans="1:28" s="190" customFormat="1" ht="13">
      <c r="A890" s="184"/>
      <c r="B890" s="184"/>
      <c r="C890" s="185"/>
      <c r="D890" s="185"/>
      <c r="E890" s="185"/>
      <c r="F890" s="185"/>
      <c r="G890" s="185"/>
      <c r="H890" s="185"/>
      <c r="I890" s="185"/>
      <c r="J890" s="186"/>
      <c r="K890" s="187"/>
      <c r="L890" s="188"/>
      <c r="M890" s="188"/>
      <c r="N890" s="186"/>
      <c r="O890" s="184"/>
      <c r="P890" s="185"/>
      <c r="Q890" s="185"/>
      <c r="R890" s="185"/>
      <c r="S890" s="185"/>
      <c r="T890" s="187"/>
      <c r="U890" s="187"/>
      <c r="V890" s="185"/>
      <c r="W890" s="189"/>
      <c r="Y890" s="191"/>
      <c r="AA890" s="189"/>
      <c r="AB890" s="186"/>
    </row>
    <row r="891" spans="1:28">
      <c r="D891" s="193"/>
      <c r="E891" s="197"/>
      <c r="F891" s="197"/>
      <c r="G891" s="197"/>
      <c r="H891" s="195"/>
      <c r="I891" s="195"/>
      <c r="J891" s="196"/>
      <c r="K891" s="195"/>
    </row>
    <row r="892" spans="1:28">
      <c r="D892" s="193"/>
      <c r="E892" s="197"/>
      <c r="F892" s="197"/>
      <c r="G892" s="197"/>
      <c r="H892" s="195"/>
      <c r="I892" s="195"/>
      <c r="J892" s="196"/>
      <c r="K892" s="195"/>
    </row>
    <row r="893" spans="1:28">
      <c r="D893" s="193"/>
      <c r="E893" s="197"/>
      <c r="F893" s="197"/>
      <c r="G893" s="197"/>
      <c r="H893" s="195"/>
      <c r="I893" s="195"/>
      <c r="J893" s="196"/>
      <c r="K893" s="195"/>
    </row>
    <row r="894" spans="1:28">
      <c r="D894" s="193"/>
      <c r="E894" s="197"/>
      <c r="F894" s="197"/>
      <c r="G894" s="197"/>
      <c r="H894" s="195"/>
      <c r="I894" s="195"/>
      <c r="J894" s="196"/>
      <c r="K894" s="195"/>
    </row>
    <row r="897" spans="1:28" s="159" customFormat="1" ht="13">
      <c r="A897" s="164"/>
      <c r="B897" s="165"/>
      <c r="C897" s="166"/>
      <c r="D897" s="167"/>
      <c r="E897" s="168"/>
      <c r="F897" s="168"/>
      <c r="G897" s="168"/>
      <c r="H897" s="169"/>
      <c r="I897" s="154"/>
      <c r="J897" s="152"/>
      <c r="K897" s="167"/>
      <c r="L897" s="170"/>
      <c r="M897" s="171"/>
      <c r="N897" s="171"/>
      <c r="O897" s="165"/>
      <c r="P897" s="165"/>
      <c r="Q897" s="167"/>
      <c r="R897" s="167"/>
      <c r="S897" s="167"/>
      <c r="T897" s="167"/>
      <c r="U897" s="170"/>
      <c r="V897" s="170"/>
      <c r="W897" s="172"/>
      <c r="X897" s="168"/>
      <c r="Y897" s="167"/>
    </row>
    <row r="898" spans="1:28" s="159" customFormat="1" ht="13">
      <c r="A898" s="149"/>
      <c r="B898" s="165"/>
      <c r="C898" s="166"/>
      <c r="D898" s="167"/>
      <c r="E898" s="168"/>
      <c r="F898" s="168"/>
      <c r="G898" s="168"/>
      <c r="H898" s="169"/>
      <c r="I898" s="154"/>
      <c r="J898" s="152"/>
      <c r="K898" s="167"/>
      <c r="L898" s="170"/>
      <c r="M898" s="171"/>
      <c r="N898" s="171"/>
      <c r="O898" s="165"/>
      <c r="P898" s="165"/>
      <c r="Q898" s="167"/>
      <c r="R898" s="167"/>
      <c r="S898" s="167"/>
      <c r="T898" s="167"/>
      <c r="U898" s="170"/>
      <c r="V898" s="170"/>
      <c r="W898" s="172"/>
      <c r="X898" s="168"/>
      <c r="Y898" s="167"/>
    </row>
    <row r="899" spans="1:28" s="159" customFormat="1" ht="13">
      <c r="A899" s="149"/>
      <c r="B899" s="157"/>
      <c r="C899" s="149"/>
      <c r="D899" s="151"/>
      <c r="E899" s="152"/>
      <c r="F899" s="152"/>
      <c r="G899" s="152"/>
      <c r="H899" s="153"/>
      <c r="I899" s="154"/>
      <c r="J899" s="152"/>
      <c r="K899" s="151"/>
      <c r="L899" s="155"/>
      <c r="M899" s="156"/>
      <c r="N899" s="156"/>
      <c r="O899" s="157"/>
      <c r="P899" s="157"/>
      <c r="Q899" s="151"/>
      <c r="R899" s="151"/>
      <c r="S899" s="151"/>
      <c r="T899" s="151"/>
      <c r="U899" s="155"/>
      <c r="V899" s="155"/>
      <c r="W899" s="158"/>
      <c r="X899" s="152"/>
      <c r="Y899" s="151"/>
    </row>
    <row r="900" spans="1:28" s="159" customFormat="1">
      <c r="A900" s="149"/>
      <c r="B900" s="157"/>
      <c r="C900" s="157"/>
      <c r="D900" s="173"/>
      <c r="E900" s="156"/>
      <c r="F900" s="156"/>
      <c r="G900" s="174"/>
      <c r="H900" s="173"/>
      <c r="I900" s="156"/>
      <c r="J900" s="156"/>
      <c r="K900" s="175"/>
      <c r="L900" s="156"/>
      <c r="M900" s="176"/>
      <c r="N900" s="156"/>
      <c r="O900" s="157"/>
      <c r="P900" s="151"/>
      <c r="Q900" s="151"/>
      <c r="R900" s="175"/>
      <c r="S900" s="175"/>
      <c r="T900" s="175"/>
      <c r="U900" s="173"/>
      <c r="V900" s="158"/>
      <c r="W900" s="173"/>
      <c r="X900" s="173"/>
      <c r="Y900" s="175"/>
      <c r="Z900" s="177"/>
      <c r="AA900" s="177"/>
      <c r="AB900" s="152"/>
    </row>
    <row r="901" spans="1:28" s="159" customFormat="1">
      <c r="A901" s="149"/>
      <c r="B901" s="157"/>
      <c r="C901" s="157"/>
      <c r="D901" s="173"/>
      <c r="E901" s="156"/>
      <c r="F901" s="156"/>
      <c r="G901" s="156"/>
      <c r="H901" s="173"/>
      <c r="I901" s="156"/>
      <c r="J901" s="156"/>
      <c r="K901" s="175"/>
      <c r="L901" s="178"/>
      <c r="M901" s="247"/>
      <c r="N901" s="156"/>
      <c r="O901" s="248"/>
      <c r="P901" s="173"/>
      <c r="Q901" s="247"/>
      <c r="R901" s="173"/>
      <c r="S901" s="247"/>
      <c r="T901" s="175"/>
      <c r="U901" s="247"/>
      <c r="V901" s="158"/>
      <c r="W901" s="247"/>
      <c r="Y901" s="179"/>
      <c r="AA901" s="180"/>
    </row>
    <row r="902" spans="1:28" s="159" customFormat="1">
      <c r="A902" s="149"/>
      <c r="B902" s="157"/>
      <c r="C902" s="157"/>
      <c r="D902" s="173"/>
      <c r="E902" s="156"/>
      <c r="F902" s="156"/>
      <c r="G902" s="174"/>
      <c r="H902" s="156"/>
      <c r="I902" s="173"/>
      <c r="J902" s="156"/>
      <c r="K902" s="175"/>
      <c r="L902" s="178"/>
      <c r="M902" s="247"/>
      <c r="N902" s="156"/>
      <c r="O902" s="248"/>
      <c r="P902" s="173"/>
      <c r="Q902" s="247"/>
      <c r="R902" s="173"/>
      <c r="S902" s="247"/>
      <c r="T902" s="175"/>
      <c r="U902" s="247"/>
      <c r="V902" s="181"/>
      <c r="W902" s="247"/>
      <c r="X902" s="182"/>
      <c r="Y902" s="183"/>
      <c r="AA902" s="180"/>
    </row>
    <row r="903" spans="1:28" s="190" customFormat="1" ht="13">
      <c r="A903" s="184"/>
      <c r="B903" s="184"/>
      <c r="C903" s="185"/>
      <c r="D903" s="185"/>
      <c r="E903" s="185"/>
      <c r="F903" s="185"/>
      <c r="G903" s="185"/>
      <c r="H903" s="185"/>
      <c r="I903" s="185"/>
      <c r="J903" s="186"/>
      <c r="K903" s="187"/>
      <c r="L903" s="188"/>
      <c r="M903" s="188"/>
      <c r="N903" s="186"/>
      <c r="O903" s="184"/>
      <c r="P903" s="185"/>
      <c r="Q903" s="185"/>
      <c r="R903" s="185"/>
      <c r="S903" s="185"/>
      <c r="T903" s="187"/>
      <c r="U903" s="187"/>
      <c r="V903" s="185"/>
      <c r="W903" s="189"/>
      <c r="Y903" s="191"/>
      <c r="AA903" s="189"/>
      <c r="AB903" s="186"/>
    </row>
    <row r="904" spans="1:28">
      <c r="D904" s="193"/>
      <c r="E904" s="197"/>
      <c r="F904" s="197"/>
      <c r="G904" s="197"/>
      <c r="H904" s="195"/>
      <c r="I904" s="195"/>
      <c r="J904" s="196"/>
      <c r="K904" s="195"/>
    </row>
    <row r="907" spans="1:28" s="159" customFormat="1" ht="13">
      <c r="A907" s="164"/>
      <c r="B907" s="165"/>
      <c r="C907" s="166"/>
      <c r="D907" s="167"/>
      <c r="E907" s="168"/>
      <c r="F907" s="168"/>
      <c r="G907" s="168"/>
      <c r="H907" s="169"/>
      <c r="I907" s="154"/>
      <c r="J907" s="152"/>
      <c r="K907" s="167"/>
      <c r="L907" s="170"/>
      <c r="M907" s="171"/>
      <c r="N907" s="171"/>
      <c r="O907" s="165"/>
      <c r="P907" s="165"/>
      <c r="Q907" s="167"/>
      <c r="R907" s="167"/>
      <c r="S907" s="167"/>
      <c r="T907" s="167"/>
      <c r="U907" s="170"/>
      <c r="V907" s="170"/>
      <c r="W907" s="172"/>
      <c r="X907" s="168"/>
      <c r="Y907" s="167"/>
    </row>
    <row r="908" spans="1:28" s="159" customFormat="1" ht="13">
      <c r="A908" s="149"/>
      <c r="B908" s="165"/>
      <c r="C908" s="166"/>
      <c r="D908" s="167"/>
      <c r="E908" s="168"/>
      <c r="F908" s="168"/>
      <c r="G908" s="168"/>
      <c r="H908" s="169"/>
      <c r="I908" s="154"/>
      <c r="J908" s="152"/>
      <c r="K908" s="167"/>
      <c r="L908" s="170"/>
      <c r="M908" s="171"/>
      <c r="N908" s="171"/>
      <c r="O908" s="165"/>
      <c r="P908" s="165"/>
      <c r="Q908" s="167"/>
      <c r="R908" s="167"/>
      <c r="S908" s="167"/>
      <c r="T908" s="167"/>
      <c r="U908" s="170"/>
      <c r="V908" s="170"/>
      <c r="W908" s="172"/>
      <c r="X908" s="168"/>
      <c r="Y908" s="167"/>
    </row>
    <row r="909" spans="1:28" s="159" customFormat="1" ht="13">
      <c r="A909" s="149"/>
      <c r="B909" s="157"/>
      <c r="C909" s="149"/>
      <c r="D909" s="151"/>
      <c r="E909" s="152"/>
      <c r="F909" s="152"/>
      <c r="G909" s="152"/>
      <c r="H909" s="153"/>
      <c r="I909" s="154"/>
      <c r="J909" s="152"/>
      <c r="K909" s="151"/>
      <c r="L909" s="155"/>
      <c r="M909" s="156"/>
      <c r="N909" s="156"/>
      <c r="O909" s="157"/>
      <c r="P909" s="157"/>
      <c r="Q909" s="151"/>
      <c r="R909" s="151"/>
      <c r="S909" s="151"/>
      <c r="T909" s="151"/>
      <c r="U909" s="155"/>
      <c r="V909" s="155"/>
      <c r="W909" s="158"/>
      <c r="X909" s="152"/>
      <c r="Y909" s="151"/>
    </row>
    <row r="910" spans="1:28" s="159" customFormat="1">
      <c r="A910" s="149"/>
      <c r="B910" s="157"/>
      <c r="C910" s="157"/>
      <c r="D910" s="173"/>
      <c r="E910" s="156"/>
      <c r="F910" s="156"/>
      <c r="G910" s="174"/>
      <c r="H910" s="173"/>
      <c r="I910" s="156"/>
      <c r="J910" s="156"/>
      <c r="K910" s="175"/>
      <c r="L910" s="156"/>
      <c r="M910" s="176"/>
      <c r="N910" s="156"/>
      <c r="O910" s="157"/>
      <c r="P910" s="151"/>
      <c r="Q910" s="151"/>
      <c r="R910" s="175"/>
      <c r="S910" s="175"/>
      <c r="T910" s="175"/>
      <c r="U910" s="173"/>
      <c r="V910" s="158"/>
      <c r="W910" s="173"/>
      <c r="X910" s="173"/>
      <c r="Y910" s="175"/>
      <c r="Z910" s="177"/>
      <c r="AA910" s="177"/>
      <c r="AB910" s="152"/>
    </row>
    <row r="911" spans="1:28" s="159" customFormat="1">
      <c r="A911" s="149"/>
      <c r="B911" s="157"/>
      <c r="C911" s="157"/>
      <c r="D911" s="173"/>
      <c r="E911" s="156"/>
      <c r="F911" s="156"/>
      <c r="G911" s="156"/>
      <c r="H911" s="173"/>
      <c r="I911" s="156"/>
      <c r="J911" s="156"/>
      <c r="K911" s="175"/>
      <c r="L911" s="178"/>
      <c r="M911" s="247"/>
      <c r="N911" s="156"/>
      <c r="O911" s="248"/>
      <c r="P911" s="173"/>
      <c r="Q911" s="247"/>
      <c r="R911" s="173"/>
      <c r="S911" s="247"/>
      <c r="T911" s="175"/>
      <c r="U911" s="247"/>
      <c r="V911" s="158"/>
      <c r="W911" s="247"/>
      <c r="Y911" s="179"/>
      <c r="AA911" s="180"/>
    </row>
    <row r="912" spans="1:28" s="159" customFormat="1">
      <c r="A912" s="149"/>
      <c r="B912" s="157"/>
      <c r="C912" s="157"/>
      <c r="D912" s="173"/>
      <c r="E912" s="156"/>
      <c r="F912" s="156"/>
      <c r="G912" s="174"/>
      <c r="H912" s="156"/>
      <c r="I912" s="173"/>
      <c r="J912" s="156"/>
      <c r="K912" s="175"/>
      <c r="L912" s="178"/>
      <c r="M912" s="247"/>
      <c r="N912" s="156"/>
      <c r="O912" s="248"/>
      <c r="P912" s="173"/>
      <c r="Q912" s="247"/>
      <c r="R912" s="173"/>
      <c r="S912" s="247"/>
      <c r="T912" s="175"/>
      <c r="U912" s="247"/>
      <c r="V912" s="181"/>
      <c r="W912" s="247"/>
      <c r="X912" s="182"/>
      <c r="Y912" s="183"/>
      <c r="AA912" s="180"/>
    </row>
    <row r="913" spans="1:28" s="190" customFormat="1" ht="13">
      <c r="A913" s="184"/>
      <c r="B913" s="184"/>
      <c r="C913" s="185"/>
      <c r="D913" s="185"/>
      <c r="E913" s="185"/>
      <c r="F913" s="185"/>
      <c r="G913" s="185"/>
      <c r="H913" s="185"/>
      <c r="I913" s="185"/>
      <c r="J913" s="186"/>
      <c r="K913" s="187"/>
      <c r="L913" s="188"/>
      <c r="M913" s="188"/>
      <c r="N913" s="186"/>
      <c r="O913" s="184"/>
      <c r="P913" s="185"/>
      <c r="Q913" s="185"/>
      <c r="R913" s="185"/>
      <c r="S913" s="185"/>
      <c r="T913" s="187"/>
      <c r="U913" s="187"/>
      <c r="V913" s="185"/>
      <c r="W913" s="189"/>
      <c r="Y913" s="191"/>
      <c r="AA913" s="189"/>
      <c r="AB913" s="186"/>
    </row>
    <row r="914" spans="1:28">
      <c r="D914" s="193"/>
      <c r="E914" s="194"/>
      <c r="F914" s="194"/>
      <c r="G914" s="194"/>
      <c r="H914" s="195"/>
      <c r="I914" s="195"/>
      <c r="J914" s="196"/>
      <c r="K914" s="195"/>
    </row>
    <row r="917" spans="1:28" s="159" customFormat="1" ht="13">
      <c r="A917" s="164"/>
      <c r="B917" s="165"/>
      <c r="C917" s="166"/>
      <c r="D917" s="167"/>
      <c r="E917" s="168"/>
      <c r="F917" s="168"/>
      <c r="G917" s="168"/>
      <c r="H917" s="169"/>
      <c r="I917" s="154"/>
      <c r="J917" s="152"/>
      <c r="K917" s="167"/>
      <c r="L917" s="170"/>
      <c r="M917" s="171"/>
      <c r="N917" s="171"/>
      <c r="O917" s="165"/>
      <c r="P917" s="165"/>
      <c r="Q917" s="167"/>
      <c r="R917" s="167"/>
      <c r="S917" s="167"/>
      <c r="T917" s="167"/>
      <c r="U917" s="170"/>
      <c r="V917" s="170"/>
      <c r="W917" s="172"/>
      <c r="X917" s="168"/>
      <c r="Y917" s="167"/>
    </row>
    <row r="918" spans="1:28" s="159" customFormat="1" ht="13">
      <c r="A918" s="149"/>
      <c r="B918" s="165"/>
      <c r="C918" s="166"/>
      <c r="D918" s="167"/>
      <c r="E918" s="168"/>
      <c r="F918" s="168"/>
      <c r="G918" s="168"/>
      <c r="H918" s="169"/>
      <c r="I918" s="154"/>
      <c r="J918" s="152"/>
      <c r="K918" s="167"/>
      <c r="L918" s="170"/>
      <c r="M918" s="171"/>
      <c r="N918" s="171"/>
      <c r="O918" s="165"/>
      <c r="P918" s="165"/>
      <c r="Q918" s="167"/>
      <c r="R918" s="167"/>
      <c r="S918" s="167"/>
      <c r="T918" s="167"/>
      <c r="U918" s="170"/>
      <c r="V918" s="170"/>
      <c r="W918" s="172"/>
      <c r="X918" s="168"/>
      <c r="Y918" s="167"/>
    </row>
    <row r="919" spans="1:28" s="159" customFormat="1" ht="13">
      <c r="A919" s="149"/>
      <c r="B919" s="157"/>
      <c r="C919" s="149"/>
      <c r="D919" s="151"/>
      <c r="E919" s="152"/>
      <c r="F919" s="152"/>
      <c r="G919" s="152"/>
      <c r="H919" s="153"/>
      <c r="I919" s="154"/>
      <c r="J919" s="152"/>
      <c r="K919" s="151"/>
      <c r="L919" s="155"/>
      <c r="M919" s="156"/>
      <c r="N919" s="156"/>
      <c r="O919" s="157"/>
      <c r="P919" s="157"/>
      <c r="Q919" s="151"/>
      <c r="R919" s="151"/>
      <c r="S919" s="151"/>
      <c r="T919" s="151"/>
      <c r="U919" s="155"/>
      <c r="V919" s="155"/>
      <c r="W919" s="158"/>
      <c r="X919" s="152"/>
      <c r="Y919" s="151"/>
    </row>
    <row r="920" spans="1:28" s="159" customFormat="1">
      <c r="A920" s="149"/>
      <c r="B920" s="157"/>
      <c r="C920" s="157"/>
      <c r="D920" s="173"/>
      <c r="E920" s="156"/>
      <c r="F920" s="156"/>
      <c r="G920" s="174"/>
      <c r="H920" s="173"/>
      <c r="I920" s="156"/>
      <c r="J920" s="156"/>
      <c r="K920" s="175"/>
      <c r="L920" s="156"/>
      <c r="M920" s="176"/>
      <c r="N920" s="156"/>
      <c r="O920" s="157"/>
      <c r="P920" s="151"/>
      <c r="Q920" s="151"/>
      <c r="R920" s="175"/>
      <c r="S920" s="175"/>
      <c r="T920" s="175"/>
      <c r="U920" s="173"/>
      <c r="V920" s="158"/>
      <c r="W920" s="173"/>
      <c r="X920" s="173"/>
      <c r="Y920" s="175"/>
      <c r="Z920" s="177"/>
      <c r="AA920" s="177"/>
      <c r="AB920" s="152"/>
    </row>
    <row r="921" spans="1:28" s="159" customFormat="1">
      <c r="A921" s="149"/>
      <c r="B921" s="157"/>
      <c r="C921" s="157"/>
      <c r="D921" s="173"/>
      <c r="E921" s="156"/>
      <c r="F921" s="156"/>
      <c r="G921" s="156"/>
      <c r="H921" s="173"/>
      <c r="I921" s="156"/>
      <c r="J921" s="156"/>
      <c r="K921" s="175"/>
      <c r="L921" s="178"/>
      <c r="M921" s="247"/>
      <c r="N921" s="156"/>
      <c r="O921" s="248"/>
      <c r="P921" s="173"/>
      <c r="Q921" s="247"/>
      <c r="R921" s="173"/>
      <c r="S921" s="247"/>
      <c r="T921" s="175"/>
      <c r="U921" s="247"/>
      <c r="V921" s="158"/>
      <c r="W921" s="247"/>
      <c r="Y921" s="179"/>
      <c r="AA921" s="180"/>
    </row>
    <row r="922" spans="1:28" s="159" customFormat="1">
      <c r="A922" s="149"/>
      <c r="B922" s="157"/>
      <c r="C922" s="157"/>
      <c r="D922" s="173"/>
      <c r="E922" s="156"/>
      <c r="F922" s="156"/>
      <c r="G922" s="174"/>
      <c r="H922" s="156"/>
      <c r="I922" s="173"/>
      <c r="J922" s="156"/>
      <c r="K922" s="175"/>
      <c r="L922" s="178"/>
      <c r="M922" s="247"/>
      <c r="N922" s="156"/>
      <c r="O922" s="248"/>
      <c r="P922" s="173"/>
      <c r="Q922" s="247"/>
      <c r="R922" s="173"/>
      <c r="S922" s="247"/>
      <c r="T922" s="175"/>
      <c r="U922" s="247"/>
      <c r="V922" s="181"/>
      <c r="W922" s="247"/>
      <c r="X922" s="182"/>
      <c r="Y922" s="183"/>
      <c r="AA922" s="180"/>
    </row>
    <row r="923" spans="1:28" s="190" customFormat="1" ht="13">
      <c r="A923" s="184"/>
      <c r="B923" s="184"/>
      <c r="C923" s="185"/>
      <c r="D923" s="185"/>
      <c r="E923" s="185"/>
      <c r="F923" s="185"/>
      <c r="G923" s="185"/>
      <c r="H923" s="185"/>
      <c r="I923" s="185"/>
      <c r="J923" s="186"/>
      <c r="K923" s="187"/>
      <c r="L923" s="188"/>
      <c r="M923" s="188"/>
      <c r="N923" s="186"/>
      <c r="O923" s="184"/>
      <c r="P923" s="185"/>
      <c r="Q923" s="185"/>
      <c r="R923" s="185"/>
      <c r="S923" s="185"/>
      <c r="T923" s="187"/>
      <c r="U923" s="187"/>
      <c r="V923" s="185"/>
      <c r="W923" s="189"/>
      <c r="Y923" s="191"/>
      <c r="AA923" s="189"/>
      <c r="AB923" s="186"/>
    </row>
    <row r="924" spans="1:28">
      <c r="D924" s="193"/>
      <c r="E924" s="194"/>
      <c r="F924" s="194"/>
      <c r="G924" s="194"/>
      <c r="H924" s="195"/>
      <c r="I924" s="195"/>
      <c r="J924" s="196"/>
      <c r="K924" s="195"/>
    </row>
    <row r="925" spans="1:28">
      <c r="D925" s="193"/>
      <c r="E925" s="194"/>
      <c r="F925" s="194"/>
      <c r="G925" s="194"/>
      <c r="H925" s="195"/>
      <c r="I925" s="195"/>
      <c r="J925" s="196"/>
      <c r="K925" s="195"/>
    </row>
    <row r="926" spans="1:28">
      <c r="D926" s="193"/>
      <c r="E926" s="194"/>
      <c r="F926" s="194"/>
      <c r="G926" s="194"/>
      <c r="H926" s="195"/>
      <c r="I926" s="195"/>
      <c r="J926" s="196"/>
      <c r="K926" s="195"/>
    </row>
    <row r="927" spans="1:28">
      <c r="D927" s="193"/>
      <c r="E927" s="194"/>
      <c r="F927" s="194"/>
      <c r="G927" s="194"/>
      <c r="H927" s="195"/>
      <c r="I927" s="195"/>
      <c r="J927" s="196"/>
      <c r="K927" s="195"/>
    </row>
    <row r="928" spans="1:28">
      <c r="D928" s="193"/>
      <c r="E928" s="194"/>
      <c r="F928" s="194"/>
      <c r="G928" s="194"/>
      <c r="H928" s="195"/>
      <c r="I928" s="195"/>
      <c r="J928" s="196"/>
      <c r="K928" s="195"/>
    </row>
    <row r="929" spans="1:28">
      <c r="D929" s="193"/>
      <c r="E929" s="194"/>
      <c r="F929" s="194"/>
      <c r="G929" s="194"/>
      <c r="H929" s="195"/>
      <c r="I929" s="195"/>
      <c r="J929" s="196"/>
      <c r="K929" s="195"/>
    </row>
    <row r="930" spans="1:28">
      <c r="D930" s="193"/>
      <c r="E930" s="194"/>
      <c r="F930" s="194"/>
      <c r="G930" s="194"/>
      <c r="H930" s="195"/>
      <c r="I930" s="195"/>
      <c r="J930" s="196"/>
      <c r="K930" s="195"/>
    </row>
    <row r="931" spans="1:28">
      <c r="D931" s="193"/>
      <c r="E931" s="194"/>
      <c r="F931" s="194"/>
      <c r="G931" s="194"/>
      <c r="H931" s="195"/>
      <c r="I931" s="195"/>
      <c r="J931" s="196"/>
      <c r="K931" s="195"/>
    </row>
    <row r="932" spans="1:28">
      <c r="D932" s="193"/>
      <c r="E932" s="194"/>
      <c r="F932" s="194"/>
      <c r="G932" s="194"/>
      <c r="H932" s="195"/>
      <c r="I932" s="195"/>
      <c r="J932" s="196"/>
      <c r="K932" s="195"/>
    </row>
    <row r="933" spans="1:28">
      <c r="D933" s="193"/>
      <c r="E933" s="194"/>
      <c r="F933" s="194"/>
      <c r="G933" s="194"/>
      <c r="H933" s="195"/>
      <c r="I933" s="195"/>
      <c r="J933" s="196"/>
      <c r="K933" s="195"/>
    </row>
    <row r="936" spans="1:28" s="159" customFormat="1" ht="13">
      <c r="A936" s="164"/>
      <c r="B936" s="165"/>
      <c r="C936" s="166"/>
      <c r="D936" s="167"/>
      <c r="E936" s="168"/>
      <c r="F936" s="168"/>
      <c r="G936" s="168"/>
      <c r="H936" s="169"/>
      <c r="I936" s="154"/>
      <c r="J936" s="152"/>
      <c r="K936" s="167"/>
      <c r="L936" s="170"/>
      <c r="M936" s="171"/>
      <c r="N936" s="171"/>
      <c r="O936" s="165"/>
      <c r="P936" s="165"/>
      <c r="Q936" s="167"/>
      <c r="R936" s="167"/>
      <c r="S936" s="167"/>
      <c r="T936" s="167"/>
      <c r="U936" s="170"/>
      <c r="V936" s="170"/>
      <c r="W936" s="172"/>
      <c r="X936" s="168"/>
      <c r="Y936" s="167"/>
    </row>
    <row r="937" spans="1:28" s="159" customFormat="1" ht="13">
      <c r="A937" s="149"/>
      <c r="B937" s="165"/>
      <c r="C937" s="166"/>
      <c r="D937" s="167"/>
      <c r="E937" s="168"/>
      <c r="F937" s="168"/>
      <c r="G937" s="168"/>
      <c r="H937" s="169"/>
      <c r="I937" s="154"/>
      <c r="J937" s="152"/>
      <c r="K937" s="167"/>
      <c r="L937" s="170"/>
      <c r="M937" s="171"/>
      <c r="N937" s="171"/>
      <c r="O937" s="165"/>
      <c r="P937" s="165"/>
      <c r="Q937" s="167"/>
      <c r="R937" s="167"/>
      <c r="S937" s="167"/>
      <c r="T937" s="167"/>
      <c r="U937" s="170"/>
      <c r="V937" s="170"/>
      <c r="W937" s="172"/>
      <c r="X937" s="168"/>
      <c r="Y937" s="167"/>
    </row>
    <row r="938" spans="1:28" s="159" customFormat="1" ht="13">
      <c r="A938" s="149"/>
      <c r="B938" s="157"/>
      <c r="C938" s="149"/>
      <c r="D938" s="151"/>
      <c r="E938" s="152"/>
      <c r="F938" s="152"/>
      <c r="G938" s="152"/>
      <c r="H938" s="153"/>
      <c r="I938" s="154"/>
      <c r="J938" s="152"/>
      <c r="K938" s="151"/>
      <c r="L938" s="155"/>
      <c r="M938" s="156"/>
      <c r="N938" s="156"/>
      <c r="O938" s="157"/>
      <c r="P938" s="157"/>
      <c r="Q938" s="151"/>
      <c r="R938" s="151"/>
      <c r="S938" s="151"/>
      <c r="T938" s="151"/>
      <c r="U938" s="155"/>
      <c r="V938" s="155"/>
      <c r="W938" s="158"/>
      <c r="X938" s="152"/>
      <c r="Y938" s="151"/>
    </row>
    <row r="939" spans="1:28" s="159" customFormat="1">
      <c r="A939" s="149"/>
      <c r="B939" s="157"/>
      <c r="C939" s="157"/>
      <c r="D939" s="173"/>
      <c r="E939" s="156"/>
      <c r="F939" s="156"/>
      <c r="G939" s="174"/>
      <c r="H939" s="173"/>
      <c r="I939" s="156"/>
      <c r="J939" s="156"/>
      <c r="K939" s="175"/>
      <c r="L939" s="156"/>
      <c r="M939" s="176"/>
      <c r="N939" s="156"/>
      <c r="O939" s="157"/>
      <c r="P939" s="151"/>
      <c r="Q939" s="151"/>
      <c r="R939" s="175"/>
      <c r="S939" s="175"/>
      <c r="T939" s="175"/>
      <c r="U939" s="173"/>
      <c r="V939" s="158"/>
      <c r="W939" s="173"/>
      <c r="X939" s="173"/>
      <c r="Y939" s="175"/>
      <c r="Z939" s="177"/>
      <c r="AA939" s="177"/>
      <c r="AB939" s="152"/>
    </row>
    <row r="940" spans="1:28" s="159" customFormat="1">
      <c r="A940" s="149"/>
      <c r="B940" s="157"/>
      <c r="C940" s="157"/>
      <c r="D940" s="173"/>
      <c r="E940" s="156"/>
      <c r="F940" s="156"/>
      <c r="G940" s="156"/>
      <c r="H940" s="173"/>
      <c r="I940" s="156"/>
      <c r="J940" s="156"/>
      <c r="K940" s="175"/>
      <c r="L940" s="178"/>
      <c r="M940" s="247"/>
      <c r="N940" s="156"/>
      <c r="O940" s="248"/>
      <c r="P940" s="173"/>
      <c r="Q940" s="247"/>
      <c r="R940" s="173"/>
      <c r="S940" s="247"/>
      <c r="T940" s="175"/>
      <c r="U940" s="247"/>
      <c r="V940" s="158"/>
      <c r="W940" s="247"/>
      <c r="Y940" s="179"/>
      <c r="AA940" s="180"/>
    </row>
    <row r="941" spans="1:28" s="159" customFormat="1">
      <c r="A941" s="149"/>
      <c r="B941" s="157"/>
      <c r="C941" s="157"/>
      <c r="D941" s="173"/>
      <c r="E941" s="156"/>
      <c r="F941" s="156"/>
      <c r="G941" s="174"/>
      <c r="H941" s="156"/>
      <c r="I941" s="173"/>
      <c r="J941" s="156"/>
      <c r="K941" s="175"/>
      <c r="L941" s="178"/>
      <c r="M941" s="247"/>
      <c r="N941" s="156"/>
      <c r="O941" s="248"/>
      <c r="P941" s="173"/>
      <c r="Q941" s="247"/>
      <c r="R941" s="173"/>
      <c r="S941" s="247"/>
      <c r="T941" s="175"/>
      <c r="U941" s="247"/>
      <c r="V941" s="181"/>
      <c r="W941" s="247"/>
      <c r="X941" s="182"/>
      <c r="Y941" s="183"/>
      <c r="AA941" s="180"/>
    </row>
    <row r="942" spans="1:28" s="190" customFormat="1" ht="13">
      <c r="A942" s="184"/>
      <c r="B942" s="184"/>
      <c r="C942" s="185"/>
      <c r="D942" s="185"/>
      <c r="E942" s="185"/>
      <c r="F942" s="185"/>
      <c r="G942" s="185"/>
      <c r="H942" s="185"/>
      <c r="I942" s="185"/>
      <c r="J942" s="186"/>
      <c r="K942" s="187"/>
      <c r="L942" s="188"/>
      <c r="M942" s="188"/>
      <c r="N942" s="186"/>
      <c r="O942" s="184"/>
      <c r="P942" s="185"/>
      <c r="Q942" s="185"/>
      <c r="R942" s="185"/>
      <c r="S942" s="185"/>
      <c r="T942" s="187"/>
      <c r="U942" s="187"/>
      <c r="V942" s="185"/>
      <c r="W942" s="189"/>
      <c r="Y942" s="191"/>
      <c r="AA942" s="189"/>
      <c r="AB942" s="186"/>
    </row>
    <row r="943" spans="1:28">
      <c r="D943" s="193"/>
      <c r="E943" s="194"/>
      <c r="F943" s="194"/>
      <c r="G943" s="194"/>
      <c r="H943" s="195"/>
      <c r="I943" s="195"/>
      <c r="J943" s="196"/>
      <c r="K943" s="195"/>
    </row>
    <row r="944" spans="1:28">
      <c r="D944" s="193"/>
      <c r="E944" s="194"/>
      <c r="F944" s="194"/>
      <c r="G944" s="194"/>
      <c r="H944" s="195"/>
      <c r="I944" s="195"/>
      <c r="J944" s="196"/>
      <c r="K944" s="195"/>
    </row>
    <row r="945" spans="4:15">
      <c r="D945" s="193"/>
      <c r="E945" s="194"/>
      <c r="F945" s="194"/>
      <c r="G945" s="194"/>
      <c r="H945" s="195"/>
      <c r="I945" s="195"/>
      <c r="J945" s="196"/>
      <c r="K945" s="195"/>
    </row>
    <row r="946" spans="4:15">
      <c r="D946" s="193"/>
      <c r="E946" s="194"/>
      <c r="F946" s="194"/>
      <c r="G946" s="194"/>
      <c r="H946" s="195"/>
      <c r="I946" s="195"/>
      <c r="J946" s="196"/>
      <c r="K946" s="195"/>
    </row>
    <row r="947" spans="4:15">
      <c r="D947" s="193"/>
      <c r="E947" s="194"/>
      <c r="F947" s="194"/>
      <c r="G947" s="194"/>
      <c r="H947" s="195"/>
      <c r="I947" s="195"/>
      <c r="J947" s="196"/>
      <c r="K947" s="195"/>
    </row>
    <row r="948" spans="4:15">
      <c r="D948" s="193"/>
      <c r="E948" s="194"/>
      <c r="F948" s="194"/>
      <c r="G948" s="194"/>
      <c r="H948" s="195"/>
      <c r="I948" s="195"/>
      <c r="J948" s="196"/>
      <c r="K948" s="195"/>
    </row>
    <row r="949" spans="4:15">
      <c r="D949" s="193"/>
      <c r="E949" s="194"/>
      <c r="F949" s="194"/>
      <c r="G949" s="194"/>
      <c r="H949" s="195"/>
      <c r="I949" s="195"/>
      <c r="J949" s="196"/>
      <c r="K949" s="195"/>
      <c r="M949" s="163"/>
      <c r="O949" s="163"/>
    </row>
    <row r="950" spans="4:15">
      <c r="D950" s="193"/>
      <c r="E950" s="194"/>
      <c r="F950" s="194"/>
      <c r="G950" s="194"/>
      <c r="H950" s="195"/>
      <c r="I950" s="195"/>
      <c r="J950" s="196"/>
      <c r="K950" s="195"/>
    </row>
    <row r="951" spans="4:15">
      <c r="D951" s="193"/>
      <c r="E951" s="194"/>
      <c r="F951" s="194"/>
      <c r="G951" s="194"/>
      <c r="H951" s="195"/>
      <c r="I951" s="195"/>
      <c r="J951" s="196"/>
      <c r="K951" s="195"/>
    </row>
    <row r="952" spans="4:15">
      <c r="D952" s="193"/>
      <c r="E952" s="194"/>
      <c r="F952" s="194"/>
      <c r="G952" s="194"/>
      <c r="H952" s="195"/>
      <c r="I952" s="195"/>
      <c r="J952" s="196"/>
      <c r="K952" s="195"/>
    </row>
    <row r="953" spans="4:15">
      <c r="D953" s="193"/>
      <c r="E953" s="194"/>
      <c r="F953" s="194"/>
      <c r="G953" s="194"/>
      <c r="H953" s="195"/>
      <c r="I953" s="195"/>
      <c r="J953" s="196"/>
      <c r="K953" s="195"/>
    </row>
    <row r="954" spans="4:15">
      <c r="D954" s="193"/>
      <c r="E954" s="194"/>
      <c r="F954" s="194"/>
      <c r="G954" s="194"/>
      <c r="H954" s="195"/>
      <c r="I954" s="195"/>
      <c r="J954" s="196"/>
      <c r="K954" s="195"/>
    </row>
    <row r="955" spans="4:15">
      <c r="D955" s="193"/>
      <c r="E955" s="194"/>
      <c r="F955" s="194"/>
      <c r="G955" s="194"/>
      <c r="H955" s="195"/>
      <c r="I955" s="195"/>
      <c r="J955" s="196"/>
      <c r="K955" s="195"/>
    </row>
    <row r="956" spans="4:15">
      <c r="D956" s="193"/>
      <c r="E956" s="194"/>
      <c r="F956" s="194"/>
      <c r="G956" s="194"/>
      <c r="H956" s="195"/>
      <c r="I956" s="195"/>
      <c r="J956" s="196"/>
      <c r="K956" s="195"/>
    </row>
    <row r="957" spans="4:15">
      <c r="D957" s="193"/>
      <c r="E957" s="194"/>
      <c r="F957" s="194"/>
      <c r="G957" s="194"/>
      <c r="H957" s="195"/>
      <c r="I957" s="195"/>
      <c r="J957" s="196"/>
      <c r="K957" s="195"/>
    </row>
    <row r="958" spans="4:15">
      <c r="D958" s="193"/>
      <c r="E958" s="194"/>
      <c r="F958" s="194"/>
      <c r="G958" s="194"/>
      <c r="H958" s="195"/>
      <c r="I958" s="195"/>
      <c r="J958" s="196"/>
      <c r="K958" s="195"/>
    </row>
    <row r="959" spans="4:15">
      <c r="D959" s="193"/>
      <c r="E959" s="194"/>
      <c r="F959" s="194"/>
      <c r="G959" s="194"/>
      <c r="H959" s="195"/>
      <c r="I959" s="195"/>
      <c r="J959" s="196"/>
      <c r="K959" s="195"/>
    </row>
    <row r="960" spans="4:15">
      <c r="D960" s="193"/>
      <c r="E960" s="194"/>
      <c r="F960" s="194"/>
      <c r="G960" s="194"/>
      <c r="H960" s="195"/>
      <c r="I960" s="195"/>
      <c r="J960" s="196"/>
      <c r="K960" s="195"/>
    </row>
    <row r="963" spans="1:28" s="159" customFormat="1" ht="13">
      <c r="A963" s="164"/>
      <c r="B963" s="165"/>
      <c r="C963" s="166"/>
      <c r="D963" s="167"/>
      <c r="E963" s="168"/>
      <c r="F963" s="168"/>
      <c r="G963" s="168"/>
      <c r="H963" s="169"/>
      <c r="I963" s="154"/>
      <c r="J963" s="152"/>
      <c r="K963" s="167"/>
      <c r="L963" s="170"/>
      <c r="M963" s="171"/>
      <c r="N963" s="171"/>
      <c r="O963" s="165"/>
      <c r="P963" s="165"/>
      <c r="Q963" s="167"/>
      <c r="R963" s="167"/>
      <c r="S963" s="167"/>
      <c r="T963" s="167"/>
      <c r="U963" s="170"/>
      <c r="V963" s="170"/>
      <c r="W963" s="172"/>
      <c r="X963" s="168"/>
      <c r="Y963" s="167"/>
    </row>
    <row r="964" spans="1:28" s="159" customFormat="1" ht="13">
      <c r="A964" s="149"/>
      <c r="B964" s="165"/>
      <c r="C964" s="166"/>
      <c r="D964" s="167"/>
      <c r="E964" s="168"/>
      <c r="F964" s="168"/>
      <c r="G964" s="168"/>
      <c r="H964" s="169"/>
      <c r="I964" s="154"/>
      <c r="J964" s="152"/>
      <c r="K964" s="167"/>
      <c r="L964" s="170"/>
      <c r="M964" s="171"/>
      <c r="N964" s="171"/>
      <c r="O964" s="165"/>
      <c r="P964" s="165"/>
      <c r="Q964" s="167"/>
      <c r="R964" s="167"/>
      <c r="S964" s="167"/>
      <c r="T964" s="167"/>
      <c r="U964" s="170"/>
      <c r="V964" s="170"/>
      <c r="W964" s="172"/>
      <c r="X964" s="168"/>
      <c r="Y964" s="167"/>
    </row>
    <row r="965" spans="1:28" s="159" customFormat="1" ht="13">
      <c r="A965" s="149"/>
      <c r="B965" s="157"/>
      <c r="C965" s="149"/>
      <c r="D965" s="151"/>
      <c r="E965" s="152"/>
      <c r="F965" s="152"/>
      <c r="G965" s="152"/>
      <c r="H965" s="153"/>
      <c r="I965" s="154"/>
      <c r="J965" s="152"/>
      <c r="K965" s="151"/>
      <c r="L965" s="155"/>
      <c r="M965" s="156"/>
      <c r="N965" s="156"/>
      <c r="O965" s="157"/>
      <c r="P965" s="157"/>
      <c r="Q965" s="151"/>
      <c r="R965" s="151"/>
      <c r="S965" s="151"/>
      <c r="T965" s="151"/>
      <c r="U965" s="155"/>
      <c r="V965" s="155"/>
      <c r="W965" s="158"/>
      <c r="X965" s="152"/>
      <c r="Y965" s="151"/>
    </row>
    <row r="966" spans="1:28" s="159" customFormat="1">
      <c r="A966" s="149"/>
      <c r="B966" s="157"/>
      <c r="C966" s="157"/>
      <c r="D966" s="173"/>
      <c r="E966" s="156"/>
      <c r="F966" s="156"/>
      <c r="G966" s="174"/>
      <c r="H966" s="173"/>
      <c r="I966" s="156"/>
      <c r="J966" s="156"/>
      <c r="K966" s="175"/>
      <c r="L966" s="156"/>
      <c r="M966" s="176"/>
      <c r="N966" s="156"/>
      <c r="O966" s="157"/>
      <c r="P966" s="151"/>
      <c r="Q966" s="151"/>
      <c r="R966" s="175"/>
      <c r="S966" s="175"/>
      <c r="T966" s="175"/>
      <c r="U966" s="173"/>
      <c r="V966" s="158"/>
      <c r="W966" s="173"/>
      <c r="X966" s="173"/>
      <c r="Y966" s="175"/>
      <c r="Z966" s="177"/>
      <c r="AA966" s="177"/>
      <c r="AB966" s="152"/>
    </row>
    <row r="967" spans="1:28" s="159" customFormat="1">
      <c r="A967" s="149"/>
      <c r="B967" s="157"/>
      <c r="C967" s="157"/>
      <c r="D967" s="173"/>
      <c r="E967" s="156"/>
      <c r="F967" s="156"/>
      <c r="G967" s="156"/>
      <c r="H967" s="173"/>
      <c r="I967" s="156"/>
      <c r="J967" s="156"/>
      <c r="K967" s="175"/>
      <c r="L967" s="178"/>
      <c r="M967" s="247"/>
      <c r="N967" s="156"/>
      <c r="O967" s="248"/>
      <c r="P967" s="173"/>
      <c r="Q967" s="247"/>
      <c r="R967" s="173"/>
      <c r="S967" s="247"/>
      <c r="T967" s="175"/>
      <c r="U967" s="247"/>
      <c r="V967" s="158"/>
      <c r="W967" s="247"/>
      <c r="Y967" s="179"/>
      <c r="AA967" s="180"/>
    </row>
    <row r="968" spans="1:28" s="159" customFormat="1">
      <c r="A968" s="149"/>
      <c r="B968" s="157"/>
      <c r="C968" s="157"/>
      <c r="D968" s="173"/>
      <c r="E968" s="156"/>
      <c r="F968" s="156"/>
      <c r="G968" s="174"/>
      <c r="H968" s="156"/>
      <c r="I968" s="173"/>
      <c r="J968" s="156"/>
      <c r="K968" s="175"/>
      <c r="L968" s="178"/>
      <c r="M968" s="247"/>
      <c r="N968" s="156"/>
      <c r="O968" s="248"/>
      <c r="P968" s="173"/>
      <c r="Q968" s="247"/>
      <c r="R968" s="173"/>
      <c r="S968" s="247"/>
      <c r="T968" s="175"/>
      <c r="U968" s="247"/>
      <c r="V968" s="181"/>
      <c r="W968" s="247"/>
      <c r="X968" s="182"/>
      <c r="Y968" s="183"/>
      <c r="AA968" s="180"/>
    </row>
    <row r="969" spans="1:28" s="190" customFormat="1" ht="13">
      <c r="A969" s="184"/>
      <c r="B969" s="184"/>
      <c r="C969" s="185"/>
      <c r="D969" s="185"/>
      <c r="E969" s="185"/>
      <c r="F969" s="185"/>
      <c r="G969" s="185"/>
      <c r="H969" s="185"/>
      <c r="I969" s="185"/>
      <c r="J969" s="186"/>
      <c r="K969" s="187"/>
      <c r="L969" s="188"/>
      <c r="M969" s="188"/>
      <c r="N969" s="186"/>
      <c r="O969" s="184"/>
      <c r="P969" s="185"/>
      <c r="Q969" s="185"/>
      <c r="R969" s="185"/>
      <c r="S969" s="185"/>
      <c r="T969" s="187"/>
      <c r="U969" s="187"/>
      <c r="V969" s="185"/>
      <c r="W969" s="189"/>
      <c r="Y969" s="191"/>
      <c r="AA969" s="189"/>
      <c r="AB969" s="186"/>
    </row>
    <row r="970" spans="1:28">
      <c r="D970" s="193"/>
      <c r="E970" s="194"/>
      <c r="F970" s="194"/>
      <c r="G970" s="194"/>
      <c r="H970" s="195"/>
      <c r="I970" s="195"/>
      <c r="J970" s="196"/>
      <c r="K970" s="195"/>
    </row>
    <row r="971" spans="1:28">
      <c r="D971" s="193"/>
      <c r="E971" s="194"/>
      <c r="F971" s="194"/>
      <c r="G971" s="194"/>
      <c r="H971" s="195"/>
      <c r="I971" s="195"/>
      <c r="J971" s="196"/>
      <c r="K971" s="195"/>
    </row>
    <row r="972" spans="1:28">
      <c r="D972" s="193"/>
      <c r="E972" s="194"/>
      <c r="F972" s="194"/>
      <c r="G972" s="194"/>
      <c r="H972" s="195"/>
      <c r="I972" s="195"/>
      <c r="J972" s="196"/>
      <c r="K972" s="195"/>
    </row>
    <row r="973" spans="1:28">
      <c r="D973" s="193"/>
      <c r="E973" s="194"/>
      <c r="F973" s="194"/>
      <c r="G973" s="194"/>
      <c r="H973" s="195"/>
      <c r="I973" s="195"/>
      <c r="J973" s="196"/>
      <c r="K973" s="195"/>
    </row>
    <row r="974" spans="1:28">
      <c r="D974" s="193"/>
      <c r="E974" s="194"/>
      <c r="F974" s="194"/>
      <c r="G974" s="194"/>
      <c r="H974" s="195"/>
      <c r="I974" s="195"/>
      <c r="J974" s="196"/>
      <c r="K974" s="195"/>
    </row>
    <row r="975" spans="1:28">
      <c r="D975" s="193"/>
      <c r="E975" s="194"/>
      <c r="F975" s="194"/>
      <c r="G975" s="194"/>
      <c r="H975" s="195"/>
      <c r="I975" s="195"/>
      <c r="J975" s="196"/>
      <c r="K975" s="195"/>
    </row>
    <row r="976" spans="1:28">
      <c r="D976" s="193"/>
      <c r="E976" s="194"/>
      <c r="F976" s="194"/>
      <c r="G976" s="194"/>
      <c r="H976" s="195"/>
      <c r="I976" s="195"/>
      <c r="J976" s="196"/>
      <c r="K976" s="195"/>
    </row>
    <row r="977" spans="4:11">
      <c r="D977" s="193"/>
      <c r="E977" s="194"/>
      <c r="F977" s="194"/>
      <c r="G977" s="194"/>
      <c r="H977" s="195"/>
      <c r="I977" s="195"/>
      <c r="J977" s="196"/>
      <c r="K977" s="195"/>
    </row>
    <row r="978" spans="4:11">
      <c r="D978" s="193"/>
      <c r="E978" s="194"/>
      <c r="F978" s="194"/>
      <c r="G978" s="194"/>
      <c r="H978" s="195"/>
      <c r="I978" s="195"/>
      <c r="J978" s="196"/>
      <c r="K978" s="195"/>
    </row>
    <row r="979" spans="4:11">
      <c r="D979" s="193"/>
      <c r="E979" s="194"/>
      <c r="F979" s="194"/>
      <c r="G979" s="194"/>
      <c r="H979" s="195"/>
      <c r="I979" s="195"/>
      <c r="J979" s="196"/>
      <c r="K979" s="195"/>
    </row>
    <row r="980" spans="4:11">
      <c r="D980" s="193"/>
      <c r="E980" s="194"/>
      <c r="F980" s="194"/>
      <c r="G980" s="194"/>
      <c r="H980" s="195"/>
      <c r="I980" s="195"/>
      <c r="J980" s="196"/>
      <c r="K980" s="195"/>
    </row>
    <row r="981" spans="4:11">
      <c r="D981" s="193"/>
      <c r="E981" s="194"/>
      <c r="F981" s="194"/>
      <c r="G981" s="194"/>
      <c r="H981" s="195"/>
      <c r="I981" s="195"/>
      <c r="J981" s="196"/>
      <c r="K981" s="195"/>
    </row>
    <row r="982" spans="4:11">
      <c r="D982" s="193"/>
      <c r="E982" s="194"/>
      <c r="F982" s="194"/>
      <c r="G982" s="194"/>
      <c r="H982" s="195"/>
      <c r="I982" s="195"/>
      <c r="J982" s="196"/>
      <c r="K982" s="195"/>
    </row>
    <row r="983" spans="4:11">
      <c r="D983" s="193"/>
      <c r="E983" s="194"/>
      <c r="F983" s="194"/>
      <c r="G983" s="194"/>
      <c r="H983" s="195"/>
      <c r="I983" s="195"/>
      <c r="J983" s="196"/>
      <c r="K983" s="195"/>
    </row>
  </sheetData>
  <mergeCells count="248">
    <mergeCell ref="O14:O15"/>
    <mergeCell ref="Q14:Q15"/>
    <mergeCell ref="S14:S15"/>
    <mergeCell ref="U14:U15"/>
    <mergeCell ref="W14:W15"/>
    <mergeCell ref="O60:O61"/>
    <mergeCell ref="Q60:Q61"/>
    <mergeCell ref="S60:S61"/>
    <mergeCell ref="U60:U61"/>
    <mergeCell ref="W60:W61"/>
    <mergeCell ref="O38:O39"/>
    <mergeCell ref="Q38:Q39"/>
    <mergeCell ref="S38:S39"/>
    <mergeCell ref="U38:U39"/>
    <mergeCell ref="W38:W39"/>
    <mergeCell ref="O98:O99"/>
    <mergeCell ref="Q98:Q99"/>
    <mergeCell ref="S98:S99"/>
    <mergeCell ref="U98:U99"/>
    <mergeCell ref="W98:W99"/>
    <mergeCell ref="O72:O73"/>
    <mergeCell ref="Q72:Q73"/>
    <mergeCell ref="S72:S73"/>
    <mergeCell ref="U72:U73"/>
    <mergeCell ref="W72:W73"/>
    <mergeCell ref="O131:O132"/>
    <mergeCell ref="Q131:Q132"/>
    <mergeCell ref="S131:S132"/>
    <mergeCell ref="U131:U132"/>
    <mergeCell ref="W131:W132"/>
    <mergeCell ref="O109:O110"/>
    <mergeCell ref="Q109:Q110"/>
    <mergeCell ref="S109:S110"/>
    <mergeCell ref="U109:U110"/>
    <mergeCell ref="W109:W110"/>
    <mergeCell ref="O176:O177"/>
    <mergeCell ref="Q176:Q177"/>
    <mergeCell ref="S176:S177"/>
    <mergeCell ref="U176:U177"/>
    <mergeCell ref="W176:W177"/>
    <mergeCell ref="O147:O148"/>
    <mergeCell ref="Q147:Q148"/>
    <mergeCell ref="S147:S148"/>
    <mergeCell ref="U147:U148"/>
    <mergeCell ref="W147:W148"/>
    <mergeCell ref="O199:O200"/>
    <mergeCell ref="Q199:Q200"/>
    <mergeCell ref="S199:S200"/>
    <mergeCell ref="U199:U200"/>
    <mergeCell ref="W199:W200"/>
    <mergeCell ref="O189:O190"/>
    <mergeCell ref="Q189:Q190"/>
    <mergeCell ref="S189:S190"/>
    <mergeCell ref="U189:U190"/>
    <mergeCell ref="W189:W190"/>
    <mergeCell ref="O242:O243"/>
    <mergeCell ref="Q242:Q243"/>
    <mergeCell ref="S242:S243"/>
    <mergeCell ref="U242:U243"/>
    <mergeCell ref="W242:W243"/>
    <mergeCell ref="O232:O233"/>
    <mergeCell ref="Q232:Q233"/>
    <mergeCell ref="S232:S233"/>
    <mergeCell ref="U232:U233"/>
    <mergeCell ref="W232:W233"/>
    <mergeCell ref="O263:O264"/>
    <mergeCell ref="Q263:Q264"/>
    <mergeCell ref="S263:S264"/>
    <mergeCell ref="U263:U264"/>
    <mergeCell ref="W263:W264"/>
    <mergeCell ref="O252:O253"/>
    <mergeCell ref="Q252:Q253"/>
    <mergeCell ref="S252:S253"/>
    <mergeCell ref="U252:U253"/>
    <mergeCell ref="W252:W253"/>
    <mergeCell ref="O299:O300"/>
    <mergeCell ref="Q299:Q300"/>
    <mergeCell ref="S299:S300"/>
    <mergeCell ref="U299:U300"/>
    <mergeCell ref="W299:W300"/>
    <mergeCell ref="O285:O286"/>
    <mergeCell ref="Q285:Q286"/>
    <mergeCell ref="S285:S286"/>
    <mergeCell ref="U285:U286"/>
    <mergeCell ref="W285:W286"/>
    <mergeCell ref="O347:O348"/>
    <mergeCell ref="Q347:Q348"/>
    <mergeCell ref="S347:S348"/>
    <mergeCell ref="U347:U348"/>
    <mergeCell ref="W347:W348"/>
    <mergeCell ref="O332:O333"/>
    <mergeCell ref="Q332:Q333"/>
    <mergeCell ref="S332:S333"/>
    <mergeCell ref="U332:U333"/>
    <mergeCell ref="W332:W333"/>
    <mergeCell ref="O411:O412"/>
    <mergeCell ref="Q411:Q412"/>
    <mergeCell ref="S411:S412"/>
    <mergeCell ref="U411:U412"/>
    <mergeCell ref="W411:W412"/>
    <mergeCell ref="O378:O379"/>
    <mergeCell ref="Q378:Q379"/>
    <mergeCell ref="S378:S379"/>
    <mergeCell ref="U378:U379"/>
    <mergeCell ref="W378:W379"/>
    <mergeCell ref="O465:O466"/>
    <mergeCell ref="Q465:Q466"/>
    <mergeCell ref="S465:S466"/>
    <mergeCell ref="U465:U466"/>
    <mergeCell ref="W465:W466"/>
    <mergeCell ref="O443:O444"/>
    <mergeCell ref="Q443:Q444"/>
    <mergeCell ref="S443:S444"/>
    <mergeCell ref="U443:U444"/>
    <mergeCell ref="W443:W444"/>
    <mergeCell ref="O513:O514"/>
    <mergeCell ref="Q513:Q514"/>
    <mergeCell ref="S513:S514"/>
    <mergeCell ref="U513:U514"/>
    <mergeCell ref="W513:W514"/>
    <mergeCell ref="O479:O480"/>
    <mergeCell ref="Q479:Q480"/>
    <mergeCell ref="S479:S480"/>
    <mergeCell ref="U479:U480"/>
    <mergeCell ref="W479:W480"/>
    <mergeCell ref="O559:O560"/>
    <mergeCell ref="Q559:Q560"/>
    <mergeCell ref="S559:S560"/>
    <mergeCell ref="U559:U560"/>
    <mergeCell ref="W559:W560"/>
    <mergeCell ref="O528:O529"/>
    <mergeCell ref="Q528:Q529"/>
    <mergeCell ref="S528:S529"/>
    <mergeCell ref="U528:U529"/>
    <mergeCell ref="W528:W529"/>
    <mergeCell ref="O620:O621"/>
    <mergeCell ref="Q620:Q621"/>
    <mergeCell ref="S620:S621"/>
    <mergeCell ref="U620:U621"/>
    <mergeCell ref="W620:W621"/>
    <mergeCell ref="O588:O589"/>
    <mergeCell ref="Q588:Q589"/>
    <mergeCell ref="S588:S589"/>
    <mergeCell ref="U588:U589"/>
    <mergeCell ref="W588:W589"/>
    <mergeCell ref="O670:O671"/>
    <mergeCell ref="Q670:Q671"/>
    <mergeCell ref="S670:S671"/>
    <mergeCell ref="U670:U671"/>
    <mergeCell ref="W670:W671"/>
    <mergeCell ref="O636:O637"/>
    <mergeCell ref="Q636:Q637"/>
    <mergeCell ref="S636:S637"/>
    <mergeCell ref="U636:U637"/>
    <mergeCell ref="W636:W637"/>
    <mergeCell ref="O705:O706"/>
    <mergeCell ref="Q705:Q706"/>
    <mergeCell ref="S705:S706"/>
    <mergeCell ref="U705:U706"/>
    <mergeCell ref="W705:W706"/>
    <mergeCell ref="O684:O685"/>
    <mergeCell ref="Q684:Q685"/>
    <mergeCell ref="S684:S685"/>
    <mergeCell ref="U684:U685"/>
    <mergeCell ref="W684:W685"/>
    <mergeCell ref="M749:M750"/>
    <mergeCell ref="O749:O750"/>
    <mergeCell ref="Q749:Q750"/>
    <mergeCell ref="S749:S750"/>
    <mergeCell ref="U749:U750"/>
    <mergeCell ref="W749:W750"/>
    <mergeCell ref="O720:O721"/>
    <mergeCell ref="Q720:Q721"/>
    <mergeCell ref="S720:S721"/>
    <mergeCell ref="U720:U721"/>
    <mergeCell ref="W720:W721"/>
    <mergeCell ref="M788:M789"/>
    <mergeCell ref="O788:O789"/>
    <mergeCell ref="Q788:Q789"/>
    <mergeCell ref="S788:S789"/>
    <mergeCell ref="U788:U789"/>
    <mergeCell ref="W788:W789"/>
    <mergeCell ref="M759:M760"/>
    <mergeCell ref="O759:O760"/>
    <mergeCell ref="Q759:Q760"/>
    <mergeCell ref="S759:S760"/>
    <mergeCell ref="U759:U760"/>
    <mergeCell ref="W759:W760"/>
    <mergeCell ref="M821:M822"/>
    <mergeCell ref="O821:O822"/>
    <mergeCell ref="Q821:Q822"/>
    <mergeCell ref="S821:S822"/>
    <mergeCell ref="U821:U822"/>
    <mergeCell ref="W821:W822"/>
    <mergeCell ref="M799:M800"/>
    <mergeCell ref="O799:O800"/>
    <mergeCell ref="Q799:Q800"/>
    <mergeCell ref="S799:S800"/>
    <mergeCell ref="U799:U800"/>
    <mergeCell ref="W799:W800"/>
    <mergeCell ref="M872:M873"/>
    <mergeCell ref="O872:O873"/>
    <mergeCell ref="Q872:Q873"/>
    <mergeCell ref="S872:S873"/>
    <mergeCell ref="U872:U873"/>
    <mergeCell ref="W872:W873"/>
    <mergeCell ref="M855:M856"/>
    <mergeCell ref="O855:O856"/>
    <mergeCell ref="Q855:Q856"/>
    <mergeCell ref="S855:S856"/>
    <mergeCell ref="U855:U856"/>
    <mergeCell ref="W855:W856"/>
    <mergeCell ref="M901:M902"/>
    <mergeCell ref="O901:O902"/>
    <mergeCell ref="Q901:Q902"/>
    <mergeCell ref="S901:S902"/>
    <mergeCell ref="U901:U902"/>
    <mergeCell ref="W901:W902"/>
    <mergeCell ref="M888:M889"/>
    <mergeCell ref="O888:O889"/>
    <mergeCell ref="Q888:Q889"/>
    <mergeCell ref="S888:S889"/>
    <mergeCell ref="U888:U889"/>
    <mergeCell ref="W888:W889"/>
    <mergeCell ref="M921:M922"/>
    <mergeCell ref="O921:O922"/>
    <mergeCell ref="Q921:Q922"/>
    <mergeCell ref="S921:S922"/>
    <mergeCell ref="U921:U922"/>
    <mergeCell ref="W921:W922"/>
    <mergeCell ref="M911:M912"/>
    <mergeCell ref="O911:O912"/>
    <mergeCell ref="Q911:Q912"/>
    <mergeCell ref="S911:S912"/>
    <mergeCell ref="U911:U912"/>
    <mergeCell ref="W911:W912"/>
    <mergeCell ref="M967:M968"/>
    <mergeCell ref="O967:O968"/>
    <mergeCell ref="Q967:Q968"/>
    <mergeCell ref="S967:S968"/>
    <mergeCell ref="U967:U968"/>
    <mergeCell ref="W967:W968"/>
    <mergeCell ref="M940:M941"/>
    <mergeCell ref="O940:O941"/>
    <mergeCell ref="Q940:Q941"/>
    <mergeCell ref="S940:S941"/>
    <mergeCell ref="U940:U941"/>
    <mergeCell ref="W940:W941"/>
  </mergeCells>
  <pageMargins left="0.49" right="0.43"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Notes</vt:lpstr>
      <vt:lpstr>CHL</vt:lpstr>
      <vt:lpstr>CV% </vt:lpstr>
      <vt:lpstr>Raw Data</vt:lpstr>
      <vt:lpstr>Flags</vt:lpstr>
      <vt:lpstr>Master List</vt:lpstr>
      <vt:lpstr>2022-002-bottles_csv</vt:lpstr>
    </vt:vector>
  </TitlesOfParts>
  <Company>DFO-MPO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Raftery, Erinn</cp:lastModifiedBy>
  <cp:lastPrinted>2022-03-03T20:47:16Z</cp:lastPrinted>
  <dcterms:created xsi:type="dcterms:W3CDTF">2018-10-22T23:03:59Z</dcterms:created>
  <dcterms:modified xsi:type="dcterms:W3CDTF">2022-07-28T22:16:11Z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fb733f-faef-464c-9b6d-731b56f94973_Enabled">
    <vt:lpwstr>true</vt:lpwstr>
  </property>
  <property fmtid="{D5CDD505-2E9C-101B-9397-08002B2CF9AE}" pid="3" name="MSIP_Label_1bfb733f-faef-464c-9b6d-731b56f94973_SetDate">
    <vt:lpwstr>2021-06-28T19:44:29Z</vt:lpwstr>
  </property>
  <property fmtid="{D5CDD505-2E9C-101B-9397-08002B2CF9AE}" pid="4" name="MSIP_Label_1bfb733f-faef-464c-9b6d-731b56f94973_Method">
    <vt:lpwstr>Standard</vt:lpwstr>
  </property>
  <property fmtid="{D5CDD505-2E9C-101B-9397-08002B2CF9AE}" pid="5" name="MSIP_Label_1bfb733f-faef-464c-9b6d-731b56f94973_Name">
    <vt:lpwstr>Unclass - Non-Classifié</vt:lpwstr>
  </property>
  <property fmtid="{D5CDD505-2E9C-101B-9397-08002B2CF9AE}" pid="6" name="MSIP_Label_1bfb733f-faef-464c-9b6d-731b56f94973_SiteId">
    <vt:lpwstr>1594fdae-a1d9-4405-915d-011467234338</vt:lpwstr>
  </property>
  <property fmtid="{D5CDD505-2E9C-101B-9397-08002B2CF9AE}" pid="7" name="MSIP_Label_1bfb733f-faef-464c-9b6d-731b56f94973_ActionId">
    <vt:lpwstr>96252a7f-5205-434a-9cb4-3669c33ee502</vt:lpwstr>
  </property>
  <property fmtid="{D5CDD505-2E9C-101B-9397-08002B2CF9AE}" pid="8" name="MSIP_Label_1bfb733f-faef-464c-9b6d-731b56f94973_ContentBits">
    <vt:lpwstr>0</vt:lpwstr>
  </property>
</Properties>
</file>